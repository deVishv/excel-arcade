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S4-1 Construction Crew" sheetId="2" r:id="rId2"/>
    <sheet name="S4-1 Arena" sheetId="3" r:id="rId3"/>
    <sheet name="S4-2 Sheet Master" sheetId="4" r:id="rId4"/>
    <sheet name="S4-2 Arena" sheetId="5" r:id="rId5"/>
    <sheet name="Rename Me" sheetId="6" r:id="rId6"/>
    <sheet name="S4-3 Detective" sheetId="7" r:id="rId7"/>
    <sheet name="S4-3 Arena" sheetId="8" r:id="rId8"/>
    <sheet name="S4-4 Data Wrangler" sheetId="9" r:id="rId9"/>
    <sheet name="S4-4 Arena" sheetId="10" r:id="rId10"/>
    <sheet name="Boss" sheetId="11" r:id="rId11"/>
    <sheet name="Boss Arena" sheetId="12" r:id="rId12"/>
    <sheet name="Cheat Codes" sheetId="13" r:id="rId13"/>
    <sheet name="Key" sheetId="14" state="veryHidden" r:id="rId14"/>
  </sheets>
  <definedNames>
    <definedName name="_xlnm.Print_Titles" localSheetId="10">Boss!$1:$4</definedName>
    <definedName name="_xlnm.Print_Titles" localSheetId="12">'Cheat Codes'!$4:$4</definedName>
    <definedName name="_xlnm.Print_Titles" localSheetId="1">'S4-1 Construction Crew'!$1:$4</definedName>
    <definedName name="_xlnm.Print_Titles" localSheetId="3">'S4-2 Sheet Master'!$1:$4</definedName>
    <definedName name="_xlnm.Print_Titles" localSheetId="6">'S4-3 Detective'!$1:$4</definedName>
    <definedName name="_xlnm.Print_Titles" localSheetId="8">'S4-4 Data Wrangler'!$1:$4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<sst xmlns="http://schemas.openxmlformats.org/spreadsheetml/2006/main" count="2713" uniqueCount="1131">
  <si>
    <t>Challenge</t>
  </si>
  <si>
    <t>Hint</t>
  </si>
  <si>
    <t>Expected</t>
  </si>
  <si>
    <t>Lists / per-cell expectations →</t>
  </si>
  <si>
    <t>ARENA ▸ S4-1 CONSTRUCTION CREW</t>
  </si>
  <si>
    <t>Practice area · everything here is editable. Missions and their checks are on the stage sheet.</t>
  </si>
  <si>
    <t>PASS CODE</t>
  </si>
  <si>
    <t>BUILDER</t>
  </si>
  <si>
    <t>◀ Back to S4-1 Construction Crew</t>
  </si>
  <si>
    <t>HIDE ME</t>
  </si>
  <si>
    <t>SECRET LIST</t>
  </si>
  <si>
    <t>open</t>
  </si>
  <si>
    <t>SECRET</t>
  </si>
  <si>
    <t>ROW ABOVE</t>
  </si>
  <si>
    <t>INSERT ABOVE</t>
  </si>
  <si>
    <t>LIST</t>
  </si>
  <si>
    <t>KEEP</t>
  </si>
  <si>
    <t>DELETE ME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</si>
  <si>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</si>
  <si>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</si>
  <si>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</si>
  <si>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</si>
  <si>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</si>
  <si>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Insert cells; with whole rows selected, insert whole rows.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Select rows with Shift+Space first, then Ctrl+Shift++.</t>
    </r>
  </si>
  <si>
    <t>Ctrl+Shift++</t>
  </si>
  <si>
    <t>2</t>
  </si>
  <si>
    <r>
      <rPr>
        <b/>
        <sz val="12"/>
        <color rgb="FF1F2328"/>
        <rFont val="Calibri"/>
        <family val="2"/>
        <scheme val="minor"/>
      </rPr>
      <t>Delete the selected cells; with whole rows selected, delete the rows.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Shift+Space first, then Ctrl+-.</t>
    </r>
  </si>
  <si>
    <t>Ctrl+-</t>
  </si>
  <si>
    <t>3</t>
  </si>
  <si>
    <r>
      <rPr>
        <b/>
        <sz val="12"/>
        <color rgb="FF1F2328"/>
        <rFont val="Calibri"/>
        <family val="2"/>
        <scheme val="minor"/>
      </rPr>
      <t>Hide the selected rows.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Hidden rows keep their data.</t>
    </r>
  </si>
  <si>
    <t>Ctrl+9</t>
  </si>
  <si>
    <t>4</t>
  </si>
  <si>
    <r>
      <rPr>
        <b/>
        <sz val="12"/>
        <color rgb="FF1F2328"/>
        <rFont val="Calibri"/>
        <family val="2"/>
        <scheme val="minor"/>
      </rPr>
      <t>Hide the selected columns.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Pair with Ctrl+Space to grab the column.</t>
    </r>
  </si>
  <si>
    <t>Ctrl+0</t>
  </si>
  <si>
    <t>WARM-UP · flashback to earlier stages</t>
  </si>
  <si>
    <t>Mission</t>
  </si>
  <si>
    <t>Your answer</t>
  </si>
  <si>
    <t>Result</t>
  </si>
  <si>
    <t>Hint?</t>
  </si>
  <si>
    <t>XP</t>
  </si>
  <si>
    <t>S4-1 Construction Crew W1</t>
  </si>
  <si>
    <t>SUM plus IF.</t>
  </si>
  <si>
    <t>=SUMIF</t>
  </si>
  <si>
    <t>=SUMIF(</t>
  </si>
  <si>
    <t>=SUMIF()</t>
  </si>
  <si>
    <t>SUMIF</t>
  </si>
  <si>
    <t>SUMIF(</t>
  </si>
  <si>
    <t>SUMIF()</t>
  </si>
  <si>
    <t>W1</t>
  </si>
  <si>
    <t>Which function adds values that meet one condition?  (from F3-2 Money Bags)</t>
  </si>
  <si>
    <t>S4-1 Construction Crew W2</t>
  </si>
  <si>
    <t>AVERAGE plus IF.</t>
  </si>
  <si>
    <t>=AVERAGEIF</t>
  </si>
  <si>
    <t>=AVERAGEIF(</t>
  </si>
  <si>
    <t>=AVERAGEIF()</t>
  </si>
  <si>
    <t>AVERAGEIF</t>
  </si>
  <si>
    <t>AVERAGEIF(</t>
  </si>
  <si>
    <t>AVERAGEIF()</t>
  </si>
  <si>
    <t>W2</t>
  </si>
  <si>
    <t>Which function averages values that meet one condition?  (from F3-2 Money Bags)</t>
  </si>
  <si>
    <t>S4-1 Construction Crew W3</t>
  </si>
  <si>
    <t>E for Example.</t>
  </si>
  <si>
    <t>CTRL+E</t>
  </si>
  <si>
    <t>W3</t>
  </si>
  <si>
    <t>Which keys run Flash Fill?  (from S2-3 Stamps &amp; Smart Fill)</t>
  </si>
  <si>
    <t>S4-1 Construction Crew W4</t>
  </si>
  <si>
    <t>Alt plus an arrow.</t>
  </si>
  <si>
    <t>ALT+DOWN</t>
  </si>
  <si>
    <t>W4</t>
  </si>
  <si>
    <t>Which keys open the dropdown list of a cell?  (from S2-3 Stamps &amp; Smart Fill)</t>
  </si>
  <si>
    <t>S4-1 Construction Crew W5</t>
  </si>
  <si>
    <t>Two characters: &gt; then =.</t>
  </si>
  <si>
    <t>&gt;=</t>
  </si>
  <si>
    <t>W5</t>
  </si>
  <si>
    <t>Which operator means 'greater than or equal to'?  (from F2-1 True or False)</t>
  </si>
  <si>
    <t>S4-1 Construction Crew W6</t>
  </si>
  <si>
    <t>Less-than then greater-than.</t>
  </si>
  <si>
    <t>&lt;&gt;</t>
  </si>
  <si>
    <t>W6</t>
  </si>
  <si>
    <t>Which operator means 'not equal to'?  (from F2-1 True or False)</t>
  </si>
  <si>
    <t>S4-1 Construction Crew W7</t>
  </si>
  <si>
    <t>Shift plus the apostrophe key.</t>
  </si>
  <si>
    <t>"</t>
  </si>
  <si>
    <t>DOUBLEQUOTES</t>
  </si>
  <si>
    <t>QUOTATIONMARKS</t>
  </si>
  <si>
    <t>QUOTES</t>
  </si>
  <si>
    <t>W7</t>
  </si>
  <si>
    <t>What must surround text inside a formula?  (from F2-1 True or False)</t>
  </si>
  <si>
    <t>S4-1 Construction Crew W8</t>
  </si>
  <si>
    <t>Two letters.</t>
  </si>
  <si>
    <t>=IF</t>
  </si>
  <si>
    <t>=IF(</t>
  </si>
  <si>
    <t>=IF()</t>
  </si>
  <si>
    <t>IF</t>
  </si>
  <si>
    <t>IF(</t>
  </si>
  <si>
    <t>IF()</t>
  </si>
  <si>
    <t>W8</t>
  </si>
  <si>
    <t>Which function returns one value when a test is TRUE and another when FALSE?  (from F2-2 Fork in the Road)</t>
  </si>
  <si>
    <t>S4-1 Construction Crew W9</t>
  </si>
  <si>
    <t>50 is not more than 100.</t>
  </si>
  <si>
    <t>50</t>
  </si>
  <si>
    <t>W9</t>
  </si>
  <si>
    <t>In =IF(B2&gt;100,B2*0.9,B2), what is returned when B2 is 50?  (from F2-2 Fork in the Road)</t>
  </si>
  <si>
    <t>S4-1 Construction Crew W10</t>
  </si>
  <si>
    <t>Two double quotes, nothing inside.</t>
  </si>
  <si>
    <t>""</t>
  </si>
  <si>
    <t>W10</t>
  </si>
  <si>
    <t>What do you type in a formula for an empty, blank-looking result?  (from F2-2 Fork in the Road)</t>
  </si>
  <si>
    <t>TRAINING · recognize the move (pick from the list)</t>
  </si>
  <si>
    <t>S4-1 Construction Crew T1</t>
  </si>
  <si>
    <t>Ctrl+Shift plus the + key.</t>
  </si>
  <si>
    <t>Alt+A, S, D</t>
  </si>
  <si>
    <t>Ctrl+S</t>
  </si>
  <si>
    <t>F12</t>
  </si>
  <si>
    <t>T1</t>
  </si>
  <si>
    <t>Which keys insert cells or rows?</t>
  </si>
  <si>
    <t>S4-1 Construction Crew T2</t>
  </si>
  <si>
    <t>Ctrl plus the minus key.</t>
  </si>
  <si>
    <t>T2</t>
  </si>
  <si>
    <t>Which keys delete the selected cells or rows?</t>
  </si>
  <si>
    <t>S4-1 Construction Crew T3</t>
  </si>
  <si>
    <t>Ctrl plus a number key.</t>
  </si>
  <si>
    <t>Alt+A, S, A</t>
  </si>
  <si>
    <t>Ctrl+H</t>
  </si>
  <si>
    <t>T3</t>
  </si>
  <si>
    <t>Which keys hide the selected rows?</t>
  </si>
  <si>
    <t>S4-1 Construction Crew T4</t>
  </si>
  <si>
    <t>Ctrl plus zero.</t>
  </si>
  <si>
    <t>Ctrl+W</t>
  </si>
  <si>
    <t>Ctrl+T</t>
  </si>
  <si>
    <t>Alt+↓ (on a header)</t>
  </si>
  <si>
    <t>T4</t>
  </si>
  <si>
    <t>Which keys hide the selected columns?</t>
  </si>
  <si>
    <t>CHALLENGES · recall it, then do it</t>
  </si>
  <si>
    <t>▶ Open S4-1 Arena (or press Ctrl+PgDn)</t>
  </si>
  <si>
    <t>S4-1 Construction Crew C1</t>
  </si>
  <si>
    <t>CTRL++</t>
  </si>
  <si>
    <t>CTRL+SHIFT++</t>
  </si>
  <si>
    <t>CTRL+SHIFT+=</t>
  </si>
  <si>
    <t>SHIFT+CTRL++</t>
  </si>
  <si>
    <t>SHIFT+CTRL+=</t>
  </si>
  <si>
    <t>C1</t>
  </si>
  <si>
    <t>S4-1 Construction Crew C2</t>
  </si>
  <si>
    <t>CTRL+-</t>
  </si>
  <si>
    <t>C2</t>
  </si>
  <si>
    <t>S4-1 Construction Crew C3</t>
  </si>
  <si>
    <t>CTRL+9</t>
  </si>
  <si>
    <t>C3</t>
  </si>
  <si>
    <t>S4-1 Construction Crew C4</t>
  </si>
  <si>
    <t>CTRL+0</t>
  </si>
  <si>
    <t>C4</t>
  </si>
  <si>
    <t>S4-1 Construction Crew C5</t>
  </si>
  <si>
    <t>Shift+Space selects the row.</t>
  </si>
  <si>
    <t>C5</t>
  </si>
  <si>
    <t>In the LIST block, rows with DELETE ME must go. Click the first DELETE ME cell, press Shift+Space, then Shift+↓ twice to select all three rows, and press Ctrl+-.</t>
  </si>
  <si>
    <t>▶ ARENA C5 (cell B32)</t>
  </si>
  <si>
    <t>S4-1 Construction Crew C6</t>
  </si>
  <si>
    <t>Select two rows to insert two.</t>
  </si>
  <si>
    <t>C6</t>
  </si>
  <si>
    <t>Click INSERT ABOVE (B25), press Shift+Space, then Shift+↓ once to select two rows, and press Ctrl+Shift++ to insert two blank rows above it.</t>
  </si>
  <si>
    <t>▶ ARENA C6 (cell B25)</t>
  </si>
  <si>
    <t>S4-1 Construction Crew C7</t>
  </si>
  <si>
    <t>Ctrl+9 hides the selected row.</t>
  </si>
  <si>
    <t>C7</t>
  </si>
  <si>
    <t>Hide both SECRET rows: click a SECRET cell, press Shift+Space, then Ctrl+9. Repeat for the other one, then press F9.</t>
  </si>
  <si>
    <t>▶ ARENA C7 (cell B14)</t>
  </si>
  <si>
    <t>S4-1 Construction Crew C8</t>
  </si>
  <si>
    <t>Ctrl+Space, then Ctrl+0.</t>
  </si>
  <si>
    <t>C8</t>
  </si>
  <si>
    <t>Click H5 (HIDE ME), press Ctrl+Space to select column H, then Ctrl+0 to hide it. Press F9.</t>
  </si>
  <si>
    <t>▶ ARENA C8 (cell H5)</t>
  </si>
  <si>
    <t>STAGE S4-1 ▸ CONSTRUCTION CREW</t>
  </si>
  <si>
    <t>Goal: insert, delete and hide rows and columns</t>
  </si>
  <si>
    <t>ARENA ▸ S4-2 SHEET MASTER</t>
  </si>
  <si>
    <t>TABS</t>
  </si>
  <si>
    <t>◀ Back to S4-2 Sheet Master</t>
  </si>
  <si>
    <t>Sheet tricks happen on the sheet tabs. The missions are on the stage sheet.</t>
  </si>
  <si>
    <t>RENAME ME</t>
  </si>
  <si>
    <t>Rename this sheet to Vault with Alt, H, O, R (mission on stage S4-2).</t>
  </si>
  <si>
    <r>
      <rPr>
        <b/>
        <sz val="12"/>
        <color rgb="FF1F2328"/>
        <rFont val="Calibri"/>
        <family val="2"/>
        <scheme val="minor"/>
      </rPr>
      <t>Insert a new worksheet.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Alt+Shift+F1 does the same.</t>
    </r>
  </si>
  <si>
    <t>Shift+F11</t>
  </si>
  <si>
    <r>
      <rPr>
        <b/>
        <sz val="12"/>
        <color rgb="FF1F2328"/>
        <rFont val="Calibri"/>
        <family val="2"/>
        <scheme val="minor"/>
      </rPr>
      <t>Rename the current sheet (KeyTips: Home, Format, Rename).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Type the new name, then Enter.</t>
    </r>
  </si>
  <si>
    <t>Alt+H, O, R</t>
  </si>
  <si>
    <r>
      <rPr>
        <b/>
        <sz val="12"/>
        <color rgb="FF1F2328"/>
        <rFont val="Calibri"/>
        <family val="2"/>
        <scheme val="minor"/>
      </rPr>
      <t>Save the workbook.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Save early, save often.</t>
    </r>
  </si>
  <si>
    <r>
      <rPr>
        <b/>
        <sz val="12"/>
        <color rgb="FF1F2328"/>
        <rFont val="Calibri"/>
        <family val="2"/>
        <scheme val="minor"/>
      </rPr>
      <t>Open Save As to save a copy or change the name.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Keep the original and practice on a copy.</t>
    </r>
  </si>
  <si>
    <t>5</t>
  </si>
  <si>
    <r>
      <rPr>
        <b/>
        <sz val="12"/>
        <color rgb="FF1F2328"/>
        <rFont val="Calibri"/>
        <family val="2"/>
        <scheme val="minor"/>
      </rPr>
      <t>Create a new blank workbook.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Starts fresh in a new window.</t>
    </r>
  </si>
  <si>
    <t>Ctrl+N</t>
  </si>
  <si>
    <t>6</t>
  </si>
  <si>
    <r>
      <rPr>
        <b/>
        <sz val="12"/>
        <color rgb="FF1F2328"/>
        <rFont val="Calibri"/>
        <family val="2"/>
        <scheme val="minor"/>
      </rPr>
      <t>Open a workbook (and see your recent files).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Recent files are listed first.</t>
    </r>
  </si>
  <si>
    <t>Ctrl+O</t>
  </si>
  <si>
    <t>7</t>
  </si>
  <si>
    <r>
      <rPr>
        <b/>
        <sz val="12"/>
        <color rgb="FF1F2328"/>
        <rFont val="Calibri"/>
        <family val="2"/>
        <scheme val="minor"/>
      </rPr>
      <t>Close the current workbook window.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Excel asks before losing changes.</t>
    </r>
  </si>
  <si>
    <t>8</t>
  </si>
  <si>
    <r>
      <rPr>
        <b/>
        <sz val="12"/>
        <color rgb="FF1F2328"/>
        <rFont val="Calibri"/>
        <family val="2"/>
        <scheme val="minor"/>
      </rPr>
      <t>Open Print (with a preview).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Check the preview before paper.</t>
    </r>
  </si>
  <si>
    <t>Ctrl+P</t>
  </si>
  <si>
    <t>S4-2 Sheet Master W1</t>
  </si>
  <si>
    <t>Which keys insert cells or rows?  (from S4-1 Construction Crew)</t>
  </si>
  <si>
    <t>S4-2 Sheet Master W2</t>
  </si>
  <si>
    <t>Which keys delete the selected cells or rows?  (from S4-1 Construction Crew)</t>
  </si>
  <si>
    <t>S4-2 Sheet Master W3</t>
  </si>
  <si>
    <t>Which keys hide the selected rows?  (from S4-1 Construction Crew)</t>
  </si>
  <si>
    <t>S4-2 Sheet Master W4</t>
  </si>
  <si>
    <t>Which keys hide the selected columns?  (from S4-1 Construction Crew)</t>
  </si>
  <si>
    <t>S4-2 Sheet Master W5</t>
  </si>
  <si>
    <t>COUNTIF plus S.</t>
  </si>
  <si>
    <t>=COUNTIFS</t>
  </si>
  <si>
    <t>=COUNTIFS(</t>
  </si>
  <si>
    <t>=COUNTIFS()</t>
  </si>
  <si>
    <t>COUNTIFS</t>
  </si>
  <si>
    <t>COUNTIFS(</t>
  </si>
  <si>
    <t>COUNTIFS()</t>
  </si>
  <si>
    <t>Which function counts rows that meet several conditions?  (from F3-3 Multi-Filter)</t>
  </si>
  <si>
    <t>S4-2 Sheet Master W6</t>
  </si>
  <si>
    <t>SUMIF plus S.</t>
  </si>
  <si>
    <t>=SUMIFS</t>
  </si>
  <si>
    <t>=SUMIFS(</t>
  </si>
  <si>
    <t>=SUMIFS()</t>
  </si>
  <si>
    <t>SUMIFS</t>
  </si>
  <si>
    <t>SUMIFS(</t>
  </si>
  <si>
    <t>SUMIFS()</t>
  </si>
  <si>
    <t>Which function adds values that meet several conditions?  (from F3-3 Multi-Filter)</t>
  </si>
  <si>
    <t>S4-2 Sheet Master W7</t>
  </si>
  <si>
    <t>AVERAGEIF plus S.</t>
  </si>
  <si>
    <t>=AVERAGEIFS</t>
  </si>
  <si>
    <t>=AVERAGEIFS(</t>
  </si>
  <si>
    <t>=AVERAGEIFS()</t>
  </si>
  <si>
    <t>AVERAGEIFS</t>
  </si>
  <si>
    <t>AVERAGEIFS(</t>
  </si>
  <si>
    <t>AVERAGEIFS()</t>
  </si>
  <si>
    <t>Which function averages values that meet several conditions?  (from F3-3 Multi-Filter)</t>
  </si>
  <si>
    <t>S4-2 Sheet Master W8</t>
  </si>
  <si>
    <t>Three letters: all must pass.</t>
  </si>
  <si>
    <t>=AND</t>
  </si>
  <si>
    <t>=AND(</t>
  </si>
  <si>
    <t>=AND()</t>
  </si>
  <si>
    <t>AND</t>
  </si>
  <si>
    <t>AND(</t>
  </si>
  <si>
    <t>AND()</t>
  </si>
  <si>
    <t>Which function is TRUE only when all its conditions are TRUE?  (from F2-3 Combo Moves)</t>
  </si>
  <si>
    <t>S4-2 Sheet Master W9</t>
  </si>
  <si>
    <t>Two letters: any can pass.</t>
  </si>
  <si>
    <t>=OR</t>
  </si>
  <si>
    <t>=OR(</t>
  </si>
  <si>
    <t>=OR()</t>
  </si>
  <si>
    <t>OR</t>
  </si>
  <si>
    <t>OR(</t>
  </si>
  <si>
    <t>OR()</t>
  </si>
  <si>
    <t>Which function is TRUE when at least one condition is TRUE?  (from F2-3 Combo Moves)</t>
  </si>
  <si>
    <t>S4-2 Sheet Master W10</t>
  </si>
  <si>
    <t>Three letters: the opposite.</t>
  </si>
  <si>
    <t>=NOT</t>
  </si>
  <si>
    <t>=NOT(</t>
  </si>
  <si>
    <t>=NOT()</t>
  </si>
  <si>
    <t>NOT</t>
  </si>
  <si>
    <t>NOT(</t>
  </si>
  <si>
    <t>NOT()</t>
  </si>
  <si>
    <t>Which function flips TRUE and FALSE?  (from F2-3 Combo Moves)</t>
  </si>
  <si>
    <t>S4-2 Sheet Master T1</t>
  </si>
  <si>
    <t>Shift plus F11.</t>
  </si>
  <si>
    <t>Alt+F1</t>
  </si>
  <si>
    <t>Which keys insert a new worksheet?</t>
  </si>
  <si>
    <t>S4-2 Sheet Master T2</t>
  </si>
  <si>
    <t>Alt, H, O, R one after another.</t>
  </si>
  <si>
    <t>Which KeyTips rename the current sheet?</t>
  </si>
  <si>
    <t>S4-2 Sheet Master T3</t>
  </si>
  <si>
    <t>S for Save.</t>
  </si>
  <si>
    <t>Ctrl+F</t>
  </si>
  <si>
    <t>Which keys save the workbook?</t>
  </si>
  <si>
    <t>S4-2 Sheet Master T4</t>
  </si>
  <si>
    <t>The last function key.</t>
  </si>
  <si>
    <t>Which key opens Save As?</t>
  </si>
  <si>
    <t>S4-2 Sheet Master T5</t>
  </si>
  <si>
    <t>N for New.</t>
  </si>
  <si>
    <t>T5</t>
  </si>
  <si>
    <t>Which keys create a new blank workbook?</t>
  </si>
  <si>
    <t>S4-2 Sheet Master T6</t>
  </si>
  <si>
    <t>O for Open.</t>
  </si>
  <si>
    <t>T6</t>
  </si>
  <si>
    <t>Which keys open a workbook?</t>
  </si>
  <si>
    <t>S4-2 Sheet Master T7</t>
  </si>
  <si>
    <t>W for Window.</t>
  </si>
  <si>
    <t>T7</t>
  </si>
  <si>
    <t>Which keys close the current workbook?</t>
  </si>
  <si>
    <t>S4-2 Sheet Master T8</t>
  </si>
  <si>
    <t>P for Print.</t>
  </si>
  <si>
    <t>T8</t>
  </si>
  <si>
    <t>Which keys open Print?</t>
  </si>
  <si>
    <t>▶ Open S4-2 Arena (or press Ctrl+PgDn)</t>
  </si>
  <si>
    <t>S4-2 Sheet Master C1</t>
  </si>
  <si>
    <t>ALT+SHIFT+F1</t>
  </si>
  <si>
    <t>SHIFT+ALT+F1</t>
  </si>
  <si>
    <t>SHIFT+F11</t>
  </si>
  <si>
    <t>S4-2 Sheet Master C2</t>
  </si>
  <si>
    <t>ALT+H+O+R</t>
  </si>
  <si>
    <t>ALT+H,O,R</t>
  </si>
  <si>
    <t>ALT+H&gt;O&gt;R</t>
  </si>
  <si>
    <t>ALT+HOR</t>
  </si>
  <si>
    <t>ALT,H+O+R</t>
  </si>
  <si>
    <t>ALT,H,O,R</t>
  </si>
  <si>
    <t>ALT,H&gt;O&gt;R</t>
  </si>
  <si>
    <t>ALT,HOR</t>
  </si>
  <si>
    <t>ALT&gt;H+O+R</t>
  </si>
  <si>
    <t>ALT&gt;H,O,R</t>
  </si>
  <si>
    <t>ALT&gt;H&gt;O&gt;R</t>
  </si>
  <si>
    <t>ALT&gt;HOR</t>
  </si>
  <si>
    <t>ALTH+O+R</t>
  </si>
  <si>
    <t>ALTH,O,R</t>
  </si>
  <si>
    <t>ALTH&gt;O&gt;R</t>
  </si>
  <si>
    <t>ALTHOR</t>
  </si>
  <si>
    <t>S4-2 Sheet Master C3</t>
  </si>
  <si>
    <t>CTRL+S</t>
  </si>
  <si>
    <t>S4-2 Sheet Master C4</t>
  </si>
  <si>
    <t>S4-2 Sheet Master C5</t>
  </si>
  <si>
    <t>CTRL+N</t>
  </si>
  <si>
    <t>S4-2 Sheet Master C6</t>
  </si>
  <si>
    <t>CTRL+O</t>
  </si>
  <si>
    <t>S4-2 Sheet Master C7</t>
  </si>
  <si>
    <t>CTRL+W</t>
  </si>
  <si>
    <t>S4-2 Sheet Master C8</t>
  </si>
  <si>
    <t>CTRL+P</t>
  </si>
  <si>
    <t>S4-2 Sheet Master C9</t>
  </si>
  <si>
    <t>Shift+F11.</t>
  </si>
  <si>
    <t>C9</t>
  </si>
  <si>
    <t>Press Shift+F11 to insert a new worksheet, then come back here and press F9.</t>
  </si>
  <si>
    <t>▶ ARENA C9 (cell B5)</t>
  </si>
  <si>
    <t>S4-2 Sheet Master C10</t>
  </si>
  <si>
    <t>Home → Format → Rename.</t>
  </si>
  <si>
    <t>C10</t>
  </si>
  <si>
    <t>Go to the sheet named Rename Me (Ctrl+PgDn), press Alt, H, O, R, type Vault and press Enter. Come back and press F9.</t>
  </si>
  <si>
    <t>▶ ARENA C10 (cell B5)</t>
  </si>
  <si>
    <t>S4-2 Sheet Master C11</t>
  </si>
  <si>
    <t>Ctrl+S or F12.</t>
  </si>
  <si>
    <t>Done</t>
  </si>
  <si>
    <t>C11</t>
  </si>
  <si>
    <t>Save your progress with Ctrl+S (or keep the original and use F12 to save a copy). Then pick Done.</t>
  </si>
  <si>
    <t>STAGE S4-2 ▸ SHEET MASTER</t>
  </si>
  <si>
    <t>Goal: manage sheets and files from the keyboard</t>
  </si>
  <si>
    <t>ARENA ▸ S4-3 DETECTIVE</t>
  </si>
  <si>
    <t>SLEUTH</t>
  </si>
  <si>
    <t>◀ Back to S4-3 Detective</t>
  </si>
  <si>
    <t>SKU</t>
  </si>
  <si>
    <t>Product</t>
  </si>
  <si>
    <t>Category</t>
  </si>
  <si>
    <t>Stock</t>
  </si>
  <si>
    <t>Note</t>
  </si>
  <si>
    <t>SKU-1000</t>
  </si>
  <si>
    <t>Apple</t>
  </si>
  <si>
    <t>Food</t>
  </si>
  <si>
    <t>Check</t>
  </si>
  <si>
    <t>SKU-1001</t>
  </si>
  <si>
    <t>Kiwi</t>
  </si>
  <si>
    <t>OK</t>
  </si>
  <si>
    <t>SKU-1002</t>
  </si>
  <si>
    <t>Quince</t>
  </si>
  <si>
    <t>SKU-1003</t>
  </si>
  <si>
    <t>Gizmo</t>
  </si>
  <si>
    <t>Tech</t>
  </si>
  <si>
    <t>SKU-1004</t>
  </si>
  <si>
    <t>Pear</t>
  </si>
  <si>
    <t>N/A</t>
  </si>
  <si>
    <t>SKU-1005</t>
  </si>
  <si>
    <t>Widget</t>
  </si>
  <si>
    <t>SKU-1006</t>
  </si>
  <si>
    <t>Olive</t>
  </si>
  <si>
    <t>SKU-1007</t>
  </si>
  <si>
    <t>Mini Gadget</t>
  </si>
  <si>
    <t>SKU-1008</t>
  </si>
  <si>
    <t>Nut Mix</t>
  </si>
  <si>
    <t>SKU-1009</t>
  </si>
  <si>
    <t>Gadget Pro</t>
  </si>
  <si>
    <t>SKU-1010</t>
  </si>
  <si>
    <t>Gadget Max</t>
  </si>
  <si>
    <t>SKU-1011</t>
  </si>
  <si>
    <t>Cherry</t>
  </si>
  <si>
    <t>SKU-1012</t>
  </si>
  <si>
    <t>Mango</t>
  </si>
  <si>
    <t>SKU-1013</t>
  </si>
  <si>
    <t>Banana</t>
  </si>
  <si>
    <t>SKU-1014</t>
  </si>
  <si>
    <t>Lemon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</si>
  <si>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</si>
  <si>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</si>
  <si>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</si>
  <si>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</si>
  <si>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</si>
  <si>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</si>
  <si>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</si>
  <si>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</si>
  <si>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</si>
  <si>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</si>
  <si>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</si>
  <si>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</si>
  <si>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</si>
  <si>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</si>
  <si>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</si>
  <si>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</si>
  <si>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</si>
  <si>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</si>
  <si>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</si>
  <si>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</si>
  <si>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</si>
  <si>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</si>
  <si>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</si>
  <si>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</si>
  <si>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</si>
  <si>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</si>
  <si>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</si>
  <si>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</si>
  <si>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</si>
  <si>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</si>
  <si>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</si>
  <si>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</si>
  <si>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SKU-1047</t>
  </si>
  <si>
    <t>SKU-1048</t>
  </si>
  <si>
    <t>SKU-1049</t>
  </si>
  <si>
    <t>SKU-1050</t>
  </si>
  <si>
    <t>SKU-1051</t>
  </si>
  <si>
    <t>SKU-1052</t>
  </si>
  <si>
    <t>SKU-1053</t>
  </si>
  <si>
    <t>SKU-1054</t>
  </si>
  <si>
    <t>SKU-1055</t>
  </si>
  <si>
    <t>SKU-1056</t>
  </si>
  <si>
    <t>SKU-1057</t>
  </si>
  <si>
    <t>SKU-1058</t>
  </si>
  <si>
    <t>SKU-1059</t>
  </si>
  <si>
    <t>SKU-1060</t>
  </si>
  <si>
    <t>SKU-1061</t>
  </si>
  <si>
    <t>SKU-1062</t>
  </si>
  <si>
    <t>SKU-1063</t>
  </si>
  <si>
    <t>SKU-1064</t>
  </si>
  <si>
    <t>SKU-1065</t>
  </si>
  <si>
    <t>SKU-1066</t>
  </si>
  <si>
    <t>SKU-1067</t>
  </si>
  <si>
    <t>SKU-1068</t>
  </si>
  <si>
    <t>SKU-1069</t>
  </si>
  <si>
    <t>SKU-1070</t>
  </si>
  <si>
    <t>SKU-1071</t>
  </si>
  <si>
    <t>SKU-1072</t>
  </si>
  <si>
    <t>SKU-1073</t>
  </si>
  <si>
    <t>SKU-1074</t>
  </si>
  <si>
    <t>SKU-1075</t>
  </si>
  <si>
    <t>SKU-1076</t>
  </si>
  <si>
    <t>SKU-1077</t>
  </si>
  <si>
    <t>SKU-1078</t>
  </si>
  <si>
    <t>SKU-1079</t>
  </si>
  <si>
    <t>SKU-1080</t>
  </si>
  <si>
    <t>SKU-1081</t>
  </si>
  <si>
    <t>SKU-1082</t>
  </si>
  <si>
    <t>SKU-1083</t>
  </si>
  <si>
    <t>SKU-1084</t>
  </si>
  <si>
    <t>SKU-1085</t>
  </si>
  <si>
    <t>SKU-1086</t>
  </si>
  <si>
    <t>SKU-1087</t>
  </si>
  <si>
    <t>SKU-1088</t>
  </si>
  <si>
    <t>SKU-1089</t>
  </si>
  <si>
    <t>SKU-1090</t>
  </si>
  <si>
    <t>SKU-1091</t>
  </si>
  <si>
    <t>SKU-1092</t>
  </si>
  <si>
    <t>SKU-1093</t>
  </si>
  <si>
    <t>SKU-1094</t>
  </si>
  <si>
    <t>SKU-1095</t>
  </si>
  <si>
    <t>SKU-1096</t>
  </si>
  <si>
    <t>SKU-1097</t>
  </si>
  <si>
    <t>SKU-1098</t>
  </si>
  <si>
    <t>SKU-1099</t>
  </si>
  <si>
    <t>SKU-1100</t>
  </si>
  <si>
    <t>SKU-1101</t>
  </si>
  <si>
    <t>SKU-1102</t>
  </si>
  <si>
    <t>SKU-1103</t>
  </si>
  <si>
    <t>SKU-1104</t>
  </si>
  <si>
    <t>SKU-1105</t>
  </si>
  <si>
    <t>SKU-1106</t>
  </si>
  <si>
    <t>SKU-1107</t>
  </si>
  <si>
    <t>SKU-1108</t>
  </si>
  <si>
    <t>SKU-1109</t>
  </si>
  <si>
    <t>SKU-1110</t>
  </si>
  <si>
    <t>SKU-1111</t>
  </si>
  <si>
    <t>SKU-1112</t>
  </si>
  <si>
    <t>SKU-1113</t>
  </si>
  <si>
    <t>SKU-1114</t>
  </si>
  <si>
    <t>SKU-1115</t>
  </si>
  <si>
    <t>SKU-1116</t>
  </si>
  <si>
    <t>SKU-1117</t>
  </si>
  <si>
    <t>SKU-1118</t>
  </si>
  <si>
    <t>SKU-1119</t>
  </si>
  <si>
    <t>SKU-1120</t>
  </si>
  <si>
    <t>SKU-1121</t>
  </si>
  <si>
    <t>SKU-1122</t>
  </si>
  <si>
    <t>SKU-1123</t>
  </si>
  <si>
    <t>SKU-1124</t>
  </si>
  <si>
    <t>SKU-1125</t>
  </si>
  <si>
    <t>SKU-1126</t>
  </si>
  <si>
    <t>SKU-1127</t>
  </si>
  <si>
    <t>SKU-1128</t>
  </si>
  <si>
    <t>SKU-1129</t>
  </si>
  <si>
    <t>SKU-1130</t>
  </si>
  <si>
    <t>SKU-1131</t>
  </si>
  <si>
    <t>SKU-1132</t>
  </si>
  <si>
    <t>SKU-1133</t>
  </si>
  <si>
    <t>SKU-1134</t>
  </si>
  <si>
    <t>SKU-1135</t>
  </si>
  <si>
    <t>SKU-1136</t>
  </si>
  <si>
    <t>SKU-1137</t>
  </si>
  <si>
    <t>SKU-1138</t>
  </si>
  <si>
    <t>SKU-1139</t>
  </si>
  <si>
    <t>SKU-1140</t>
  </si>
  <si>
    <t>SKU-1141</t>
  </si>
  <si>
    <t>SKU-1142</t>
  </si>
  <si>
    <t>SKU-1143</t>
  </si>
  <si>
    <t>SKU-1144</t>
  </si>
  <si>
    <t>SKU-1145</t>
  </si>
  <si>
    <t>SKU-1146</t>
  </si>
  <si>
    <t>SKU-1147</t>
  </si>
  <si>
    <t>SKU-1148</t>
  </si>
  <si>
    <t>SKU-1149</t>
  </si>
  <si>
    <t>SKU-1150</t>
  </si>
  <si>
    <t>SKU-1151</t>
  </si>
  <si>
    <t>SKU-1152</t>
  </si>
  <si>
    <t>SKU-1153</t>
  </si>
  <si>
    <t>SKU-1154</t>
  </si>
  <si>
    <t>SKU-1155</t>
  </si>
  <si>
    <t>SKU-1156</t>
  </si>
  <si>
    <t>SKU-1157</t>
  </si>
  <si>
    <t>SKU-1158</t>
  </si>
  <si>
    <t>SKU-1159</t>
  </si>
  <si>
    <t>SKU-1160</t>
  </si>
  <si>
    <t>SKU-1161</t>
  </si>
  <si>
    <t>SKU-1162</t>
  </si>
  <si>
    <t>SKU-1163</t>
  </si>
  <si>
    <t>SKU-1164</t>
  </si>
  <si>
    <t>SKU-1165</t>
  </si>
  <si>
    <t>SKU-1166</t>
  </si>
  <si>
    <t>SKU-1167</t>
  </si>
  <si>
    <t>SKU-1168</t>
  </si>
  <si>
    <t>SKU-1169</t>
  </si>
  <si>
    <t>SKU-1170</t>
  </si>
  <si>
    <t>SKU-1171</t>
  </si>
  <si>
    <t>SKU-1172</t>
  </si>
  <si>
    <t>SKU-1173</t>
  </si>
  <si>
    <t>SKU-1174</t>
  </si>
  <si>
    <t>SKU-1175</t>
  </si>
  <si>
    <t>SKU-1176</t>
  </si>
  <si>
    <t>SKU-1177</t>
  </si>
  <si>
    <t>SKU-1178</t>
  </si>
  <si>
    <t>SKU-1179</t>
  </si>
  <si>
    <t>SKU-1180</t>
  </si>
  <si>
    <t>SKU-1181</t>
  </si>
  <si>
    <t>SKU-1182</t>
  </si>
  <si>
    <t>SKU-1183</t>
  </si>
  <si>
    <t>SKU-1184</t>
  </si>
  <si>
    <t>SKU-1185</t>
  </si>
  <si>
    <t>SKU-1186</t>
  </si>
  <si>
    <t>SKU-1187</t>
  </si>
  <si>
    <t>SKU-1188</t>
  </si>
  <si>
    <t>SKU-1189</t>
  </si>
  <si>
    <t>SKU-1190</t>
  </si>
  <si>
    <t>SKU-1191</t>
  </si>
  <si>
    <t>SKU-1192</t>
  </si>
  <si>
    <t>SKU-1193</t>
  </si>
  <si>
    <t>SKU-1194</t>
  </si>
  <si>
    <t>SKU-1195</t>
  </si>
  <si>
    <t>SKU-1196</t>
  </si>
  <si>
    <t>SKU-1197</t>
  </si>
  <si>
    <t>SKU-1198</t>
  </si>
  <si>
    <t>SKU-1199</t>
  </si>
  <si>
    <t>SKU-1200</t>
  </si>
  <si>
    <t>Dragonfruit</t>
  </si>
  <si>
    <t>SKU-1201</t>
  </si>
  <si>
    <t>SKU-1202</t>
  </si>
  <si>
    <t>SKU-1203</t>
  </si>
  <si>
    <t>SKU-1204</t>
  </si>
  <si>
    <t>SKU-1205</t>
  </si>
  <si>
    <t>SKU-1206</t>
  </si>
  <si>
    <t>SKU-1207</t>
  </si>
  <si>
    <t>SKU-1208</t>
  </si>
  <si>
    <t>SKU-1209</t>
  </si>
  <si>
    <t>SKU-1210</t>
  </si>
  <si>
    <t>SKU-1211</t>
  </si>
  <si>
    <t>SKU-1212</t>
  </si>
  <si>
    <t>SKU-1213</t>
  </si>
  <si>
    <t>SKU-1214</t>
  </si>
  <si>
    <t>SKU-1215</t>
  </si>
  <si>
    <t>SKU-1216</t>
  </si>
  <si>
    <t>SKU-1217</t>
  </si>
  <si>
    <t>SKU-1218</t>
  </si>
  <si>
    <t>SKU-1219</t>
  </si>
  <si>
    <t>SKU-1220</t>
  </si>
  <si>
    <t>SKU-1221</t>
  </si>
  <si>
    <t>SKU-1222</t>
  </si>
  <si>
    <t>SKU-1223</t>
  </si>
  <si>
    <t>SKU-1224</t>
  </si>
  <si>
    <t>SKU-1225</t>
  </si>
  <si>
    <t>SKU-1226</t>
  </si>
  <si>
    <t>SKU-1227</t>
  </si>
  <si>
    <t>SKU-1228</t>
  </si>
  <si>
    <t>SKU-1229</t>
  </si>
  <si>
    <t>SKU-1230</t>
  </si>
  <si>
    <t>SKU-1231</t>
  </si>
  <si>
    <t>SKU-1232</t>
  </si>
  <si>
    <t>SKU-1233</t>
  </si>
  <si>
    <t>SKU-1234</t>
  </si>
  <si>
    <t>SKU-1235</t>
  </si>
  <si>
    <t>SKU-1236</t>
  </si>
  <si>
    <t>SKU-1237</t>
  </si>
  <si>
    <t>SKU-1238</t>
  </si>
  <si>
    <t>SKU-1239</t>
  </si>
  <si>
    <t>SKU-1240</t>
  </si>
  <si>
    <t>SKU-1241</t>
  </si>
  <si>
    <t>SKU-1242</t>
  </si>
  <si>
    <t>SKU-1243</t>
  </si>
  <si>
    <t>SKU-1244</t>
  </si>
  <si>
    <t>SKU-1245</t>
  </si>
  <si>
    <t>SKU-1246</t>
  </si>
  <si>
    <t>SKU-1247</t>
  </si>
  <si>
    <t>SKU-1248</t>
  </si>
  <si>
    <t>SKU-1249</t>
  </si>
  <si>
    <t>SKU-1250</t>
  </si>
  <si>
    <t>SKU-1251</t>
  </si>
  <si>
    <t>SKU-1252</t>
  </si>
  <si>
    <t>SKU-1253</t>
  </si>
  <si>
    <t>SKU-1254</t>
  </si>
  <si>
    <t>SKU-1255</t>
  </si>
  <si>
    <t>SKU-1256</t>
  </si>
  <si>
    <t>SKU-1257</t>
  </si>
  <si>
    <t>SKU-1258</t>
  </si>
  <si>
    <t>SKU-1259</t>
  </si>
  <si>
    <t>SKU-1260</t>
  </si>
  <si>
    <t>SKU-1261</t>
  </si>
  <si>
    <t>SKU-1262</t>
  </si>
  <si>
    <t>SKU-1263</t>
  </si>
  <si>
    <t>SKU-1264</t>
  </si>
  <si>
    <t>SKU-1265</t>
  </si>
  <si>
    <t>SKU-1266</t>
  </si>
  <si>
    <t>SKU-1267</t>
  </si>
  <si>
    <t>SKU-1268</t>
  </si>
  <si>
    <t>SKU-1269</t>
  </si>
  <si>
    <t>SKU-1270</t>
  </si>
  <si>
    <t>SKU-1271</t>
  </si>
  <si>
    <t>SKU-1272</t>
  </si>
  <si>
    <t>SKU-1273</t>
  </si>
  <si>
    <t>SKU-1274</t>
  </si>
  <si>
    <t>SKU-1275</t>
  </si>
  <si>
    <t>SKU-1276</t>
  </si>
  <si>
    <t>SKU-1277</t>
  </si>
  <si>
    <t>SKU-1278</t>
  </si>
  <si>
    <t>SKU-1279</t>
  </si>
  <si>
    <t>SKU-1280</t>
  </si>
  <si>
    <t>SKU-1281</t>
  </si>
  <si>
    <t>SKU-1282</t>
  </si>
  <si>
    <t>SKU-1283</t>
  </si>
  <si>
    <t>SKU-1284</t>
  </si>
  <si>
    <t>SKU-1285</t>
  </si>
  <si>
    <t>SKU-1286</t>
  </si>
  <si>
    <t>SKU-1287</t>
  </si>
  <si>
    <t>SKU-1288</t>
  </si>
  <si>
    <t>SKU-1289</t>
  </si>
  <si>
    <t>SKU-1290</t>
  </si>
  <si>
    <t>SKU-1291</t>
  </si>
  <si>
    <t>SKU-1292</t>
  </si>
  <si>
    <t>SKU-1293</t>
  </si>
  <si>
    <t>SKU-1294</t>
  </si>
  <si>
    <t>SKU-1295</t>
  </si>
  <si>
    <t>SKU-1296</t>
  </si>
  <si>
    <t>SKU-1297</t>
  </si>
  <si>
    <t>SKU-1298</t>
  </si>
  <si>
    <t>SKU-1299</t>
  </si>
  <si>
    <r>
      <rPr>
        <b/>
        <sz val="12"/>
        <color rgb="FF1F2328"/>
        <rFont val="Calibri"/>
        <family val="2"/>
        <scheme val="minor"/>
      </rPr>
      <t>Find text or numbers anywhere on the sheet.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Find All lists every match and counts them.</t>
    </r>
  </si>
  <si>
    <r>
      <rPr>
        <b/>
        <sz val="12"/>
        <color rgb="FF1F2328"/>
        <rFont val="Calibri"/>
        <family val="2"/>
        <scheme val="minor"/>
      </rPr>
      <t>Find and replace text or numbers.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Replace All fixes every match at once.</t>
    </r>
  </si>
  <si>
    <t>S4-3 Detective W1</t>
  </si>
  <si>
    <t>Which keys insert a new worksheet?  (from S4-2 Sheet Master)</t>
  </si>
  <si>
    <t>S4-3 Detective W2</t>
  </si>
  <si>
    <t>Which KeyTips rename the current sheet?  (from S4-2 Sheet Master)</t>
  </si>
  <si>
    <t>S4-3 Detective W3</t>
  </si>
  <si>
    <t>Which keys save the workbook?  (from S4-2 Sheet Master)</t>
  </si>
  <si>
    <t>S4-3 Detective W4</t>
  </si>
  <si>
    <t>Which key opens Save As?  (from S4-2 Sheet Master)</t>
  </si>
  <si>
    <t>S4-3 Detective W5</t>
  </si>
  <si>
    <t>Which keys create a new blank workbook?  (from S4-2 Sheet Master)</t>
  </si>
  <si>
    <t>S4-3 Detective W6</t>
  </si>
  <si>
    <t>Which keys open a workbook?  (from S4-2 Sheet Master)</t>
  </si>
  <si>
    <t>S4-3 Detective W7</t>
  </si>
  <si>
    <t>Which keys close the current workbook?  (from S4-2 Sheet Master)</t>
  </si>
  <si>
    <t>S4-3 Detective W8</t>
  </si>
  <si>
    <t>Which keys open Print?  (from S4-2 Sheet Master)</t>
  </si>
  <si>
    <t>S4-3 Detective W9</t>
  </si>
  <si>
    <t>MAX plus IFS.</t>
  </si>
  <si>
    <t>=MAXIFS</t>
  </si>
  <si>
    <t>=MAXIFS(</t>
  </si>
  <si>
    <t>=MAXIFS()</t>
  </si>
  <si>
    <t>MAXIFS</t>
  </si>
  <si>
    <t>MAXIFS(</t>
  </si>
  <si>
    <t>MAXIFS()</t>
  </si>
  <si>
    <t>Which function returns the largest value that meets conditions?  (from F3-4 Extremes)</t>
  </si>
  <si>
    <t>S4-3 Detective W10</t>
  </si>
  <si>
    <t>MIN plus IFS.</t>
  </si>
  <si>
    <t>=MINIFS</t>
  </si>
  <si>
    <t>=MINIFS(</t>
  </si>
  <si>
    <t>=MINIFS()</t>
  </si>
  <si>
    <t>MINIFS</t>
  </si>
  <si>
    <t>MINIFS(</t>
  </si>
  <si>
    <t>MINIFS()</t>
  </si>
  <si>
    <t>Which function returns the smallest value that meets conditions?  (from F3-4 Extremes)</t>
  </si>
  <si>
    <t>S4-3 Detective T1</t>
  </si>
  <si>
    <t>F for Find.</t>
  </si>
  <si>
    <t>Which keys open Find?</t>
  </si>
  <si>
    <t>S4-3 Detective T2</t>
  </si>
  <si>
    <t>The letter after G.</t>
  </si>
  <si>
    <t>Which keys open Find and Replace on the Replace tab?</t>
  </si>
  <si>
    <t>▶ Open S4-3 Arena (or press Ctrl+PgDn)</t>
  </si>
  <si>
    <t>S4-3 Detective C1</t>
  </si>
  <si>
    <t>CTRL+F</t>
  </si>
  <si>
    <t>S4-3 Detective C2</t>
  </si>
  <si>
    <t>CTRL+H</t>
  </si>
  <si>
    <t>S4-3 Detective C3</t>
  </si>
  <si>
    <t>Stock is two columns right of the product.</t>
  </si>
  <si>
    <t>In the arena press Ctrl+F, search for Dragonfruit and press Enter. Type the Stock number in its row.</t>
  </si>
  <si>
    <t>S4-3 Detective C4</t>
  </si>
  <si>
    <t>Replace All, not Replace.</t>
  </si>
  <si>
    <t>Press Ctrl+H. Replace every N/A in the Note column with 0: Find what N/A, Replace with 0, then Replace All.</t>
  </si>
  <si>
    <t>▶ ARENA C4 (cell F6)</t>
  </si>
  <si>
    <t>S4-3 Detective C5</t>
  </si>
  <si>
    <t>The count is at the bottom of the Find window.</t>
  </si>
  <si>
    <t>Press Ctrl+F, type Gadget and click Find All. The dialog reports how many cells were found. Type that number.</t>
  </si>
  <si>
    <t>STAGE S4-3 ▸ DETECTIVE</t>
  </si>
  <si>
    <t>Goal: find and fix anything in seconds</t>
  </si>
  <si>
    <t>ARENA ▸ S4-4 DATA WRANGLER</t>
  </si>
  <si>
    <t>WRANGLER</t>
  </si>
  <si>
    <t>◀ Back to S4-4 Data Wrangler</t>
  </si>
  <si>
    <t>Order</t>
  </si>
  <si>
    <t>Region</t>
  </si>
  <si>
    <t>Rep</t>
  </si>
  <si>
    <t>Units</t>
  </si>
  <si>
    <t>O-101</t>
  </si>
  <si>
    <t>East</t>
  </si>
  <si>
    <t>Kim</t>
  </si>
  <si>
    <t>O-102</t>
  </si>
  <si>
    <t>West</t>
  </si>
  <si>
    <t>Lee</t>
  </si>
  <si>
    <t>O-103</t>
  </si>
  <si>
    <t>North</t>
  </si>
  <si>
    <t>Ava</t>
  </si>
  <si>
    <t>O-104</t>
  </si>
  <si>
    <t>O-105</t>
  </si>
  <si>
    <t>South</t>
  </si>
  <si>
    <t>Raj</t>
  </si>
  <si>
    <t>O-106</t>
  </si>
  <si>
    <t>O-107</t>
  </si>
  <si>
    <t>O-108</t>
  </si>
  <si>
    <t>O-109</t>
  </si>
  <si>
    <t>O-110</t>
  </si>
  <si>
    <t>O-111</t>
  </si>
  <si>
    <t>O-112</t>
  </si>
  <si>
    <t>O-113</t>
  </si>
  <si>
    <t>O-114</t>
  </si>
  <si>
    <t>O-115</t>
  </si>
  <si>
    <t>O-116</t>
  </si>
  <si>
    <t>O-117</t>
  </si>
  <si>
    <t>O-118</t>
  </si>
  <si>
    <t>O-119</t>
  </si>
  <si>
    <t>O-120</t>
  </si>
  <si>
    <t>Player</t>
  </si>
  <si>
    <t>Score</t>
  </si>
  <si>
    <t>Level</t>
  </si>
  <si>
    <t>Ann</t>
  </si>
  <si>
    <t>Silver</t>
  </si>
  <si>
    <t>Bo</t>
  </si>
  <si>
    <t>Gold</t>
  </si>
  <si>
    <t>Cy</t>
  </si>
  <si>
    <t>Di</t>
  </si>
  <si>
    <t>Bronze</t>
  </si>
  <si>
    <t>Ed</t>
  </si>
  <si>
    <t>Flo</t>
  </si>
  <si>
    <t>Gil</t>
  </si>
  <si>
    <t>Hu</t>
  </si>
  <si>
    <t>Ida</t>
  </si>
  <si>
    <t>Jay</t>
  </si>
  <si>
    <t>Month</t>
  </si>
  <si>
    <t>Visitors</t>
  </si>
  <si>
    <t>Jan</t>
  </si>
  <si>
    <t>Feb</t>
  </si>
  <si>
    <t>Mar</t>
  </si>
  <si>
    <t>Apr</t>
  </si>
  <si>
    <t>May</t>
  </si>
  <si>
    <t>Jun</t>
  </si>
  <si>
    <r>
      <rPr>
        <b/>
        <sz val="12"/>
        <color rgb="FF1F2328"/>
        <rFont val="Calibri"/>
        <family val="2"/>
        <scheme val="minor"/>
      </rPr>
      <t>Turn filter buttons on or off for a table of data.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Press again to clear all filters at once.</t>
    </r>
  </si>
  <si>
    <t>Ctrl+Shift+L</t>
  </si>
  <si>
    <r>
      <rPr>
        <b/>
        <sz val="12"/>
        <color rgb="FF1F2328"/>
        <rFont val="Calibri"/>
        <family val="2"/>
        <scheme val="minor"/>
      </rPr>
      <t>On a header with a filter button, open its filter menu.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Arrow down the list, Space to tick, Enter to apply.</t>
    </r>
  </si>
  <si>
    <r>
      <rPr>
        <b/>
        <sz val="12"/>
        <color rgb="FF1F2328"/>
        <rFont val="Calibri"/>
        <family val="2"/>
        <scheme val="minor"/>
      </rPr>
      <t>Turn a range into an Excel Table (filters, banding, auto-expanding).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Ctrl+L does the same.</t>
    </r>
  </si>
  <si>
    <r>
      <rPr>
        <b/>
        <sz val="12"/>
        <color rgb="FF1F2328"/>
        <rFont val="Calibri"/>
        <family val="2"/>
        <scheme val="minor"/>
      </rPr>
      <t>Sort A→Z / smallest to largest (KeyTips: Data, Sort).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Click a cell in the column you sort by first.</t>
    </r>
  </si>
  <si>
    <r>
      <rPr>
        <b/>
        <sz val="12"/>
        <color rgb="FF1F2328"/>
        <rFont val="Calibri"/>
        <family val="2"/>
        <scheme val="minor"/>
      </rPr>
      <t>Sort Z→A / largest to smallest (KeyTips: Data, Sort).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Whole rows move together, so records stay intact.</t>
    </r>
  </si>
  <si>
    <r>
      <rPr>
        <b/>
        <sz val="12"/>
        <color rgb="FF1F2328"/>
        <rFont val="Calibri"/>
        <family val="2"/>
        <scheme val="minor"/>
      </rPr>
      <t>Drop an instant chart of the selected data on the sheet.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F11 puts the chart on its own sheet.</t>
    </r>
  </si>
  <si>
    <t>S4-4 Data Wrangler W1</t>
  </si>
  <si>
    <t>Which keys open Find?  (from S4-3 Detective)</t>
  </si>
  <si>
    <t>S4-4 Data Wrangler W2</t>
  </si>
  <si>
    <t>Which keys open Find and Replace on the Replace tab?  (from S4-3 Detective)</t>
  </si>
  <si>
    <t>S4-4 Data Wrangler W3</t>
  </si>
  <si>
    <t>Shift+7.</t>
  </si>
  <si>
    <t>&amp;</t>
  </si>
  <si>
    <t>AMPERSAND</t>
  </si>
  <si>
    <t>Which character joins "&gt;=" to a cell reference in criteria?  (from F3-4 Extremes)</t>
  </si>
  <si>
    <t>S4-4 Data Wrangler W4</t>
  </si>
  <si>
    <t>One pair per edge.</t>
  </si>
  <si>
    <t>TWO</t>
  </si>
  <si>
    <t>How many range/criteria pairs do you need for 'dates between a start and an end'?  (from F3-4 Extremes)</t>
  </si>
  <si>
    <t>S4-4 Data Wrangler W5</t>
  </si>
  <si>
    <t>One fewer than the outcomes.</t>
  </si>
  <si>
    <t>How many IF functions does a nested IF need for 3 outcomes?  (from F2-4 Multi-Level)</t>
  </si>
  <si>
    <t>S4-4 Data Wrangler W6</t>
  </si>
  <si>
    <t>IF plus one letter.</t>
  </si>
  <si>
    <t>=IFS</t>
  </si>
  <si>
    <t>=IFS(</t>
  </si>
  <si>
    <t>=IFS()</t>
  </si>
  <si>
    <t>IFS</t>
  </si>
  <si>
    <t>IFS(</t>
  </si>
  <si>
    <t>IFS()</t>
  </si>
  <si>
    <t>Which function tests several conditions in order without nesting?  (from F2-4 Multi-Level)</t>
  </si>
  <si>
    <t>S4-4 Data Wrangler W7</t>
  </si>
  <si>
    <t>A test that is always true.</t>
  </si>
  <si>
    <t>TRUE</t>
  </si>
  <si>
    <t>In IFS, what do you put as the last test to catch all remaining cases?  (from F2-4 Multi-Level)</t>
  </si>
  <si>
    <t>S4-4 Data Wrangler W8</t>
  </si>
  <si>
    <t>IF plus ERROR.</t>
  </si>
  <si>
    <t>=IFERROR</t>
  </si>
  <si>
    <t>=IFERROR(</t>
  </si>
  <si>
    <t>=IFERROR()</t>
  </si>
  <si>
    <t>IFERROR</t>
  </si>
  <si>
    <t>IFERROR(</t>
  </si>
  <si>
    <t>IFERROR()</t>
  </si>
  <si>
    <t>Which function replaces any error with your own value?  (from F2-5 Error Shield)</t>
  </si>
  <si>
    <t>S4-4 Data Wrangler W9</t>
  </si>
  <si>
    <t>IF plus NA.</t>
  </si>
  <si>
    <t>=IFNA</t>
  </si>
  <si>
    <t>=IFNA(</t>
  </si>
  <si>
    <t>=IFNA()</t>
  </si>
  <si>
    <t>IFNA</t>
  </si>
  <si>
    <t>IFNA(</t>
  </si>
  <si>
    <t>IFNA()</t>
  </si>
  <si>
    <t>Which function replaces only the #N/A error?  (from F2-5 Error Shield)</t>
  </si>
  <si>
    <t>S4-4 Data Wrangler W10</t>
  </si>
  <si>
    <t>IS plus BLANK.</t>
  </si>
  <si>
    <t>=ISBLANK</t>
  </si>
  <si>
    <t>=ISBLANK(</t>
  </si>
  <si>
    <t>=ISBLANK()</t>
  </si>
  <si>
    <t>ISBLANK</t>
  </si>
  <si>
    <t>ISBLANK(</t>
  </si>
  <si>
    <t>ISBLANK()</t>
  </si>
  <si>
    <t>Which function is TRUE when a cell is empty?  (from F2-5 Error Shield)</t>
  </si>
  <si>
    <t>S4-4 Data Wrangler T1</t>
  </si>
  <si>
    <t>Ctrl+Shift plus L.</t>
  </si>
  <si>
    <t>Which keys turn filter buttons on and off?</t>
  </si>
  <si>
    <t>S4-4 Data Wrangler T2</t>
  </si>
  <si>
    <t>The same keys that open a dropdown.</t>
  </si>
  <si>
    <t>Which move is this? On a header with a filter button, open its filter menu.</t>
  </si>
  <si>
    <t>S4-4 Data Wrangler T3</t>
  </si>
  <si>
    <t>T for Table.</t>
  </si>
  <si>
    <t>Which keys turn a range into a Table?</t>
  </si>
  <si>
    <t>S4-4 Data Wrangler T4</t>
  </si>
  <si>
    <t>Alt, A, S, then A for ascending.</t>
  </si>
  <si>
    <t>Which KeyTips sort A to Z?</t>
  </si>
  <si>
    <t>S4-4 Data Wrangler T5</t>
  </si>
  <si>
    <t>Alt, A, S, then D for descending.</t>
  </si>
  <si>
    <t>Which KeyTips sort Z to A?</t>
  </si>
  <si>
    <t>S4-4 Data Wrangler T6</t>
  </si>
  <si>
    <t>Alt plus F1.</t>
  </si>
  <si>
    <t>Which keys insert an instant chart on the sheet?</t>
  </si>
  <si>
    <t>▶ Open S4-4 Arena (or press Ctrl+PgDn)</t>
  </si>
  <si>
    <t>S4-4 Data Wrangler C1</t>
  </si>
  <si>
    <t>CTRL+SHIFT+L</t>
  </si>
  <si>
    <t>SHIFT+CTRL+L</t>
  </si>
  <si>
    <t>S4-4 Data Wrangler C2</t>
  </si>
  <si>
    <t>Which keys open the filter menu of a header cell?</t>
  </si>
  <si>
    <t>S4-4 Data Wrangler C3</t>
  </si>
  <si>
    <t>CTRL+L</t>
  </si>
  <si>
    <t>CTRL+T</t>
  </si>
  <si>
    <t>S4-4 Data Wrangler C4</t>
  </si>
  <si>
    <t>ALT+A+S+A</t>
  </si>
  <si>
    <t>ALT+A,S,A</t>
  </si>
  <si>
    <t>ALT+A&gt;S&gt;A</t>
  </si>
  <si>
    <t>ALT+ASA</t>
  </si>
  <si>
    <t>ALT,A+S+A</t>
  </si>
  <si>
    <t>ALT,A,S,A</t>
  </si>
  <si>
    <t>ALT,A&gt;S&gt;A</t>
  </si>
  <si>
    <t>ALT,ASA</t>
  </si>
  <si>
    <t>ALT&gt;A+S+A</t>
  </si>
  <si>
    <t>ALT&gt;A,S,A</t>
  </si>
  <si>
    <t>ALT&gt;A&gt;S&gt;A</t>
  </si>
  <si>
    <t>ALT&gt;ASA</t>
  </si>
  <si>
    <t>ALTA+S+A</t>
  </si>
  <si>
    <t>ALTA,S,A</t>
  </si>
  <si>
    <t>ALTA&gt;S&gt;A</t>
  </si>
  <si>
    <t>ALTASA</t>
  </si>
  <si>
    <t>S4-4 Data Wrangler C5</t>
  </si>
  <si>
    <t>ALT+A+S+D</t>
  </si>
  <si>
    <t>ALT+A,S,D</t>
  </si>
  <si>
    <t>ALT+A&gt;S&gt;D</t>
  </si>
  <si>
    <t>ALT+ASD</t>
  </si>
  <si>
    <t>ALT,A+S+D</t>
  </si>
  <si>
    <t>ALT,A,S,D</t>
  </si>
  <si>
    <t>ALT,A&gt;S&gt;D</t>
  </si>
  <si>
    <t>ALT,ASD</t>
  </si>
  <si>
    <t>ALT&gt;A+S+D</t>
  </si>
  <si>
    <t>ALT&gt;A,S,D</t>
  </si>
  <si>
    <t>ALT&gt;A&gt;S&gt;D</t>
  </si>
  <si>
    <t>ALT&gt;ASD</t>
  </si>
  <si>
    <t>ALTA+S+D</t>
  </si>
  <si>
    <t>ALTA,S,D</t>
  </si>
  <si>
    <t>ALTA&gt;S&gt;D</t>
  </si>
  <si>
    <t>ALTASD</t>
  </si>
  <si>
    <t>S4-4 Data Wrangler C6</t>
  </si>
  <si>
    <t>ALT+F1</t>
  </si>
  <si>
    <t>S4-4 Data Wrangler C7</t>
  </si>
  <si>
    <t>Untick Select All, tick East, Enter.</t>
  </si>
  <si>
    <t>Click inside the table at B5 and press Ctrl+Shift+L to add filter buttons. On the Region header (C5) press Alt+↓ and show only East.</t>
  </si>
  <si>
    <t>▶ ARENA C7 (cell C5)</t>
  </si>
  <si>
    <t>S4-4 Data Wrangler C8</t>
  </si>
  <si>
    <t>Data → Sort Z to A.</t>
  </si>
  <si>
    <t>Click any Score in the table at B30 (column C) and press Alt, A, S, D to sort largest to smallest.</t>
  </si>
  <si>
    <t>▶ ARENA C8 (cell C31)</t>
  </si>
  <si>
    <t>S4-4 Data Wrangler C9</t>
  </si>
  <si>
    <t>Ctrl+T, then Alt+F1.</t>
  </si>
  <si>
    <t>Click inside the table at B45 and press Ctrl+T, then Enter. Next select B45:C51 and press Alt+F1 to drop in a chart. Pick Done.</t>
  </si>
  <si>
    <t>STAGE S4-4 ▸ DATA WRANGLER</t>
  </si>
  <si>
    <t>Goal: filter, sort, tabulate and chart</t>
  </si>
  <si>
    <t>BOSS ARENA ▸ ORGANIZE &amp; ANALYZE</t>
  </si>
  <si>
    <t>ORGANIZER</t>
  </si>
  <si>
    <t>◀ Back to Boss</t>
  </si>
  <si>
    <t>Mineral</t>
  </si>
  <si>
    <t>Status</t>
  </si>
  <si>
    <t>Quartz 1</t>
  </si>
  <si>
    <t>Packed</t>
  </si>
  <si>
    <t>Basalt 1</t>
  </si>
  <si>
    <t>Ready</t>
  </si>
  <si>
    <t>Granite 1</t>
  </si>
  <si>
    <t>Slate 1</t>
  </si>
  <si>
    <t>TBD</t>
  </si>
  <si>
    <t>Marble 1</t>
  </si>
  <si>
    <t>Obsidian 1</t>
  </si>
  <si>
    <t>Jade 1</t>
  </si>
  <si>
    <t>Onyx 1</t>
  </si>
  <si>
    <t>Topaz 1</t>
  </si>
  <si>
    <t>Agate 1</t>
  </si>
  <si>
    <t>Quartz 2</t>
  </si>
  <si>
    <t>Basalt 2</t>
  </si>
  <si>
    <t>Granite 2</t>
  </si>
  <si>
    <t>Slate 2</t>
  </si>
  <si>
    <t>Marble 2</t>
  </si>
  <si>
    <t>Obsidian 2</t>
  </si>
  <si>
    <t>Jade 2</t>
  </si>
  <si>
    <t>Onyx 2</t>
  </si>
  <si>
    <t>Topaz 2</t>
  </si>
  <si>
    <t>Agate 2</t>
  </si>
  <si>
    <t>Quartz 3</t>
  </si>
  <si>
    <t>Basalt 3</t>
  </si>
  <si>
    <t>Granite 3</t>
  </si>
  <si>
    <t>Slate 3</t>
  </si>
  <si>
    <t>Marble 3</t>
  </si>
  <si>
    <t>Obsidian 3</t>
  </si>
  <si>
    <t>Jade 3</t>
  </si>
  <si>
    <t>Onyx 3</t>
  </si>
  <si>
    <t>Topaz 3</t>
  </si>
  <si>
    <t>Agate 3</t>
  </si>
  <si>
    <t>Quartz 4</t>
  </si>
  <si>
    <t>Basalt 4</t>
  </si>
  <si>
    <t>Granite 4</t>
  </si>
  <si>
    <t>Slate 4</t>
  </si>
  <si>
    <t>Marble 4</t>
  </si>
  <si>
    <t>Obsidian 4</t>
  </si>
  <si>
    <t>Jade 4</t>
  </si>
  <si>
    <t>Onyx 4</t>
  </si>
  <si>
    <t>Topaz 4</t>
  </si>
  <si>
    <t>Agate 4</t>
  </si>
  <si>
    <t>Quartz 5</t>
  </si>
  <si>
    <t>Basalt 5</t>
  </si>
  <si>
    <t>Zircon</t>
  </si>
  <si>
    <t>Slate 5</t>
  </si>
  <si>
    <t>Marble 5</t>
  </si>
  <si>
    <t>Obsidian 5</t>
  </si>
  <si>
    <t>Jade 5</t>
  </si>
  <si>
    <t>Onyx 5</t>
  </si>
  <si>
    <t>Topaz 5</t>
  </si>
  <si>
    <t>Agate 5</t>
  </si>
  <si>
    <t>Quartz 6</t>
  </si>
  <si>
    <t>Basalt 6</t>
  </si>
  <si>
    <t>Granite 6</t>
  </si>
  <si>
    <t>Slate 6</t>
  </si>
  <si>
    <t>Marble 6</t>
  </si>
  <si>
    <t>Obsidian 6</t>
  </si>
  <si>
    <t>Jade 6</t>
  </si>
  <si>
    <t>Onyx 6</t>
  </si>
  <si>
    <t>Topaz 6</t>
  </si>
  <si>
    <t>Agate 6</t>
  </si>
  <si>
    <t>HIDE LIST</t>
  </si>
  <si>
    <t>ok</t>
  </si>
  <si>
    <t>HIDDEN</t>
  </si>
  <si>
    <t>REMOVE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</si>
  <si>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</si>
  <si>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</si>
  <si>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</si>
  <si>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</si>
  <si>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</si>
  <si>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</si>
  <si>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</si>
  <si>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</si>
  <si>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</si>
  <si>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</si>
  <si>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</si>
  <si>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</si>
  <si>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</si>
  <si>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</si>
  <si>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F4</t>
  </si>
  <si>
    <t>Boss F5</t>
  </si>
  <si>
    <t>F5</t>
  </si>
  <si>
    <t>Boss F6</t>
  </si>
  <si>
    <t>F6</t>
  </si>
  <si>
    <t>Boss F7</t>
  </si>
  <si>
    <t>F7</t>
  </si>
  <si>
    <t>Boss F8</t>
  </si>
  <si>
    <t>F8</t>
  </si>
  <si>
    <t>BOSS MISSIONS</t>
  </si>
  <si>
    <t>▶ Open Boss Arena (or press Ctrl+PgDn)</t>
  </si>
  <si>
    <t>Boss B1</t>
  </si>
  <si>
    <t>Filter buttons first.</t>
  </si>
  <si>
    <t>B1</t>
  </si>
  <si>
    <t>▶ ARENA B1 (cell C5)</t>
  </si>
  <si>
    <t>Boss B2</t>
  </si>
  <si>
    <t>Ascending.</t>
  </si>
  <si>
    <t>B2</t>
  </si>
  <si>
    <t>▶ ARENA B2 (cell B31)</t>
  </si>
  <si>
    <t>Boss B3</t>
  </si>
  <si>
    <t>Ctrl+F, Enter.</t>
  </si>
  <si>
    <t>B3</t>
  </si>
  <si>
    <t>Boss B4</t>
  </si>
  <si>
    <t>Ctrl+H.</t>
  </si>
  <si>
    <t>B4</t>
  </si>
  <si>
    <t>▶ ARENA B4 (cell D46)</t>
  </si>
  <si>
    <t>Boss B5</t>
  </si>
  <si>
    <t>Ctrl+9.</t>
  </si>
  <si>
    <t>B5</t>
  </si>
  <si>
    <t>▶ ARENA B5 (cell B112)</t>
  </si>
  <si>
    <t>Boss B6</t>
  </si>
  <si>
    <t>Two rows.</t>
  </si>
  <si>
    <t>B6</t>
  </si>
  <si>
    <t>▶ ARENA B6 (cell B123)</t>
  </si>
  <si>
    <t>Boss B7</t>
  </si>
  <si>
    <t>Ctrl+-.</t>
  </si>
  <si>
    <t>B7</t>
  </si>
  <si>
    <t>▶ ARENA B7 (cell B129)</t>
  </si>
  <si>
    <t>Boss B8</t>
  </si>
  <si>
    <t>B8</t>
  </si>
  <si>
    <t>▶ ARENA B8 (cell B5)</t>
  </si>
  <si>
    <t>BOSS ▸ ORGANIZE &amp; ANALYZE</t>
  </si>
  <si>
    <t>Every move from this world in one gauntlet. Clear it under par for rank S.</t>
  </si>
  <si>
    <t>SHORTCUTS 4 ▸ ORGANIZE &amp; ANALYZE</t>
  </si>
  <si>
    <t>Reshape sheets, find anything, filter and sort from the keyboard.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</si>
  <si>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</si>
  <si>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</si>
  <si>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</si>
  <si>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</si>
  <si>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</si>
  <si>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</si>
  <si>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</si>
  <si>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</si>
  <si>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</si>
  <si>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Stars</t>
  </si>
  <si>
    <t>Go</t>
  </si>
  <si>
    <t>S4-1</t>
  </si>
  <si>
    <t>Construction Crew</t>
  </si>
  <si>
    <t>Go to S4-1 Construction Crew</t>
  </si>
  <si>
    <t>S4-2</t>
  </si>
  <si>
    <t>Sheet Master</t>
  </si>
  <si>
    <t>Go to S4-2 Sheet Master</t>
  </si>
  <si>
    <t>S4-3</t>
  </si>
  <si>
    <t>Detective</t>
  </si>
  <si>
    <t>Go to S4-3 Detective</t>
  </si>
  <si>
    <t>S4-4</t>
  </si>
  <si>
    <t>Data Wrangler</t>
  </si>
  <si>
    <t>Go to S4-4 Data Wrangler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</si>
  <si>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</si>
  <si>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</si>
  <si>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</si>
  <si>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</si>
  <si>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</si>
  <si>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</si>
  <si>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</si>
  <si>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</si>
  <si>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</si>
  <si>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ORGANIZE &amp; ANALYZE</t>
  </si>
  <si>
    <t>Every move from this world on one page. Keep it open while you play, or print it (Ctrl+P).</t>
  </si>
  <si>
    <t>What it does</t>
  </si>
  <si>
    <t>Pro tip</t>
  </si>
  <si>
    <t>Insert cells; with whole rows selected, insert whole rows.</t>
  </si>
  <si>
    <t>Select rows with Shift+Space first, then Ctrl+Shift++.</t>
  </si>
  <si>
    <t>Delete the selected cells; with whole rows selected, delete the rows.</t>
  </si>
  <si>
    <t>Shift+Space first, then Ctrl+-.</t>
  </si>
  <si>
    <t>Hide the selected rows.</t>
  </si>
  <si>
    <t>Hidden rows keep their data.</t>
  </si>
  <si>
    <t>Hide the selected columns.</t>
  </si>
  <si>
    <t>Pair with Ctrl+Space to grab the column.</t>
  </si>
  <si>
    <t>Insert a new worksheet.</t>
  </si>
  <si>
    <t>Alt+Shift+F1 does the same.</t>
  </si>
  <si>
    <t>Rename the current sheet (KeyTips: Home, Format, Rename).</t>
  </si>
  <si>
    <t>Type the new name, then Enter.</t>
  </si>
  <si>
    <t>Save the workbook.</t>
  </si>
  <si>
    <t>Save early, save often.</t>
  </si>
  <si>
    <t>Open Save As to save a copy or change the name.</t>
  </si>
  <si>
    <t>Keep the original and practice on a copy.</t>
  </si>
  <si>
    <t>Create a new blank workbook.</t>
  </si>
  <si>
    <t>Starts fresh in a new window.</t>
  </si>
  <si>
    <t>Open a workbook (and see your recent files).</t>
  </si>
  <si>
    <t>Recent files are listed first.</t>
  </si>
  <si>
    <t>Close the current workbook window.</t>
  </si>
  <si>
    <t>Excel asks before losing changes.</t>
  </si>
  <si>
    <t>Open Print (with a preview).</t>
  </si>
  <si>
    <t>Check the preview before paper.</t>
  </si>
  <si>
    <t>Find text or numbers anywhere on the sheet.</t>
  </si>
  <si>
    <t>Find All lists every match and counts them.</t>
  </si>
  <si>
    <t>Find and replace text or numbers.</t>
  </si>
  <si>
    <t>Replace All fixes every match at once.</t>
  </si>
  <si>
    <t>Turn filter buttons on or off for a table of data.</t>
  </si>
  <si>
    <t>Press again to clear all filters at once.</t>
  </si>
  <si>
    <t>On a header with a filter button, open its filter menu.</t>
  </si>
  <si>
    <t>Arrow down the list, Space to tick, Enter to apply.</t>
  </si>
  <si>
    <t>Turn a range into an Excel Table (filters, banding, auto-expanding).</t>
  </si>
  <si>
    <t>Ctrl+L does the same.</t>
  </si>
  <si>
    <t>Sort A→Z / smallest to largest (KeyTips: Data, Sort).</t>
  </si>
  <si>
    <t>Click a cell in the column you sort by first.</t>
  </si>
  <si>
    <t>Sort Z→A / largest to smallest (KeyTips: Data, Sort).</t>
  </si>
  <si>
    <t>Whole rows move together, so records stay intact.</t>
  </si>
  <si>
    <t>Drop an instant chart of the selected data on the sheet.</t>
  </si>
  <si>
    <t>F11 puts the chart on its own sheet.</t>
  </si>
</sst>
</file>

<file path=xl/styles.xml><?xml version="1.0" encoding="utf-8"?>
<styleSheet xmlns="http://schemas.openxmlformats.org/spreadsheetml/2006/main">
  <numFmts count="3">
    <numFmt numFmtId="164" formatCode="@"/>
    <numFmt numFmtId="165" formatCode="h:mm AM/PM"/>
    <numFmt numFmtId="166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165" fontId="16" fillId="5" borderId="1" xfId="0" applyNumberFormat="1" applyFont="1" applyFill="1" applyBorder="1" applyAlignment="1" applyProtection="1">
      <alignment vertical="top"/>
      <protection locked="0"/>
    </xf>
    <xf numFmtId="166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4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1053</v>
      </c>
      <c r="B1" s="2"/>
      <c r="C1" s="2"/>
      <c r="D1" s="2"/>
      <c r="E1" s="2"/>
      <c r="F1" s="2"/>
    </row>
    <row r="2" spans="1:6">
      <c r="A2" s="3" t="s">
        <v>1054</v>
      </c>
    </row>
    <row r="4" spans="1:6">
      <c r="A4" s="4" t="s">
        <v>1055</v>
      </c>
      <c r="B4" s="4"/>
      <c r="C4" s="4"/>
      <c r="D4" s="4"/>
      <c r="E4" s="4"/>
      <c r="F4" s="4"/>
    </row>
    <row r="5" spans="1:6">
      <c r="A5" s="5" t="s">
        <v>1056</v>
      </c>
    </row>
    <row r="6" spans="1:6">
      <c r="A6" s="5" t="s">
        <v>1057</v>
      </c>
    </row>
    <row r="7" spans="1:6">
      <c r="A7" s="5" t="s">
        <v>1058</v>
      </c>
    </row>
    <row r="8" spans="1:6">
      <c r="A8" s="5" t="s">
        <v>1059</v>
      </c>
    </row>
    <row r="9" spans="1:6">
      <c r="A9" s="5" t="s">
        <v>1060</v>
      </c>
    </row>
    <row r="11" spans="1:6">
      <c r="A11" s="4" t="s">
        <v>1061</v>
      </c>
      <c r="B11" s="4"/>
      <c r="C11" s="4"/>
      <c r="D11" s="4"/>
      <c r="E11" s="4"/>
      <c r="F11" s="4"/>
    </row>
    <row r="12" spans="1:6">
      <c r="A12" s="6" t="s">
        <v>1062</v>
      </c>
      <c r="B12" s="6" t="s">
        <v>1063</v>
      </c>
      <c r="C12" s="6" t="s">
        <v>762</v>
      </c>
      <c r="D12" s="6" t="s">
        <v>1064</v>
      </c>
      <c r="E12" s="6" t="s">
        <v>928</v>
      </c>
      <c r="F12" s="6" t="s">
        <v>1065</v>
      </c>
    </row>
    <row r="13" spans="1:6">
      <c r="A13" s="7" t="s">
        <v>1066</v>
      </c>
      <c r="B13" s="8" t="s">
        <v>1067</v>
      </c>
      <c r="C13" s="9" cm="1" t="str">
        <f t="array" ref="C13">SUM('S4-1 Construction Crew'!$G$14:$G$42)&amp;" / 220"</f>
        <v>0 / 220</v>
      </c>
      <c r="D13" s="10" cm="1" t="str">
        <f t="array" ref="D13">IF(SUM('S4-1 Construction Crew'!$G$14:$G$42)&gt;=220,"★★★",IF(SUM('S4-1 Construction Crew'!$G$14:$G$42)&gt;=220*0.8,"★★☆",IF(SUM('S4-1 Construction Crew'!$G$14:$G$42)&gt;=220*0.5,"★☆☆","☆☆☆")))</f>
        <v>☆☆☆</v>
      </c>
      <c r="E13" s="9" cm="1" t="str">
        <f t="array" ref="E13">IF(SUM('S4-1 Construction Crew'!$G$14:$G$42)&gt;=220,"PERFECT",IF(SUM('S4-1 Construction Crew'!$G$14:$G$42)&gt;=220*0.5,"CLEARED",IF(SUM('S4-1 Construction Crew'!$G$14:$G$42)&gt;0,"IN PROGRESS","NEW")))</f>
        <v>NEW</v>
      </c>
      <c r="F13" s="11" t="s">
        <v>1068</v>
      </c>
    </row>
    <row r="14" spans="1:6">
      <c r="A14" s="7" t="s">
        <v>1069</v>
      </c>
      <c r="B14" s="8" t="s">
        <v>1070</v>
      </c>
      <c r="C14" s="9" cm="1" t="str">
        <f t="array" ref="C14">SUM('S4-2 Sheet Master'!$G$18:$G$53)&amp;" / 290"</f>
        <v>0 / 290</v>
      </c>
      <c r="D14" s="10" cm="1" t="str">
        <f t="array" ref="D14">IF(SUM('S4-2 Sheet Master'!$G$18:$G$53)&gt;=290,"★★★",IF(SUM('S4-2 Sheet Master'!$G$18:$G$53)&gt;=290*0.8,"★★☆",IF(SUM('S4-2 Sheet Master'!$G$18:$G$53)&gt;=290*0.5,"★☆☆","☆☆☆")))</f>
        <v>☆☆☆</v>
      </c>
      <c r="E14" s="9" cm="1" t="str">
        <f t="array" ref="E14">IF(SUM('S4-2 Sheet Master'!$G$18:$G$53)&gt;=290,"PERFECT",IF(SUM('S4-2 Sheet Master'!$G$18:$G$53)&gt;=290*0.5,"CLEARED",IF(SUM('S4-2 Sheet Master'!$G$18:$G$53)&gt;0,"IN PROGRESS","NEW")))</f>
        <v>NEW</v>
      </c>
      <c r="F14" s="11" t="s">
        <v>1071</v>
      </c>
    </row>
    <row r="15" spans="1:6">
      <c r="A15" s="7" t="s">
        <v>1072</v>
      </c>
      <c r="B15" s="8" t="s">
        <v>1073</v>
      </c>
      <c r="C15" s="9" cm="1" t="str">
        <f t="array" ref="C15">SUM('S4-3 Detective'!$G$12:$G$35)&amp;" / 170"</f>
        <v>0 / 170</v>
      </c>
      <c r="D15" s="10" cm="1" t="str">
        <f t="array" ref="D15">IF(SUM('S4-3 Detective'!$G$12:$G$35)&gt;=170,"★★★",IF(SUM('S4-3 Detective'!$G$12:$G$35)&gt;=170*0.8,"★★☆",IF(SUM('S4-3 Detective'!$G$12:$G$35)&gt;=170*0.5,"★☆☆","☆☆☆")))</f>
        <v>☆☆☆</v>
      </c>
      <c r="E15" s="9" cm="1" t="str">
        <f t="array" ref="E15">IF(SUM('S4-3 Detective'!$G$12:$G$35)&gt;=170,"PERFECT",IF(SUM('S4-3 Detective'!$G$12:$G$35)&gt;=170*0.5,"CLEARED",IF(SUM('S4-3 Detective'!$G$12:$G$35)&gt;0,"IN PROGRESS","NEW")))</f>
        <v>NEW</v>
      </c>
      <c r="F15" s="11" t="s">
        <v>1074</v>
      </c>
    </row>
    <row r="16" spans="1:6">
      <c r="A16" s="7" t="s">
        <v>1075</v>
      </c>
      <c r="B16" s="8" t="s">
        <v>1076</v>
      </c>
      <c r="C16" s="9" cm="1" t="str">
        <f t="array" ref="C16">SUM('S4-4 Data Wrangler'!$G$16:$G$47)&amp;" / 250"</f>
        <v>0 / 250</v>
      </c>
      <c r="D16" s="10" cm="1" t="str">
        <f t="array" ref="D16">IF(SUM('S4-4 Data Wrangler'!$G$16:$G$47)&gt;=250,"★★★",IF(SUM('S4-4 Data Wrangler'!$G$16:$G$47)&gt;=250*0.8,"★★☆",IF(SUM('S4-4 Data Wrangler'!$G$16:$G$47)&gt;=250*0.5,"★☆☆","☆☆☆")))</f>
        <v>☆☆☆</v>
      </c>
      <c r="E16" s="9" cm="1" t="str">
        <f t="array" ref="E16">IF(SUM('S4-4 Data Wrangler'!$G$16:$G$47)&gt;=250,"PERFECT",IF(SUM('S4-4 Data Wrangler'!$G$16:$G$47)&gt;=250*0.5,"CLEARED",IF(SUM('S4-4 Data Wrangler'!$G$16:$G$47)&gt;0,"IN PROGRESS","NEW")))</f>
        <v>NEW</v>
      </c>
      <c r="F16" s="11" t="s">
        <v>1077</v>
      </c>
    </row>
    <row r="17" spans="1:6">
      <c r="A17" s="7" t="s">
        <v>1078</v>
      </c>
      <c r="B17" s="8" t="s">
        <v>1079</v>
      </c>
      <c r="C17" s="9" cm="1" t="str">
        <f t="array" ref="C17">SUM(Boss!$G$14:$G$33)&amp;" / 160"</f>
        <v>0 / 160</v>
      </c>
      <c r="D17" s="10" cm="1" t="str">
        <f t="array" ref="D17">IF(SUM(Boss!$G$14:$G$33)&gt;=160,"★★★",IF(SUM(Boss!$G$14:$G$33)&gt;=160*0.8,"★★☆",IF(SUM(Boss!$G$14:$G$33)&gt;=160*0.5,"★☆☆","☆☆☆")))</f>
        <v>☆☆☆</v>
      </c>
      <c r="E17" s="9" cm="1" t="str">
        <f t="array" ref="E17">IF(Boss!$C$10="OPEN",IF(SUM(Boss!$G$14:$G$33)&gt;=160*0.5,"DEFEATED","OPEN"),"LOCKED")</f>
        <v>LOCKED</v>
      </c>
      <c r="F17" s="11" t="s">
        <v>1080</v>
      </c>
    </row>
    <row r="19" spans="1:6">
      <c r="A19" s="7" t="s">
        <v>1081</v>
      </c>
      <c r="B19" s="12" cm="1" t="str">
        <f t="array" ref="B19">(SUM('S4-1 Construction Crew'!$G$14:$G$42)+SUM('S4-2 Sheet Master'!$G$18:$G$53)+SUM('S4-3 Detective'!$G$12:$G$35)+SUM('S4-4 Data Wrangler'!$G$16:$G$47)+SUM(Boss!$G$14:$G$33))&amp;" / 1090"</f>
        <v>0 / 1090</v>
      </c>
    </row>
    <row r="20" spans="1:6">
      <c r="A20" s="7" t="s">
        <v>1082</v>
      </c>
      <c r="B20" s="12" cm="1" t="str">
        <f t="array" ref="B20">_xlfn.LET(_xlpm.p,(SUM('S4-1 Construction Crew'!$G$14:$G$42)+SUM('S4-2 Sheet Master'!$G$18:$G$53)+SUM('S4-3 Detective'!$G$12:$G$35)+SUM('S4-4 Data Wrangler'!$G$16:$G$47)+SUM(Boss!$G$14:$G$33))/1090,IF(AND(_xlpm.p&gt;=1,ISNUMBER(Boss!$C$8),Boss!$C$8&lt;=12),"S",IF(_xlpm.p&gt;=0.9,"A",IF(_xlpm.p&gt;=0.75,"B",IF(_xlpm.p&gt;=0.5,"C","D")))))</f>
        <v>D</v>
      </c>
      <c r="C20" s="13" t="s">
        <v>1083</v>
      </c>
    </row>
    <row r="21" spans="1:6">
      <c r="A21" s="7" t="s">
        <v>1084</v>
      </c>
      <c r="B21" s="12" cm="1" t="str">
        <f t="array" ref="B21">IF(ISNUMBER(Boss!$C$8),Boss!$C$8&amp;" min (par 12)","—")</f>
        <v>—</v>
      </c>
    </row>
    <row r="22" spans="1:6">
      <c r="A22" s="7" t="s">
        <v>1085</v>
      </c>
      <c r="B22" s="12" cm="1" t="str">
        <f t="array" ref="B22">IFERROR(INDEX($A$13:$A$16,MATCH("☆☆☆",$D$13:$D$16,0))&amp;" "&amp;INDEX($B$13:$B$16,MATCH("☆☆☆",$D$13:$D$16,0)),IF(Boss!$C$10="OPEN","the Boss","All clear! Aim for rank S"))</f>
        <v>S4-1 Construction Crew</v>
      </c>
    </row>
    <row r="24" spans="1:6">
      <c r="A24" s="13" t="s">
        <v>1086</v>
      </c>
    </row>
  </sheetData>
  <sheetProtection sheet="1" objects="1" scenarios="1" formatColumns="0" formatRows="0"/>
  <hyperlinks>
    <hyperlink ref="F13" location="'S4-1 Construction Crew'!A1" display="Go to S4-1 Construction Crew"/>
    <hyperlink ref="F14" location="'S4-2 Sheet Master'!A1" display="Go to S4-2 Sheet Master"/>
    <hyperlink ref="F15" location="'S4-3 Detective'!A1" display="Go to S4-3 Detective"/>
    <hyperlink ref="F16" location="'S4-4 Data Wrangler'!A1" display="Go to S4-4 Data Wrangler"/>
    <hyperlink ref="F17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171</v>
      </c>
      <c r="B1" s="2"/>
      <c r="C1" s="2"/>
      <c r="D1" s="2"/>
      <c r="E1" s="2"/>
      <c r="F1" s="2"/>
      <c r="G1" s="2"/>
    </row>
    <row r="2" spans="1:7">
      <c r="A2" s="3" t="s">
        <v>172</v>
      </c>
    </row>
    <row r="3" spans="1:7" ht="26" customHeight="1">
      <c r="A3" s="14" cm="1" t="str">
        <f t="array" ref="A3">"SCORE "&amp;TEXT(SUM($G$14:$G$42),"0000")&amp;" / 0220"</f>
        <v>SCORE 0000 / 0220</v>
      </c>
      <c r="C3" s="15" cm="1" t="str">
        <f t="array" ref="C3">IF(SUM($G$14:$G$42)&gt;=220,"★★★",IF(SUM($G$14:$G$42)&gt;=220*0.8,"★★☆",IF(SUM($G$14:$G$42)&gt;=220*0.5,"★☆☆","☆☆☆")))</f>
        <v>☆☆☆</v>
      </c>
      <c r="D3" s="16" cm="1" t="str">
        <f t="array" ref="D3">REPT("█",ROUND(10*SUM($G$14:$G$42)/220,0))&amp;REPT("░",10-ROUND(10*SUM($G$14:$G$42)/220,0))&amp;"  "&amp;TEXT(SUM($G$14:$G$42)/220,"0%")</f>
        <v>░░░░░░░░░░  0%</v>
      </c>
      <c r="F3" s="17" cm="1" t="str">
        <f t="array" ref="F3">IF(SUM($G$14:$G$42)&gt;=220*0.5,"STAGE CLEAR! ▶ Next: S4-2 Sheet Master","")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67" customHeight="1">
      <c r="A7" s="18" t="s">
        <v>22</v>
      </c>
      <c r="B7" s="8" t="s">
        <v>23</v>
      </c>
      <c r="C7" s="19" t="s">
        <v>24</v>
      </c>
    </row>
    <row r="8" spans="1:7" ht="51.25" customHeight="1">
      <c r="A8" s="18" t="s">
        <v>25</v>
      </c>
      <c r="B8" s="8" t="s">
        <v>26</v>
      </c>
      <c r="C8" s="19" t="s">
        <v>27</v>
      </c>
    </row>
    <row r="9" spans="1:7" ht="35.5" customHeight="1">
      <c r="A9" s="18" t="s">
        <v>28</v>
      </c>
      <c r="B9" s="8" t="s">
        <v>29</v>
      </c>
      <c r="C9" s="19" t="s">
        <v>30</v>
      </c>
    </row>
    <row r="10" spans="1:7" ht="35.5" customHeight="1">
      <c r="A10" s="18" t="s">
        <v>31</v>
      </c>
      <c r="B10" s="8" t="s">
        <v>32</v>
      </c>
      <c r="C10" s="19" t="s">
        <v>33</v>
      </c>
    </row>
    <row r="12" spans="1:7" ht="22" customHeight="1">
      <c r="A12" s="4" t="s">
        <v>34</v>
      </c>
      <c r="B12" s="4"/>
      <c r="C12" s="4"/>
      <c r="D12" s="4"/>
      <c r="E12" s="4"/>
      <c r="F12" s="4"/>
      <c r="G12" s="4"/>
    </row>
    <row r="13" spans="1:7">
      <c r="A13" s="6" t="s">
        <v>19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1</v>
      </c>
      <c r="G13" s="6" t="s">
        <v>39</v>
      </c>
    </row>
    <row r="14" spans="1:7" ht="35.5" customHeight="1">
      <c r="A14" s="18" t="s">
        <v>48</v>
      </c>
      <c r="B14" s="8" t="s">
        <v>49</v>
      </c>
      <c r="C14" s="20"/>
      <c r="D14" s="21" cm="1" t="str">
        <f t="array" ref="D14">IFERROR(_xlfn.LET(_xlpm.a,'S4-1 Construction Crew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J$2),"✔ CLEAR","✘ TRY AGAIN"))),"✘ TRY AGAIN")</f>
        <v/>
      </c>
      <c r="E14" s="22"/>
      <c r="F14" s="23" cm="1" t="str">
        <f t="array" ref="F14">IF(E14="Show hint",Key!$B$2,"")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58</v>
      </c>
      <c r="B15" s="8" t="s">
        <v>59</v>
      </c>
      <c r="C15" s="20"/>
      <c r="D15" s="21" cm="1" t="str">
        <f t="array" ref="D15">IFERROR(_xlfn.LET(_xlpm.a,'S4-1 Construction Crew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J$3),"✔ CLEAR","✘ TRY AGAIN"))),"✘ TRY AGAIN")</f>
        <v/>
      </c>
      <c r="E15" s="22"/>
      <c r="F15" s="23" cm="1" t="str">
        <f t="array" ref="F15">IF(E15="Show hint",Key!$B$3,"")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63</v>
      </c>
      <c r="B16" s="8" t="s">
        <v>64</v>
      </c>
      <c r="C16" s="20"/>
      <c r="D16" s="21" cm="1" t="str">
        <f t="array" ref="D16">IFERROR(_xlfn.LET(_xlpm.a,'S4-1 Construction Crew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E$4),"✔ CLEAR","✘ TRY AGAIN"))),"✘ TRY AGAIN")</f>
        <v/>
      </c>
      <c r="E16" s="22"/>
      <c r="F16" s="23" cm="1" t="str">
        <f t="array" ref="F16">IF(E16="Show hint",Key!$B$4,"")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68</v>
      </c>
      <c r="B17" s="8" t="s">
        <v>69</v>
      </c>
      <c r="C17" s="20"/>
      <c r="D17" s="21" cm="1" t="str">
        <f t="array" ref="D17">IFERROR(_xlfn.LET(_xlpm.a,'S4-1 Construction Crew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E$5),"✔ CLEAR","✘ TRY AGAIN"))),"✘ TRY AGAIN")</f>
        <v/>
      </c>
      <c r="E17" s="22"/>
      <c r="F17" s="23" cm="1" t="str">
        <f t="array" ref="F17">IF(E17="Show hint",Key!$B$5,"")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73</v>
      </c>
      <c r="B18" s="8" t="s">
        <v>74</v>
      </c>
      <c r="C18" s="20"/>
      <c r="D18" s="21" cm="1" t="str">
        <f t="array" ref="D18">IFERROR(_xlfn.LET(_xlpm.a,'S4-1 Construction Crew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E$6),"✔ CLEAR","✘ TRY AGAIN"))),"✘ TRY AGAIN")</f>
        <v/>
      </c>
      <c r="E18" s="22"/>
      <c r="F18" s="23" cm="1" t="str">
        <f t="array" ref="F18">IF(E18="Show hint",Key!$B$6,"")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78</v>
      </c>
      <c r="B19" s="8" t="s">
        <v>79</v>
      </c>
      <c r="C19" s="20"/>
      <c r="D19" s="21" cm="1" t="str">
        <f t="array" ref="D19">IFERROR(_xlfn.LET(_xlpm.a,'S4-1 Construction Crew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19" s="22"/>
      <c r="F19" s="23" cm="1" t="str">
        <f t="array" ref="F19">IF(E19="Show hint",Key!$B$7,"")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86</v>
      </c>
      <c r="B20" s="8" t="s">
        <v>87</v>
      </c>
      <c r="C20" s="20"/>
      <c r="D20" s="21" cm="1" t="str">
        <f t="array" ref="D20">IFERROR(_xlfn.LET(_xlpm.a,'S4-1 Construction Crew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H$8),"✔ CLEAR","✘ TRY AGAIN"))),"✘ TRY AGAIN")</f>
        <v/>
      </c>
      <c r="E20" s="22"/>
      <c r="F20" s="23" cm="1" t="str">
        <f t="array" ref="F20">IF(E20="Show hint",Key!$B$8,"")</f>
        <v/>
      </c>
      <c r="G20" s="24" cm="1">
        <f t="array" ref="G20">IF(LEFT(D20,1)="✔",IF(E20="Show hint",5,10),0)</f>
        <v>0</v>
      </c>
    </row>
    <row r="21" spans="1:7" ht="51.25" customHeight="1">
      <c r="A21" s="18" t="s">
        <v>96</v>
      </c>
      <c r="B21" s="8" t="s">
        <v>97</v>
      </c>
      <c r="C21" s="20"/>
      <c r="D21" s="21" cm="1" t="str">
        <f t="array" ref="D21">IFERROR(_xlfn.LET(_xlpm.a,'S4-1 Construction Crew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J$9),"✔ CLEAR","✘ TRY AGAIN"))),"✘ TRY AGAIN")</f>
        <v/>
      </c>
      <c r="E21" s="22"/>
      <c r="F21" s="23" cm="1" t="str">
        <f t="array" ref="F21">IF(E21="Show hint",Key!$B$9,"")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101</v>
      </c>
      <c r="B22" s="8" t="s">
        <v>102</v>
      </c>
      <c r="C22" s="20"/>
      <c r="D22" s="21" cm="1" t="str">
        <f t="array" ref="D22">IFERROR(_xlfn.LET(_xlpm.a,'S4-1 Construction Crew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E$10),"✔ CLEAR","✘ TRY AGAIN"))),"✘ TRY AGAIN")</f>
        <v/>
      </c>
      <c r="E22" s="22"/>
      <c r="F22" s="23" cm="1" t="str">
        <f t="array" ref="F22">IF(E22="Show hint",Key!$B$10,"")</f>
        <v/>
      </c>
      <c r="G22" s="24" cm="1">
        <f t="array" ref="G22">IF(LEFT(D22,1)="✔",IF(E22="Show hint",5,10),0)</f>
        <v>0</v>
      </c>
    </row>
    <row r="23" spans="1:7" ht="51.25" customHeight="1">
      <c r="A23" s="18" t="s">
        <v>106</v>
      </c>
      <c r="B23" s="8" t="s">
        <v>107</v>
      </c>
      <c r="C23" s="20"/>
      <c r="D23" s="21" cm="1" t="str">
        <f t="array" ref="D23">IFERROR(_xlfn.LET(_xlpm.a,'S4-1 Construction Crew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E$11),"✔ CLEAR","✘ TRY AGAIN"))),"✘ TRY AGAIN")</f>
        <v/>
      </c>
      <c r="E23" s="22"/>
      <c r="F23" s="23" cm="1" t="str">
        <f t="array" ref="F23">IF(E23="Show hint",Key!$B$11,"")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108</v>
      </c>
      <c r="B25" s="4"/>
      <c r="C25" s="4"/>
      <c r="D25" s="4"/>
      <c r="E25" s="4"/>
      <c r="F25" s="4"/>
      <c r="G25" s="4"/>
    </row>
    <row r="26" spans="1:7">
      <c r="A26" s="6" t="s">
        <v>19</v>
      </c>
      <c r="B26" s="6" t="s">
        <v>35</v>
      </c>
      <c r="C26" s="6" t="s">
        <v>36</v>
      </c>
      <c r="D26" s="6" t="s">
        <v>37</v>
      </c>
      <c r="E26" s="6" t="s">
        <v>38</v>
      </c>
      <c r="F26" s="6" t="s">
        <v>1</v>
      </c>
      <c r="G26" s="6" t="s">
        <v>39</v>
      </c>
    </row>
    <row r="27" spans="1:7" ht="19.75" customHeight="1">
      <c r="A27" s="18" t="s">
        <v>114</v>
      </c>
      <c r="B27" s="8" t="s">
        <v>115</v>
      </c>
      <c r="C27" s="20"/>
      <c r="D27" s="21" cm="1" t="str">
        <f t="array" ref="D27">IFERROR(IF('S4-1 Construction Crew'!$C$27&amp;""="","",IF('S4-1 Construction Crew'!$C$27&amp;""=Key!$C$12&amp;"","✔ CLEAR","✘ TRY AGAIN")),"✘ TRY AGAIN")</f>
        <v/>
      </c>
      <c r="E27" s="22"/>
      <c r="F27" s="23" cm="1" t="str">
        <f t="array" ref="F27">IF(E27="Show hint",Key!$B$12,"")</f>
        <v/>
      </c>
      <c r="G27" s="24" cm="1">
        <f t="array" ref="G27">IF(LEFT(D27,1)="✔",IF(E27="Show hint",5,10),0)</f>
        <v>0</v>
      </c>
    </row>
    <row r="28" spans="1:7" ht="19.75" customHeight="1">
      <c r="A28" s="18" t="s">
        <v>118</v>
      </c>
      <c r="B28" s="8" t="s">
        <v>119</v>
      </c>
      <c r="C28" s="20"/>
      <c r="D28" s="21" cm="1" t="str">
        <f t="array" ref="D28">IFERROR(IF('S4-1 Construction Crew'!$C$28&amp;""="","",IF('S4-1 Construction Crew'!$C$28&amp;""=Key!$C$13&amp;"","✔ CLEAR","✘ TRY AGAIN")),"✘ TRY AGAIN")</f>
        <v/>
      </c>
      <c r="E28" s="22"/>
      <c r="F28" s="23" cm="1" t="str">
        <f t="array" ref="F28">IF(E28="Show hint",Key!$B$13,"")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124</v>
      </c>
      <c r="B29" s="8" t="s">
        <v>125</v>
      </c>
      <c r="C29" s="20"/>
      <c r="D29" s="21" cm="1" t="str">
        <f t="array" ref="D29">IFERROR(IF('S4-1 Construction Crew'!$C$29&amp;""="","",IF('S4-1 Construction Crew'!$C$29&amp;""=Key!$C$14&amp;"","✔ CLEAR","✘ TRY AGAIN")),"✘ TRY AGAIN")</f>
        <v/>
      </c>
      <c r="E29" s="22"/>
      <c r="F29" s="23" cm="1" t="str">
        <f t="array" ref="F29">IF(E29="Show hint",Key!$B$14,"")</f>
        <v/>
      </c>
      <c r="G29" s="24" cm="1">
        <f t="array" ref="G29">IF(LEFT(D29,1)="✔",IF(E29="Show hint",5,10),0)</f>
        <v>0</v>
      </c>
    </row>
    <row r="30" spans="1:7" ht="19.75" customHeight="1">
      <c r="A30" s="18" t="s">
        <v>131</v>
      </c>
      <c r="B30" s="8" t="s">
        <v>132</v>
      </c>
      <c r="C30" s="20"/>
      <c r="D30" s="21" cm="1" t="str">
        <f t="array" ref="D30">IFERROR(IF('S4-1 Construction Crew'!$C$30&amp;""="","",IF('S4-1 Construction Crew'!$C$30&amp;""=Key!$C$15&amp;"","✔ CLEAR","✘ TRY AGAIN")),"✘ TRY AGAIN")</f>
        <v/>
      </c>
      <c r="E30" s="22"/>
      <c r="F30" s="23" cm="1" t="str">
        <f t="array" ref="F30">IF(E30="Show hint",Key!$B$15,"")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133</v>
      </c>
      <c r="B32" s="4"/>
      <c r="C32" s="4"/>
      <c r="D32" s="4"/>
      <c r="E32" s="4"/>
      <c r="F32" s="4"/>
      <c r="G32" s="4"/>
    </row>
    <row r="33" spans="1:7">
      <c r="B33" s="11" t="s">
        <v>134</v>
      </c>
    </row>
    <row r="34" spans="1:7">
      <c r="A34" s="6" t="s">
        <v>19</v>
      </c>
      <c r="B34" s="6" t="s">
        <v>35</v>
      </c>
      <c r="C34" s="6" t="s">
        <v>36</v>
      </c>
      <c r="D34" s="6" t="s">
        <v>37</v>
      </c>
      <c r="E34" s="6" t="s">
        <v>38</v>
      </c>
      <c r="F34" s="6" t="s">
        <v>1</v>
      </c>
      <c r="G34" s="6" t="s">
        <v>39</v>
      </c>
    </row>
    <row r="35" spans="1:7" ht="19.75" customHeight="1">
      <c r="A35" s="18" t="s">
        <v>141</v>
      </c>
      <c r="B35" s="8" t="s">
        <v>115</v>
      </c>
      <c r="C35" s="20"/>
      <c r="D35" s="21" cm="1" t="str">
        <f t="array" ref="D35">IFERROR(_xlfn.LET(_xlpm.a,'S4-1 Construction Crew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I$16),"✔ CLEAR","✘ TRY AGAIN"))),"✘ TRY AGAIN")</f>
        <v/>
      </c>
      <c r="E35" s="22"/>
      <c r="F35" s="23" cm="1" t="str">
        <f t="array" ref="F35">IF(E35="Show hint",Key!$B$16,"")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144</v>
      </c>
      <c r="B36" s="8" t="s">
        <v>119</v>
      </c>
      <c r="C36" s="20"/>
      <c r="D36" s="21" cm="1" t="str">
        <f t="array" ref="D36">IFERROR(_xlfn.LET(_xlpm.a,'S4-1 Construction Crew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E$17),"✔ CLEAR","✘ TRY AGAIN"))),"✘ TRY AGAIN")</f>
        <v/>
      </c>
      <c r="E36" s="22"/>
      <c r="F36" s="23" cm="1" t="str">
        <f t="array" ref="F36">IF(E36="Show hint",Key!$B$17,"")</f>
        <v/>
      </c>
      <c r="G36" s="24" cm="1">
        <f t="array" ref="G36">IF(LEFT(D36,1)="✔",IF(E36="Show hint",5,10),0)</f>
        <v>0</v>
      </c>
    </row>
    <row r="37" spans="1:7" ht="19.75" customHeight="1">
      <c r="A37" s="18" t="s">
        <v>147</v>
      </c>
      <c r="B37" s="8" t="s">
        <v>125</v>
      </c>
      <c r="C37" s="20"/>
      <c r="D37" s="21" cm="1" t="str">
        <f t="array" ref="D37">IFERROR(_xlfn.LET(_xlpm.a,'S4-1 Construction Crew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E$18),"✔ CLEAR","✘ TRY AGAIN"))),"✘ TRY AGAIN")</f>
        <v/>
      </c>
      <c r="E37" s="22"/>
      <c r="F37" s="23" cm="1" t="str">
        <f t="array" ref="F37">IF(E37="Show hint",Key!$B$18,"")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150</v>
      </c>
      <c r="B38" s="8" t="s">
        <v>132</v>
      </c>
      <c r="C38" s="20"/>
      <c r="D38" s="21" cm="1" t="str">
        <f t="array" ref="D38">IFERROR(_xlfn.LET(_xlpm.a,'S4-1 Construction Crew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E$19),"✔ CLEAR","✘ TRY AGAIN"))),"✘ TRY AGAIN")</f>
        <v/>
      </c>
      <c r="E38" s="22"/>
      <c r="F38" s="23" cm="1" t="str">
        <f t="array" ref="F38">IF(E38="Show hint",Key!$B$19,"")</f>
        <v/>
      </c>
      <c r="G38" s="24" cm="1">
        <f t="array" ref="G38">IF(LEFT(D38,1)="✔",IF(E38="Show hint",5,10),0)</f>
        <v>0</v>
      </c>
    </row>
    <row r="39" spans="1:7" ht="67" customHeight="1">
      <c r="A39" s="18" t="s">
        <v>153</v>
      </c>
      <c r="B39" s="8" t="s">
        <v>154</v>
      </c>
      <c r="C39" s="11" t="s">
        <v>155</v>
      </c>
      <c r="D39" s="21" cm="1" t="str">
        <f t="array" ref="D39">IF(IFERROR(AND(COUNTIF('S4-1 Arena'!$B:$B,"DELETE ME")=0,COUNTIF('S4-1 Arena'!$B:$B,"KEEP")=7),FALSE),"✔ CLEAR","· not yet")</f>
        <v>· not yet</v>
      </c>
      <c r="E39" s="22"/>
      <c r="F39" s="23" cm="1" t="str">
        <f t="array" ref="F39">IF(E39="Show hint",Key!$B$20,"")</f>
        <v/>
      </c>
      <c r="G39" s="24" cm="1">
        <f t="array" ref="G39">IF(LEFT(D39,1)="✔",IF(E39="Show hint",5,10),0)</f>
        <v>0</v>
      </c>
    </row>
    <row r="40" spans="1:7" ht="51.25" customHeight="1">
      <c r="A40" s="18" t="s">
        <v>158</v>
      </c>
      <c r="B40" s="8" t="s">
        <v>159</v>
      </c>
      <c r="C40" s="11" t="s">
        <v>160</v>
      </c>
      <c r="D40" s="21" cm="1" t="str">
        <f t="array" ref="D40">IF(IFERROR(MATCH("INSERT ABOVE",'S4-1 Arena'!$B:$B,0)-MATCH("ROW ABOVE",'S4-1 Arena'!$B:$B,0)=3,FALSE),"✔ CLEAR","· not yet")</f>
        <v>· not yet</v>
      </c>
      <c r="E40" s="22"/>
      <c r="F40" s="23" cm="1" t="str">
        <f t="array" ref="F40">IF(E40="Show hint",Key!$B$21,"")</f>
        <v/>
      </c>
      <c r="G40" s="24" cm="1">
        <f t="array" ref="G40">IF(LEFT(D40,1)="✔",IF(E40="Show hint",5,10),0)</f>
        <v>0</v>
      </c>
    </row>
    <row r="41" spans="1:7" ht="51.25" customHeight="1">
      <c r="A41" s="18" t="s">
        <v>163</v>
      </c>
      <c r="B41" s="8" t="s">
        <v>164</v>
      </c>
      <c r="C41" s="11" t="s">
        <v>165</v>
      </c>
      <c r="D41" s="21" cm="1" t="str">
        <f t="array" ref="D41">IF(IFERROR(AND(SUMPRODUCT(SUBTOTAL(103,OFFSET('S4-1 Arena'!$B$13,ROW('S4-1 Arena'!$B$13:$B$20)-ROW('S4-1 Arena'!$B$13),0))*('S4-1 Arena'!$B$13:$B$20="SECRET"))=0,SUBTOTAL(103,'S4-1 Arena'!$B$13:$B$20)=6),FALSE),"✔ CLEAR","· not yet · press F9")</f>
        <v>· not yet · press F9</v>
      </c>
      <c r="E41" s="22"/>
      <c r="F41" s="23" cm="1" t="str">
        <f t="array" ref="F41">IF(E41="Show hint",Key!$B$22,"")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168</v>
      </c>
      <c r="B42" s="8" t="s">
        <v>169</v>
      </c>
      <c r="C42" s="11" t="s">
        <v>170</v>
      </c>
      <c r="D42" s="21" cm="1" t="str">
        <f t="array" ref="D42">IF(IFERROR(INDEX(CELL("width",'S4-1 Arena'!$H$5),1)=0,FALSE),"✔ CLEAR","· not yet · press F9")</f>
        <v>· not yet · press F9</v>
      </c>
      <c r="E42" s="22"/>
      <c r="F42" s="23" cm="1" t="str">
        <f t="array" ref="F42">IF(E42="Show hint",Key!$B$23,"")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4:D42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Key!$E$12:$H$12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Key!$E$13:$H$13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Key!$E$14:$H$14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Key!$E$15:$H$15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3" location="'S4-1 Arena'!A1" display="▶ Open S4-1 Arena (or press Ctrl+PgDn)"/>
    <hyperlink ref="C39" location="'S4-1 Arena'!B32" tooltip="Go to S4-1 Arena, cell B32" display="▶ ARENA C5 (cell B32)"/>
    <hyperlink ref="C40" location="'S4-1 Arena'!B25" tooltip="Go to S4-1 Arena, cell B25" display="▶ ARENA C6 (cell B25)"/>
    <hyperlink ref="C41" location="'S4-1 Arena'!B14" tooltip="Go to S4-1 Arena, cell B14" display="▶ ARENA C7 (cell B14)"/>
    <hyperlink ref="C42" location="'S4-1 Arena'!H5" tooltip="Go to S4-1 Arena, cell H5" display="▶ ARENA C8 (cell H5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1" width="14.7109375" customWidth="1"/>
    <col min="2" max="2" width="16.7109375" customWidth="1"/>
    <col min="3" max="26" width="13.7109375" customWidth="1"/>
  </cols>
  <sheetData>
    <row r="1" spans="1:8">
      <c r="A1" s="1" t="s">
        <v>4</v>
      </c>
    </row>
    <row r="2" spans="1:8">
      <c r="A2" s="3" t="s">
        <v>5</v>
      </c>
    </row>
    <row r="3" spans="1:8">
      <c r="A3" s="25" t="s">
        <v>6</v>
      </c>
      <c r="B3" s="26" t="s">
        <v>7</v>
      </c>
      <c r="D3" s="11" t="s">
        <v>8</v>
      </c>
    </row>
    <row r="5" spans="1:8">
      <c r="H5" s="27" t="s">
        <v>9</v>
      </c>
    </row>
    <row r="6" spans="1:8">
      <c r="H6" s="5">
        <v>1</v>
      </c>
    </row>
    <row r="7" spans="1:8">
      <c r="H7" s="5">
        <v>2</v>
      </c>
    </row>
    <row r="8" spans="1:8">
      <c r="H8" s="5">
        <v>3</v>
      </c>
    </row>
    <row r="9" spans="1:8">
      <c r="H9" s="5">
        <v>4</v>
      </c>
    </row>
    <row r="10" spans="1:8">
      <c r="H10" s="5">
        <v>5</v>
      </c>
    </row>
    <row r="12" spans="1:8">
      <c r="B12" s="7" t="s">
        <v>10</v>
      </c>
    </row>
    <row r="13" spans="1:8">
      <c r="B13" s="5" t="s">
        <v>11</v>
      </c>
      <c r="C13" s="5">
        <v>1</v>
      </c>
    </row>
    <row r="14" spans="1:8">
      <c r="B14" s="5" t="s">
        <v>12</v>
      </c>
      <c r="C14" s="5">
        <v>2</v>
      </c>
    </row>
    <row r="15" spans="1:8">
      <c r="B15" s="5" t="s">
        <v>11</v>
      </c>
      <c r="C15" s="5">
        <v>3</v>
      </c>
    </row>
    <row r="16" spans="1:8">
      <c r="B16" s="5" t="s">
        <v>11</v>
      </c>
      <c r="C16" s="5">
        <v>4</v>
      </c>
    </row>
    <row r="17" spans="2:3">
      <c r="B17" s="5" t="s">
        <v>12</v>
      </c>
      <c r="C17" s="5">
        <v>5</v>
      </c>
    </row>
    <row r="18" spans="2:3">
      <c r="B18" s="5" t="s">
        <v>11</v>
      </c>
      <c r="C18" s="5">
        <v>6</v>
      </c>
    </row>
    <row r="19" spans="2:3">
      <c r="B19" s="5" t="s">
        <v>11</v>
      </c>
      <c r="C19" s="5">
        <v>7</v>
      </c>
    </row>
    <row r="20" spans="2:3">
      <c r="B20" s="5" t="s">
        <v>11</v>
      </c>
      <c r="C20" s="5">
        <v>8</v>
      </c>
    </row>
    <row r="24" spans="2:3">
      <c r="B24" s="7" t="s">
        <v>13</v>
      </c>
    </row>
    <row r="25" spans="2:3">
      <c r="B25" s="7" t="s">
        <v>14</v>
      </c>
    </row>
    <row r="29" spans="2:3">
      <c r="B29" s="7" t="s">
        <v>15</v>
      </c>
    </row>
    <row r="30" spans="2:3">
      <c r="B30" s="5" t="s">
        <v>16</v>
      </c>
      <c r="C30" s="5">
        <v>1</v>
      </c>
    </row>
    <row r="31" spans="2:3">
      <c r="B31" s="5" t="s">
        <v>16</v>
      </c>
      <c r="C31" s="5">
        <v>2</v>
      </c>
    </row>
    <row r="32" spans="2:3">
      <c r="B32" s="5" t="s">
        <v>17</v>
      </c>
      <c r="C32" s="5">
        <v>3</v>
      </c>
    </row>
    <row r="33" spans="2:3">
      <c r="B33" s="5" t="s">
        <v>17</v>
      </c>
      <c r="C33" s="5">
        <v>4</v>
      </c>
    </row>
    <row r="34" spans="2:3">
      <c r="B34" s="5" t="s">
        <v>17</v>
      </c>
      <c r="C34" s="5">
        <v>5</v>
      </c>
    </row>
    <row r="35" spans="2:3">
      <c r="B35" s="5" t="s">
        <v>16</v>
      </c>
      <c r="C35" s="5">
        <v>6</v>
      </c>
    </row>
    <row r="36" spans="2:3">
      <c r="B36" s="5" t="s">
        <v>16</v>
      </c>
      <c r="C36" s="5">
        <v>7</v>
      </c>
    </row>
    <row r="37" spans="2:3">
      <c r="B37" s="5" t="s">
        <v>16</v>
      </c>
      <c r="C37" s="5">
        <v>8</v>
      </c>
    </row>
    <row r="38" spans="2:3">
      <c r="B38" s="5" t="s">
        <v>16</v>
      </c>
      <c r="C38" s="5">
        <v>9</v>
      </c>
    </row>
    <row r="39" spans="2:3">
      <c r="B39" s="5" t="s">
        <v>16</v>
      </c>
      <c r="C39" s="5">
        <v>10</v>
      </c>
    </row>
  </sheetData>
  <hyperlinks>
    <hyperlink ref="D3" location="'S4-1 Construction Crew'!A1" display="◀ Back to S4-1 Construction Crew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5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336</v>
      </c>
      <c r="B1" s="2"/>
      <c r="C1" s="2"/>
      <c r="D1" s="2"/>
      <c r="E1" s="2"/>
      <c r="F1" s="2"/>
      <c r="G1" s="2"/>
    </row>
    <row r="2" spans="1:7">
      <c r="A2" s="3" t="s">
        <v>337</v>
      </c>
    </row>
    <row r="3" spans="1:7" ht="26" customHeight="1">
      <c r="A3" s="14" cm="1" t="str">
        <f t="array" ref="A3">"SCORE "&amp;TEXT(SUM($G$18:$G$53),"0000")&amp;" / 0290"</f>
        <v>SCORE 0000 / 0290</v>
      </c>
      <c r="C3" s="15" cm="1" t="str">
        <f t="array" ref="C3">IF(SUM($G$18:$G$53)&gt;=290,"★★★",IF(SUM($G$18:$G$53)&gt;=290*0.8,"★★☆",IF(SUM($G$18:$G$53)&gt;=290*0.5,"★☆☆","☆☆☆")))</f>
        <v>☆☆☆</v>
      </c>
      <c r="D3" s="16" cm="1" t="str">
        <f t="array" ref="D3">REPT("█",ROUND(10*SUM($G$18:$G$53)/290,0))&amp;REPT("░",10-ROUND(10*SUM($G$18:$G$53)/290,0))&amp;"  "&amp;TEXT(SUM($G$18:$G$53)/290,"0%")</f>
        <v>░░░░░░░░░░  0%</v>
      </c>
      <c r="F3" s="17" cm="1" t="str">
        <f t="array" ref="F3">IF(SUM($G$18:$G$53)&gt;=290*0.5,"STAGE CLEAR! ▶ Next: S4-3 Detective","")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35.5" customHeight="1">
      <c r="A7" s="18" t="s">
        <v>22</v>
      </c>
      <c r="B7" s="8" t="s">
        <v>179</v>
      </c>
      <c r="C7" s="19" t="s">
        <v>180</v>
      </c>
    </row>
    <row r="8" spans="1:7" ht="51.25" customHeight="1">
      <c r="A8" s="18" t="s">
        <v>25</v>
      </c>
      <c r="B8" s="8" t="s">
        <v>181</v>
      </c>
      <c r="C8" s="19" t="s">
        <v>182</v>
      </c>
    </row>
    <row r="9" spans="1:7" ht="35.5" customHeight="1">
      <c r="A9" s="18" t="s">
        <v>28</v>
      </c>
      <c r="B9" s="8" t="s">
        <v>183</v>
      </c>
      <c r="C9" s="19" t="s">
        <v>112</v>
      </c>
    </row>
    <row r="10" spans="1:7" ht="35.5" customHeight="1">
      <c r="A10" s="18" t="s">
        <v>31</v>
      </c>
      <c r="B10" s="8" t="s">
        <v>184</v>
      </c>
      <c r="C10" s="19" t="s">
        <v>113</v>
      </c>
    </row>
    <row r="11" spans="1:7" ht="35.5" customHeight="1">
      <c r="A11" s="18" t="s">
        <v>185</v>
      </c>
      <c r="B11" s="8" t="s">
        <v>186</v>
      </c>
      <c r="C11" s="19" t="s">
        <v>187</v>
      </c>
    </row>
    <row r="12" spans="1:7" ht="35.5" customHeight="1">
      <c r="A12" s="18" t="s">
        <v>188</v>
      </c>
      <c r="B12" s="8" t="s">
        <v>189</v>
      </c>
      <c r="C12" s="19" t="s">
        <v>190</v>
      </c>
    </row>
    <row r="13" spans="1:7" ht="35.5" customHeight="1">
      <c r="A13" s="18" t="s">
        <v>191</v>
      </c>
      <c r="B13" s="8" t="s">
        <v>192</v>
      </c>
      <c r="C13" s="19" t="s">
        <v>128</v>
      </c>
    </row>
    <row r="14" spans="1:7" ht="35.5" customHeight="1">
      <c r="A14" s="18" t="s">
        <v>193</v>
      </c>
      <c r="B14" s="8" t="s">
        <v>194</v>
      </c>
      <c r="C14" s="19" t="s">
        <v>195</v>
      </c>
    </row>
    <row r="16" spans="1:7" ht="22" customHeight="1">
      <c r="A16" s="4" t="s">
        <v>34</v>
      </c>
      <c r="B16" s="4"/>
      <c r="C16" s="4"/>
      <c r="D16" s="4"/>
      <c r="E16" s="4"/>
      <c r="F16" s="4"/>
      <c r="G16" s="4"/>
    </row>
    <row r="17" spans="1:7">
      <c r="A17" s="6" t="s">
        <v>19</v>
      </c>
      <c r="B17" s="6" t="s">
        <v>35</v>
      </c>
      <c r="C17" s="6" t="s">
        <v>36</v>
      </c>
      <c r="D17" s="6" t="s">
        <v>37</v>
      </c>
      <c r="E17" s="6" t="s">
        <v>38</v>
      </c>
      <c r="F17" s="6" t="s">
        <v>1</v>
      </c>
      <c r="G17" s="6" t="s">
        <v>39</v>
      </c>
    </row>
    <row r="18" spans="1:7" ht="35.5" customHeight="1">
      <c r="A18" s="18" t="s">
        <v>48</v>
      </c>
      <c r="B18" s="8" t="s">
        <v>197</v>
      </c>
      <c r="C18" s="20"/>
      <c r="D18" s="21" cm="1" t="str">
        <f t="array" ref="D18">IFERROR(_xlfn.LET(_xlpm.a,'S4-2 Sheet Mast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I$24),"✔ CLEAR","✘ TRY AGAIN"))),"✘ TRY AGAIN")</f>
        <v/>
      </c>
      <c r="E18" s="22"/>
      <c r="F18" s="23" cm="1" t="str">
        <f t="array" ref="F18">IF(E18="Show hint",Key!$B$24,"")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58</v>
      </c>
      <c r="B19" s="8" t="s">
        <v>199</v>
      </c>
      <c r="C19" s="20"/>
      <c r="D19" s="21" cm="1" t="str">
        <f t="array" ref="D19">IFERROR(_xlfn.LET(_xlpm.a,'S4-2 Sheet Mast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E$25),"✔ CLEAR","✘ TRY AGAIN"))),"✘ TRY AGAIN")</f>
        <v/>
      </c>
      <c r="E19" s="22"/>
      <c r="F19" s="23" cm="1" t="str">
        <f t="array" ref="F19">IF(E19="Show hint",Key!$B$25,"")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63</v>
      </c>
      <c r="B20" s="8" t="s">
        <v>201</v>
      </c>
      <c r="C20" s="20"/>
      <c r="D20" s="21" cm="1" t="str">
        <f t="array" ref="D20">IFERROR(_xlfn.LET(_xlpm.a,'S4-2 Sheet Mast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E$26),"✔ CLEAR","✘ TRY AGAIN"))),"✘ TRY AGAIN")</f>
        <v/>
      </c>
      <c r="E20" s="22"/>
      <c r="F20" s="23" cm="1" t="str">
        <f t="array" ref="F20">IF(E20="Show hint",Key!$B$26,"")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68</v>
      </c>
      <c r="B21" s="8" t="s">
        <v>203</v>
      </c>
      <c r="C21" s="20"/>
      <c r="D21" s="21" cm="1" t="str">
        <f t="array" ref="D21">IFERROR(_xlfn.LET(_xlpm.a,'S4-2 Sheet Mast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E$27),"✔ CLEAR","✘ TRY AGAIN"))),"✘ TRY AGAIN")</f>
        <v/>
      </c>
      <c r="E21" s="22"/>
      <c r="F21" s="23" cm="1" t="str">
        <f t="array" ref="F21">IF(E21="Show hint",Key!$B$27,"")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73</v>
      </c>
      <c r="B22" s="8" t="s">
        <v>212</v>
      </c>
      <c r="C22" s="20"/>
      <c r="D22" s="21" cm="1" t="str">
        <f t="array" ref="D22">IFERROR(_xlfn.LET(_xlpm.a,'S4-2 Sheet Maste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J$28),"✔ CLEAR","✘ TRY AGAIN"))),"✘ TRY AGAIN")</f>
        <v/>
      </c>
      <c r="E22" s="22"/>
      <c r="F22" s="23" cm="1" t="str">
        <f t="array" ref="F22">IF(E22="Show hint",Key!$B$28,"")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78</v>
      </c>
      <c r="B23" s="8" t="s">
        <v>221</v>
      </c>
      <c r="C23" s="20"/>
      <c r="D23" s="21" cm="1" t="str">
        <f t="array" ref="D23">IFERROR(_xlfn.LET(_xlpm.a,'S4-2 Sheet Master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J$29),"✔ CLEAR","✘ TRY AGAIN"))),"✘ TRY AGAIN")</f>
        <v/>
      </c>
      <c r="E23" s="22"/>
      <c r="F23" s="23" cm="1" t="str">
        <f t="array" ref="F23">IF(E23="Show hint",Key!$B$29,"")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86</v>
      </c>
      <c r="B24" s="8" t="s">
        <v>230</v>
      </c>
      <c r="C24" s="20"/>
      <c r="D24" s="21" cm="1" t="str">
        <f t="array" ref="D24">IFERROR(_xlfn.LET(_xlpm.a,'S4-2 Sheet Master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J$30),"✔ CLEAR","✘ TRY AGAIN"))),"✘ TRY AGAIN")</f>
        <v/>
      </c>
      <c r="E24" s="22"/>
      <c r="F24" s="23" cm="1" t="str">
        <f t="array" ref="F24">IF(E24="Show hint",Key!$B$30,"")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96</v>
      </c>
      <c r="B25" s="8" t="s">
        <v>239</v>
      </c>
      <c r="C25" s="20"/>
      <c r="D25" s="21" cm="1" t="str">
        <f t="array" ref="D25">IFERROR(_xlfn.LET(_xlpm.a,'S4-2 Sheet Master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J$31),"✔ CLEAR","✘ TRY AGAIN"))),"✘ TRY AGAIN")</f>
        <v/>
      </c>
      <c r="E25" s="22"/>
      <c r="F25" s="23" cm="1" t="str">
        <f t="array" ref="F25">IF(E25="Show hint",Key!$B$31,"")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101</v>
      </c>
      <c r="B26" s="8" t="s">
        <v>248</v>
      </c>
      <c r="C26" s="20"/>
      <c r="D26" s="21" cm="1" t="str">
        <f t="array" ref="D26">IFERROR(_xlfn.LET(_xlpm.a,'S4-2 Sheet Master'!$C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J$32),"✔ CLEAR","✘ TRY AGAIN"))),"✘ TRY AGAIN")</f>
        <v/>
      </c>
      <c r="E26" s="22"/>
      <c r="F26" s="23" cm="1" t="str">
        <f t="array" ref="F26">IF(E26="Show hint",Key!$B$32,"")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106</v>
      </c>
      <c r="B27" s="8" t="s">
        <v>257</v>
      </c>
      <c r="C27" s="20"/>
      <c r="D27" s="21" cm="1" t="str">
        <f t="array" ref="D27">IFERROR(_xlfn.LET(_xlpm.a,'S4-2 Sheet Master'!$C$27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J$33),"✔ CLEAR","✘ TRY AGAIN"))),"✘ TRY AGAIN")</f>
        <v/>
      </c>
      <c r="E27" s="22"/>
      <c r="F27" s="23" cm="1" t="str">
        <f t="array" ref="F27">IF(E27="Show hint",Key!$B$33,"")</f>
        <v/>
      </c>
      <c r="G27" s="24" cm="1">
        <f t="array" ref="G27">IF(LEFT(D27,1)="✔",IF(E27="Show hint",5,10),0)</f>
        <v>0</v>
      </c>
    </row>
    <row r="29" spans="1:7" ht="22" customHeight="1">
      <c r="A29" s="4" t="s">
        <v>108</v>
      </c>
      <c r="B29" s="4"/>
      <c r="C29" s="4"/>
      <c r="D29" s="4"/>
      <c r="E29" s="4"/>
      <c r="F29" s="4"/>
      <c r="G29" s="4"/>
    </row>
    <row r="30" spans="1:7">
      <c r="A30" s="6" t="s">
        <v>19</v>
      </c>
      <c r="B30" s="6" t="s">
        <v>35</v>
      </c>
      <c r="C30" s="6" t="s">
        <v>36</v>
      </c>
      <c r="D30" s="6" t="s">
        <v>37</v>
      </c>
      <c r="E30" s="6" t="s">
        <v>38</v>
      </c>
      <c r="F30" s="6" t="s">
        <v>1</v>
      </c>
      <c r="G30" s="6" t="s">
        <v>39</v>
      </c>
    </row>
    <row r="31" spans="1:7" ht="19.75" customHeight="1">
      <c r="A31" s="18" t="s">
        <v>114</v>
      </c>
      <c r="B31" s="8" t="s">
        <v>261</v>
      </c>
      <c r="C31" s="20"/>
      <c r="D31" s="21" cm="1" t="str">
        <f t="array" ref="D31">IFERROR(IF('S4-2 Sheet Master'!$C$31&amp;""="","",IF('S4-2 Sheet Master'!$C$31&amp;""=Key!$C$34&amp;"","✔ CLEAR","✘ TRY AGAIN")),"✘ TRY AGAIN")</f>
        <v/>
      </c>
      <c r="E31" s="22"/>
      <c r="F31" s="23" cm="1" t="str">
        <f t="array" ref="F31">IF(E31="Show hint",Key!$B$34,"")</f>
        <v/>
      </c>
      <c r="G31" s="24" cm="1">
        <f t="array" ref="G31">IF(LEFT(D31,1)="✔",IF(E31="Show hint",5,10),0)</f>
        <v>0</v>
      </c>
    </row>
    <row r="32" spans="1:7" ht="19.75" customHeight="1">
      <c r="A32" s="18" t="s">
        <v>118</v>
      </c>
      <c r="B32" s="8" t="s">
        <v>264</v>
      </c>
      <c r="C32" s="20"/>
      <c r="D32" s="21" cm="1" t="str">
        <f t="array" ref="D32">IFERROR(IF('S4-2 Sheet Master'!$C$32&amp;""="","",IF('S4-2 Sheet Master'!$C$32&amp;""=Key!$C$35&amp;"","✔ CLEAR","✘ TRY AGAIN")),"✘ TRY AGAIN")</f>
        <v/>
      </c>
      <c r="E32" s="22"/>
      <c r="F32" s="23" cm="1" t="str">
        <f t="array" ref="F32">IF(E32="Show hint",Key!$B$35,"")</f>
        <v/>
      </c>
      <c r="G32" s="24" cm="1">
        <f t="array" ref="G32">IF(LEFT(D32,1)="✔",IF(E32="Show hint",5,10),0)</f>
        <v>0</v>
      </c>
    </row>
    <row r="33" spans="1:7" ht="19.75" customHeight="1">
      <c r="A33" s="18" t="s">
        <v>124</v>
      </c>
      <c r="B33" s="8" t="s">
        <v>268</v>
      </c>
      <c r="C33" s="20"/>
      <c r="D33" s="21" cm="1" t="str">
        <f t="array" ref="D33">IFERROR(IF('S4-2 Sheet Master'!$C$33&amp;""="","",IF('S4-2 Sheet Master'!$C$33&amp;""=Key!$C$36&amp;"","✔ CLEAR","✘ TRY AGAIN")),"✘ TRY AGAIN")</f>
        <v/>
      </c>
      <c r="E33" s="22"/>
      <c r="F33" s="23" cm="1" t="str">
        <f t="array" ref="F33">IF(E33="Show hint",Key!$B$36,"")</f>
        <v/>
      </c>
      <c r="G33" s="24" cm="1">
        <f t="array" ref="G33">IF(LEFT(D33,1)="✔",IF(E33="Show hint",5,10),0)</f>
        <v>0</v>
      </c>
    </row>
    <row r="34" spans="1:7" ht="19.75" customHeight="1">
      <c r="A34" s="18" t="s">
        <v>131</v>
      </c>
      <c r="B34" s="8" t="s">
        <v>271</v>
      </c>
      <c r="C34" s="20"/>
      <c r="D34" s="21" cm="1" t="str">
        <f t="array" ref="D34">IFERROR(IF('S4-2 Sheet Master'!$C$34&amp;""="","",IF('S4-2 Sheet Master'!$C$34&amp;""=Key!$C$37&amp;"","✔ CLEAR","✘ TRY AGAIN")),"✘ TRY AGAIN")</f>
        <v/>
      </c>
      <c r="E34" s="22"/>
      <c r="F34" s="23" cm="1" t="str">
        <f t="array" ref="F34">IF(E34="Show hint",Key!$B$37,"")</f>
        <v/>
      </c>
      <c r="G34" s="24" cm="1">
        <f t="array" ref="G34">IF(LEFT(D34,1)="✔",IF(E34="Show hint",5,10),0)</f>
        <v>0</v>
      </c>
    </row>
    <row r="35" spans="1:7" ht="19.75" customHeight="1">
      <c r="A35" s="18" t="s">
        <v>274</v>
      </c>
      <c r="B35" s="8" t="s">
        <v>275</v>
      </c>
      <c r="C35" s="20"/>
      <c r="D35" s="21" cm="1" t="str">
        <f t="array" ref="D35">IFERROR(IF('S4-2 Sheet Master'!$C$35&amp;""="","",IF('S4-2 Sheet Master'!$C$35&amp;""=Key!$C$38&amp;"","✔ CLEAR","✘ TRY AGAIN")),"✘ TRY AGAIN")</f>
        <v/>
      </c>
      <c r="E35" s="22"/>
      <c r="F35" s="23" cm="1" t="str">
        <f t="array" ref="F35">IF(E35="Show hint",Key!$B$38,"")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278</v>
      </c>
      <c r="B36" s="8" t="s">
        <v>279</v>
      </c>
      <c r="C36" s="20"/>
      <c r="D36" s="21" cm="1" t="str">
        <f t="array" ref="D36">IFERROR(IF('S4-2 Sheet Master'!$C$36&amp;""="","",IF('S4-2 Sheet Master'!$C$36&amp;""=Key!$C$39&amp;"","✔ CLEAR","✘ TRY AGAIN")),"✘ TRY AGAIN")</f>
        <v/>
      </c>
      <c r="E36" s="22"/>
      <c r="F36" s="23" cm="1" t="str">
        <f t="array" ref="F36">IF(E36="Show hint",Key!$B$39,"")</f>
        <v/>
      </c>
      <c r="G36" s="24" cm="1">
        <f t="array" ref="G36">IF(LEFT(D36,1)="✔",IF(E36="Show hint",5,10),0)</f>
        <v>0</v>
      </c>
    </row>
    <row r="37" spans="1:7" ht="19.75" customHeight="1">
      <c r="A37" s="18" t="s">
        <v>282</v>
      </c>
      <c r="B37" s="8" t="s">
        <v>283</v>
      </c>
      <c r="C37" s="20"/>
      <c r="D37" s="21" cm="1" t="str">
        <f t="array" ref="D37">IFERROR(IF('S4-2 Sheet Master'!$C$37&amp;""="","",IF('S4-2 Sheet Master'!$C$37&amp;""=Key!$C$40&amp;"","✔ CLEAR","✘ TRY AGAIN")),"✘ TRY AGAIN")</f>
        <v/>
      </c>
      <c r="E37" s="22"/>
      <c r="F37" s="23" cm="1" t="str">
        <f t="array" ref="F37">IF(E37="Show hint",Key!$B$40,"")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286</v>
      </c>
      <c r="B38" s="8" t="s">
        <v>287</v>
      </c>
      <c r="C38" s="20"/>
      <c r="D38" s="21" cm="1" t="str">
        <f t="array" ref="D38">IFERROR(IF('S4-2 Sheet Master'!$C$38&amp;""="","",IF('S4-2 Sheet Master'!$C$38&amp;""=Key!$C$41&amp;"","✔ CLEAR","✘ TRY AGAIN")),"✘ TRY AGAIN")</f>
        <v/>
      </c>
      <c r="E38" s="22"/>
      <c r="F38" s="23" cm="1" t="str">
        <f t="array" ref="F38">IF(E38="Show hint",Key!$B$41,"")</f>
        <v/>
      </c>
      <c r="G38" s="24" cm="1">
        <f t="array" ref="G38">IF(LEFT(D38,1)="✔",IF(E38="Show hint",5,10),0)</f>
        <v>0</v>
      </c>
    </row>
    <row r="40" spans="1:7" ht="22" customHeight="1">
      <c r="A40" s="4" t="s">
        <v>133</v>
      </c>
      <c r="B40" s="4"/>
      <c r="C40" s="4"/>
      <c r="D40" s="4"/>
      <c r="E40" s="4"/>
      <c r="F40" s="4"/>
      <c r="G40" s="4"/>
    </row>
    <row r="41" spans="1:7">
      <c r="B41" s="11" t="s">
        <v>288</v>
      </c>
    </row>
    <row r="42" spans="1:7">
      <c r="A42" s="6" t="s">
        <v>19</v>
      </c>
      <c r="B42" s="6" t="s">
        <v>35</v>
      </c>
      <c r="C42" s="6" t="s">
        <v>36</v>
      </c>
      <c r="D42" s="6" t="s">
        <v>37</v>
      </c>
      <c r="E42" s="6" t="s">
        <v>38</v>
      </c>
      <c r="F42" s="6" t="s">
        <v>1</v>
      </c>
      <c r="G42" s="6" t="s">
        <v>39</v>
      </c>
    </row>
    <row r="43" spans="1:7" ht="19.75" customHeight="1">
      <c r="A43" s="18" t="s">
        <v>141</v>
      </c>
      <c r="B43" s="8" t="s">
        <v>261</v>
      </c>
      <c r="C43" s="20"/>
      <c r="D43" s="21" cm="1" t="str">
        <f t="array" ref="D43">IFERROR(_xlfn.LET(_xlpm.a,'S4-2 Sheet Master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G$42),"✔ CLEAR","✘ TRY AGAIN"))),"✘ TRY AGAIN")</f>
        <v/>
      </c>
      <c r="E43" s="22"/>
      <c r="F43" s="23" cm="1" t="str">
        <f t="array" ref="F43">IF(E43="Show hint",Key!$B$42,"")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144</v>
      </c>
      <c r="B44" s="8" t="s">
        <v>264</v>
      </c>
      <c r="C44" s="20"/>
      <c r="D44" s="21" cm="1" t="str">
        <f t="array" ref="D44">IFERROR(_xlfn.LET(_xlpm.a,'S4-2 Sheet Master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T$43),"✔ CLEAR","✘ TRY AGAIN"))),"✘ TRY AGAIN")</f>
        <v/>
      </c>
      <c r="E44" s="22"/>
      <c r="F44" s="23" cm="1" t="str">
        <f t="array" ref="F44">IF(E44="Show hint",Key!$B$43,"")</f>
        <v/>
      </c>
      <c r="G44" s="24" cm="1">
        <f t="array" ref="G44">IF(LEFT(D44,1)="✔",IF(E44="Show hint",5,10),0)</f>
        <v>0</v>
      </c>
    </row>
    <row r="45" spans="1:7" ht="19.75" customHeight="1">
      <c r="A45" s="18" t="s">
        <v>147</v>
      </c>
      <c r="B45" s="8" t="s">
        <v>268</v>
      </c>
      <c r="C45" s="20"/>
      <c r="D45" s="21" cm="1" t="str">
        <f t="array" ref="D45">IFERROR(_xlfn.LET(_xlpm.a,'S4-2 Sheet Master'!$C$45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E$44),"✔ CLEAR","✘ TRY AGAIN"))),"✘ TRY AGAIN")</f>
        <v/>
      </c>
      <c r="E45" s="22"/>
      <c r="F45" s="23" cm="1" t="str">
        <f t="array" ref="F45">IF(E45="Show hint",Key!$B$44,"")</f>
        <v/>
      </c>
      <c r="G45" s="24" cm="1">
        <f t="array" ref="G45">IF(LEFT(D45,1)="✔",IF(E45="Show hint",5,10),0)</f>
        <v>0</v>
      </c>
    </row>
    <row r="46" spans="1:7" ht="19.75" customHeight="1">
      <c r="A46" s="18" t="s">
        <v>150</v>
      </c>
      <c r="B46" s="8" t="s">
        <v>271</v>
      </c>
      <c r="C46" s="20"/>
      <c r="D46" s="21" cm="1" t="str">
        <f t="array" ref="D46">IFERROR(_xlfn.LET(_xlpm.a,'S4-2 Sheet Master'!$C$46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E$45),"✔ CLEAR","✘ TRY AGAIN"))),"✘ TRY AGAIN")</f>
        <v/>
      </c>
      <c r="E46" s="22"/>
      <c r="F46" s="23" cm="1" t="str">
        <f t="array" ref="F46">IF(E46="Show hint",Key!$B$45,"")</f>
        <v/>
      </c>
      <c r="G46" s="24" cm="1">
        <f t="array" ref="G46">IF(LEFT(D46,1)="✔",IF(E46="Show hint",5,10),0)</f>
        <v>0</v>
      </c>
    </row>
    <row r="47" spans="1:7" ht="19.75" customHeight="1">
      <c r="A47" s="18" t="s">
        <v>153</v>
      </c>
      <c r="B47" s="8" t="s">
        <v>275</v>
      </c>
      <c r="C47" s="20"/>
      <c r="D47" s="21" cm="1" t="str">
        <f t="array" ref="D47">IFERROR(_xlfn.LET(_xlpm.a,'S4-2 Sheet Master'!$C$47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E$46),"✔ CLEAR","✘ TRY AGAIN"))),"✘ TRY AGAIN")</f>
        <v/>
      </c>
      <c r="E47" s="22"/>
      <c r="F47" s="23" cm="1" t="str">
        <f t="array" ref="F47">IF(E47="Show hint",Key!$B$46,"")</f>
        <v/>
      </c>
      <c r="G47" s="24" cm="1">
        <f t="array" ref="G47">IF(LEFT(D47,1)="✔",IF(E47="Show hint",5,10),0)</f>
        <v>0</v>
      </c>
    </row>
    <row r="48" spans="1:7" ht="19.75" customHeight="1">
      <c r="A48" s="18" t="s">
        <v>158</v>
      </c>
      <c r="B48" s="8" t="s">
        <v>279</v>
      </c>
      <c r="C48" s="20"/>
      <c r="D48" s="21" cm="1" t="str">
        <f t="array" ref="D48">IFERROR(_xlfn.LET(_xlpm.a,'S4-2 Sheet Master'!$C$48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E$47),"✔ CLEAR","✘ TRY AGAIN"))),"✘ TRY AGAIN")</f>
        <v/>
      </c>
      <c r="E48" s="22"/>
      <c r="F48" s="23" cm="1" t="str">
        <f t="array" ref="F48">IF(E48="Show hint",Key!$B$47,"")</f>
        <v/>
      </c>
      <c r="G48" s="24" cm="1">
        <f t="array" ref="G48">IF(LEFT(D48,1)="✔",IF(E48="Show hint",5,10),0)</f>
        <v>0</v>
      </c>
    </row>
    <row r="49" spans="1:7" ht="19.75" customHeight="1">
      <c r="A49" s="18" t="s">
        <v>163</v>
      </c>
      <c r="B49" s="8" t="s">
        <v>283</v>
      </c>
      <c r="C49" s="20"/>
      <c r="D49" s="21" cm="1" t="str">
        <f t="array" ref="D49">IFERROR(_xlfn.LET(_xlpm.a,'S4-2 Sheet Master'!$C$49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E$48),"✔ CLEAR","✘ TRY AGAIN"))),"✘ TRY AGAIN")</f>
        <v/>
      </c>
      <c r="E49" s="22"/>
      <c r="F49" s="23" cm="1" t="str">
        <f t="array" ref="F49">IF(E49="Show hint",Key!$B$48,"")</f>
        <v/>
      </c>
      <c r="G49" s="24" cm="1">
        <f t="array" ref="G49">IF(LEFT(D49,1)="✔",IF(E49="Show hint",5,10),0)</f>
        <v>0</v>
      </c>
    </row>
    <row r="50" spans="1:7" ht="19.75" customHeight="1">
      <c r="A50" s="18" t="s">
        <v>168</v>
      </c>
      <c r="B50" s="8" t="s">
        <v>287</v>
      </c>
      <c r="C50" s="20"/>
      <c r="D50" s="21" cm="1" t="str">
        <f t="array" ref="D50">IFERROR(_xlfn.LET(_xlpm.a,'S4-2 Sheet Master'!$C$50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E$49),"✔ CLEAR","✘ TRY AGAIN"))),"✘ TRY AGAIN")</f>
        <v/>
      </c>
      <c r="E50" s="22"/>
      <c r="F50" s="23" cm="1" t="str">
        <f t="array" ref="F50">IF(E50="Show hint",Key!$B$49,"")</f>
        <v/>
      </c>
      <c r="G50" s="24" cm="1">
        <f t="array" ref="G50">IF(LEFT(D50,1)="✔",IF(E50="Show hint",5,10),0)</f>
        <v>0</v>
      </c>
    </row>
    <row r="51" spans="1:7" ht="35.5" customHeight="1">
      <c r="A51" s="18" t="s">
        <v>323</v>
      </c>
      <c r="B51" s="8" t="s">
        <v>324</v>
      </c>
      <c r="C51" s="11" t="s">
        <v>325</v>
      </c>
      <c r="D51" s="21" cm="1" t="str">
        <f t="array" ref="D51">IF(IFERROR(_xlfn.SHEETS()&gt;14,FALSE),"✔ CLEAR","· not yet · press F9")</f>
        <v>· not yet · press F9</v>
      </c>
      <c r="E51" s="22"/>
      <c r="F51" s="23" cm="1" t="str">
        <f t="array" ref="F51">IF(E51="Show hint",Key!$B$50,"")</f>
        <v/>
      </c>
      <c r="G51" s="24" cm="1">
        <f t="array" ref="G51">IF(LEFT(D51,1)="✔",IF(E51="Show hint",5,10),0)</f>
        <v>0</v>
      </c>
    </row>
    <row r="52" spans="1:7" ht="51.25" customHeight="1">
      <c r="A52" s="18" t="s">
        <v>328</v>
      </c>
      <c r="B52" s="8" t="s">
        <v>329</v>
      </c>
      <c r="C52" s="11" t="s">
        <v>330</v>
      </c>
      <c r="D52" s="21" cm="1" t="str">
        <f t="array" ref="D52">IF(IFERROR(ISREF(INDIRECT("'Vault'!A1")),FALSE),"✔ CLEAR","· not yet · press F9")</f>
        <v>· not yet · press F9</v>
      </c>
      <c r="E52" s="22"/>
      <c r="F52" s="23" cm="1" t="str">
        <f t="array" ref="F52">IF(E52="Show hint",Key!$B$51,"")</f>
        <v/>
      </c>
      <c r="G52" s="24" cm="1">
        <f t="array" ref="G52">IF(LEFT(D52,1)="✔",IF(E52="Show hint",5,10),0)</f>
        <v>0</v>
      </c>
    </row>
    <row r="53" spans="1:7" ht="51.25" customHeight="1">
      <c r="A53" s="18" t="s">
        <v>334</v>
      </c>
      <c r="B53" s="8" t="s">
        <v>335</v>
      </c>
      <c r="C53" s="20"/>
      <c r="D53" s="21" cm="1" t="str">
        <f t="array" ref="D53">IFERROR(IF('S4-2 Sheet Master'!$C$53="Done","✔ CLEAR · self-check",""),"✘ TRY AGAIN")</f>
        <v/>
      </c>
      <c r="E53" s="22"/>
      <c r="F53" s="23" cm="1" t="str">
        <f t="array" ref="F53">IF(E53="Show hint",Key!$B$52,"")</f>
        <v/>
      </c>
      <c r="G53" s="24" cm="1">
        <f t="array" ref="G53">IF(LEFT(D53,1)="✔",IF(E53="Show hint",5,10),0)</f>
        <v>0</v>
      </c>
    </row>
  </sheetData>
  <sheetProtection sheet="1" objects="1" scenarios="1" formatColumns="0" formatRows="0"/>
  <conditionalFormatting sqref="D18:D53">
    <cfRule type="expression" dxfId="0" priority="1">
      <formula>LEFT($D18,1)="✔"</formula>
    </cfRule>
    <cfRule type="expression" dxfId="1" priority="2">
      <formula>LEFT($D18,1)="✘"</formula>
    </cfRule>
    <cfRule type="expression" dxfId="2" priority="3">
      <formula>$D18="LOCKED"</formula>
    </cfRule>
  </conditionalFormatting>
  <dataValidations count="56"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7"/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Key!$E$34:$H$34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Key!$E$35:$H$35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Key!$E$36:$H$36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Key!$E$37:$H$37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Pick an answer" prompt="Press Alt+Down to open the list, choose with the arrow keys, then press Enter." sqref="C35">
      <formula1>Key!$E$38:$H$38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Pick an answer" prompt="Press Alt+Down to open the list, choose with the arrow keys, then press Enter." sqref="C36">
      <formula1>Key!$E$39:$H$39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Pick an answer" prompt="Press Alt+Down to open the list, choose with the arrow keys, then press Enter." sqref="C37">
      <formula1>Key!$E$40:$H$40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Pick an answer" prompt="Press Alt+Down to open the list, choose with the arrow keys, then press Enter." sqref="C38">
      <formula1>Key!$E$41:$H$41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5"/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6"/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7"/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8"/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9"/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50"/>
    <dataValidation type="list" allowBlank="1" showInputMessage="1" showErrorMessage="1" promptTitle="Need a hint?" prompt="Pick 'Show hint' (Alt+Down). This question then gives 5 XP instead of 10." sqref="E50">
      <formula1>"Show hint"</formula1>
    </dataValidation>
    <dataValidation type="list" allowBlank="1" showInputMessage="1" showErrorMessage="1" promptTitle="Need a hint?" prompt="Pick 'Show hint' (Alt+Down). This question then gives 5 XP instead of 10." sqref="E51">
      <formula1>"Show hint"</formula1>
    </dataValidation>
    <dataValidation type="list" allowBlank="1" showInputMessage="1" showErrorMessage="1" promptTitle="Need a hint?" prompt="Pick 'Show hint' (Alt+Down). This question then gives 5 XP instead of 10." sqref="E52">
      <formula1>"Show hint"</formula1>
    </dataValidation>
    <dataValidation type="list" allowBlank="1" showInputMessage="1" showErrorMessage="1" promptTitle="Self-check" prompt="Do the task in the arena, then pick Done from the list (Alt+Down)." sqref="C53">
      <formula1>"Done"</formula1>
    </dataValidation>
    <dataValidation type="list" allowBlank="1" showInputMessage="1" showErrorMessage="1" promptTitle="Need a hint?" prompt="Pick 'Show hint' (Alt+Down). This question then gives 5 XP instead of 10." sqref="E53">
      <formula1>"Show hint"</formula1>
    </dataValidation>
  </dataValidations>
  <hyperlinks>
    <hyperlink ref="B41" location="'S4-2 Arena'!A1" display="▶ Open S4-2 Arena (or press Ctrl+PgDn)"/>
    <hyperlink ref="C51" location="'S4-2 Arena'!B5" tooltip="Go to S4-2 Arena, cell B5" display="▶ ARENA C9 (cell B5)"/>
    <hyperlink ref="C52" location="'S4-2 Arena'!B5" tooltip="Go to S4-2 Arena, cell B5" display="▶ ARENA C10 (cell B5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4">
      <c r="A1" s="1" t="s">
        <v>173</v>
      </c>
    </row>
    <row r="2" spans="1:4">
      <c r="A2" s="3" t="s">
        <v>5</v>
      </c>
    </row>
    <row r="3" spans="1:4">
      <c r="A3" s="25" t="s">
        <v>6</v>
      </c>
      <c r="B3" s="26" t="s">
        <v>174</v>
      </c>
      <c r="D3" s="11" t="s">
        <v>175</v>
      </c>
    </row>
    <row r="5" spans="1:4">
      <c r="B5" s="7" t="s">
        <v>176</v>
      </c>
    </row>
  </sheetData>
  <hyperlinks>
    <hyperlink ref="D3" location="'S4-2 Sheet Master'!A1" display="◀ Back to S4-2 Sheet Master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177</v>
      </c>
    </row>
    <row r="2" spans="1:1">
      <c r="A2" s="3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3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724</v>
      </c>
      <c r="B1" s="2"/>
      <c r="C1" s="2"/>
      <c r="D1" s="2"/>
      <c r="E1" s="2"/>
      <c r="F1" s="2"/>
      <c r="G1" s="2"/>
    </row>
    <row r="2" spans="1:7">
      <c r="A2" s="3" t="s">
        <v>725</v>
      </c>
    </row>
    <row r="3" spans="1:7" ht="26" customHeight="1">
      <c r="A3" s="14" cm="1" t="str">
        <f t="array" ref="A3">"SCORE "&amp;TEXT(SUM($G$12:$G$35),"0000")&amp;" / 0170"</f>
        <v>SCORE 0000 / 0170</v>
      </c>
      <c r="C3" s="15" cm="1" t="str">
        <f t="array" ref="C3">IF(SUM($G$12:$G$35)&gt;=170,"★★★",IF(SUM($G$12:$G$35)&gt;=170*0.8,"★★☆",IF(SUM($G$12:$G$35)&gt;=170*0.5,"★☆☆","☆☆☆")))</f>
        <v>☆☆☆</v>
      </c>
      <c r="D3" s="16" cm="1" t="str">
        <f t="array" ref="D3">REPT("█",ROUND(10*SUM($G$12:$G$35)/170,0))&amp;REPT("░",10-ROUND(10*SUM($G$12:$G$35)/170,0))&amp;"  "&amp;TEXT(SUM($G$12:$G$35)/170,"0%")</f>
        <v>░░░░░░░░░░  0%</v>
      </c>
      <c r="F3" s="17" cm="1" t="str">
        <f t="array" ref="F3">IF(SUM($G$12:$G$35)&gt;=170*0.5,"STAGE CLEAR! ▶ Next: S4-4 Data Wrangler","")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51.25" customHeight="1">
      <c r="A7" s="18" t="s">
        <v>22</v>
      </c>
      <c r="B7" s="8" t="s">
        <v>667</v>
      </c>
      <c r="C7" s="19" t="s">
        <v>267</v>
      </c>
    </row>
    <row r="8" spans="1:7" ht="35.5" customHeight="1">
      <c r="A8" s="18" t="s">
        <v>25</v>
      </c>
      <c r="B8" s="8" t="s">
        <v>668</v>
      </c>
      <c r="C8" s="19" t="s">
        <v>123</v>
      </c>
    </row>
    <row r="10" spans="1:7" ht="22" customHeight="1">
      <c r="A10" s="4" t="s">
        <v>34</v>
      </c>
      <c r="B10" s="4"/>
      <c r="C10" s="4"/>
      <c r="D10" s="4"/>
      <c r="E10" s="4"/>
      <c r="F10" s="4"/>
      <c r="G10" s="4"/>
    </row>
    <row r="11" spans="1:7">
      <c r="A11" s="6" t="s">
        <v>19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1</v>
      </c>
      <c r="G11" s="6" t="s">
        <v>39</v>
      </c>
    </row>
    <row r="12" spans="1:7" ht="35.5" customHeight="1">
      <c r="A12" s="18" t="s">
        <v>48</v>
      </c>
      <c r="B12" s="8" t="s">
        <v>670</v>
      </c>
      <c r="C12" s="20"/>
      <c r="D12" s="21" cm="1" t="str">
        <f t="array" ref="D12">IFERROR(_xlfn.LET(_xlpm.a,'S4-3 Detective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G$53),"✔ CLEAR","✘ TRY AGAIN"))),"✘ TRY AGAIN")</f>
        <v/>
      </c>
      <c r="E12" s="22"/>
      <c r="F12" s="23" cm="1" t="str">
        <f t="array" ref="F12">IF(E12="Show hint",Key!$B$53,"")</f>
        <v/>
      </c>
      <c r="G12" s="24" cm="1">
        <f t="array" ref="G12">IF(LEFT(D12,1)="✔",IF(E12="Show hint",5,10),0)</f>
        <v>0</v>
      </c>
    </row>
    <row r="13" spans="1:7" ht="35.5" customHeight="1">
      <c r="A13" s="18" t="s">
        <v>58</v>
      </c>
      <c r="B13" s="8" t="s">
        <v>672</v>
      </c>
      <c r="C13" s="20"/>
      <c r="D13" s="21" cm="1" t="str">
        <f t="array" ref="D13">IFERROR(_xlfn.LET(_xlpm.a,'S4-3 Detective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T$54),"✔ CLEAR","✘ TRY AGAIN"))),"✘ TRY AGAIN")</f>
        <v/>
      </c>
      <c r="E13" s="22"/>
      <c r="F13" s="23" cm="1" t="str">
        <f t="array" ref="F13">IF(E13="Show hint",Key!$B$54,"")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63</v>
      </c>
      <c r="B14" s="8" t="s">
        <v>674</v>
      </c>
      <c r="C14" s="20"/>
      <c r="D14" s="21" cm="1" t="str">
        <f t="array" ref="D14">IFERROR(_xlfn.LET(_xlpm.a,'S4-3 Detective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E$55),"✔ CLEAR","✘ TRY AGAIN"))),"✘ TRY AGAIN")</f>
        <v/>
      </c>
      <c r="E14" s="22"/>
      <c r="F14" s="23" cm="1" t="str">
        <f t="array" ref="F14">IF(E14="Show hint",Key!$B$55,"")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68</v>
      </c>
      <c r="B15" s="8" t="s">
        <v>676</v>
      </c>
      <c r="C15" s="20"/>
      <c r="D15" s="21" cm="1" t="str">
        <f t="array" ref="D15">IFERROR(_xlfn.LET(_xlpm.a,'S4-3 Detectiv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E$56),"✔ CLEAR","✘ TRY AGAIN"))),"✘ TRY AGAIN")</f>
        <v/>
      </c>
      <c r="E15" s="22"/>
      <c r="F15" s="23" cm="1" t="str">
        <f t="array" ref="F15">IF(E15="Show hint",Key!$B$56,"")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73</v>
      </c>
      <c r="B16" s="8" t="s">
        <v>678</v>
      </c>
      <c r="C16" s="20"/>
      <c r="D16" s="21" cm="1" t="str">
        <f t="array" ref="D16">IFERROR(_xlfn.LET(_xlpm.a,'S4-3 Detectiv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E$57),"✔ CLEAR","✘ TRY AGAIN"))),"✘ TRY AGAIN")</f>
        <v/>
      </c>
      <c r="E16" s="22"/>
      <c r="F16" s="23" cm="1" t="str">
        <f t="array" ref="F16">IF(E16="Show hint",Key!$B$57,"")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78</v>
      </c>
      <c r="B17" s="8" t="s">
        <v>680</v>
      </c>
      <c r="C17" s="20"/>
      <c r="D17" s="21" cm="1" t="str">
        <f t="array" ref="D17">IFERROR(_xlfn.LET(_xlpm.a,'S4-3 Detectiv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E$58),"✔ CLEAR","✘ TRY AGAIN"))),"✘ TRY AGAIN")</f>
        <v/>
      </c>
      <c r="E17" s="22"/>
      <c r="F17" s="23" cm="1" t="str">
        <f t="array" ref="F17">IF(E17="Show hint",Key!$B$58,"")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86</v>
      </c>
      <c r="B18" s="8" t="s">
        <v>682</v>
      </c>
      <c r="C18" s="20"/>
      <c r="D18" s="21" cm="1" t="str">
        <f t="array" ref="D18">IFERROR(_xlfn.LET(_xlpm.a,'S4-3 Detectiv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E$59),"✔ CLEAR","✘ TRY AGAIN"))),"✘ TRY AGAIN")</f>
        <v/>
      </c>
      <c r="E18" s="22"/>
      <c r="F18" s="23" cm="1" t="str">
        <f t="array" ref="F18">IF(E18="Show hint",Key!$B$59,"")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96</v>
      </c>
      <c r="B19" s="8" t="s">
        <v>684</v>
      </c>
      <c r="C19" s="20"/>
      <c r="D19" s="21" cm="1" t="str">
        <f t="array" ref="D19">IFERROR(_xlfn.LET(_xlpm.a,'S4-3 Detectiv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E$60),"✔ CLEAR","✘ TRY AGAIN"))),"✘ TRY AGAIN")</f>
        <v/>
      </c>
      <c r="E19" s="22"/>
      <c r="F19" s="23" cm="1" t="str">
        <f t="array" ref="F19">IF(E19="Show hint",Key!$B$60,"")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101</v>
      </c>
      <c r="B20" s="8" t="s">
        <v>693</v>
      </c>
      <c r="C20" s="20"/>
      <c r="D20" s="21" cm="1" t="str">
        <f t="array" ref="D20">IFERROR(_xlfn.LET(_xlpm.a,'S4-3 Detectiv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J$61),"✔ CLEAR","✘ TRY AGAIN"))),"✘ TRY AGAIN")</f>
        <v/>
      </c>
      <c r="E20" s="22"/>
      <c r="F20" s="23" cm="1" t="str">
        <f t="array" ref="F20">IF(E20="Show hint",Key!$B$61,"")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106</v>
      </c>
      <c r="B21" s="8" t="s">
        <v>702</v>
      </c>
      <c r="C21" s="20"/>
      <c r="D21" s="21" cm="1" t="str">
        <f t="array" ref="D21">IFERROR(_xlfn.LET(_xlpm.a,'S4-3 Detectiv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J$62),"✔ CLEAR","✘ TRY AGAIN"))),"✘ TRY AGAIN")</f>
        <v/>
      </c>
      <c r="E21" s="22"/>
      <c r="F21" s="23" cm="1" t="str">
        <f t="array" ref="F21">IF(E21="Show hint",Key!$B$62,"")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108</v>
      </c>
      <c r="B23" s="4"/>
      <c r="C23" s="4"/>
      <c r="D23" s="4"/>
      <c r="E23" s="4"/>
      <c r="F23" s="4"/>
      <c r="G23" s="4"/>
    </row>
    <row r="24" spans="1:7">
      <c r="A24" s="6" t="s">
        <v>19</v>
      </c>
      <c r="B24" s="6" t="s">
        <v>35</v>
      </c>
      <c r="C24" s="6" t="s">
        <v>36</v>
      </c>
      <c r="D24" s="6" t="s">
        <v>37</v>
      </c>
      <c r="E24" s="6" t="s">
        <v>38</v>
      </c>
      <c r="F24" s="6" t="s">
        <v>1</v>
      </c>
      <c r="G24" s="6" t="s">
        <v>39</v>
      </c>
    </row>
    <row r="25" spans="1:7" ht="19.75" customHeight="1">
      <c r="A25" s="18" t="s">
        <v>114</v>
      </c>
      <c r="B25" s="8" t="s">
        <v>705</v>
      </c>
      <c r="C25" s="20"/>
      <c r="D25" s="21" cm="1" t="str">
        <f t="array" ref="D25">IFERROR(IF('S4-3 Detective'!$C$25&amp;""="","",IF('S4-3 Detective'!$C$25&amp;""=Key!$C$63&amp;"","✔ CLEAR","✘ TRY AGAIN")),"✘ TRY AGAIN")</f>
        <v/>
      </c>
      <c r="E25" s="22"/>
      <c r="F25" s="23" cm="1" t="str">
        <f t="array" ref="F25">IF(E25="Show hint",Key!$B$63,"")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118</v>
      </c>
      <c r="B26" s="8" t="s">
        <v>708</v>
      </c>
      <c r="C26" s="20"/>
      <c r="D26" s="21" cm="1" t="str">
        <f t="array" ref="D26">IFERROR(IF('S4-3 Detective'!$C$26&amp;""="","",IF('S4-3 Detective'!$C$26&amp;""=Key!$C$64&amp;"","✔ CLEAR","✘ TRY AGAIN")),"✘ TRY AGAIN")</f>
        <v/>
      </c>
      <c r="E26" s="22"/>
      <c r="F26" s="23" cm="1" t="str">
        <f t="array" ref="F26">IF(E26="Show hint",Key!$B$64,"")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133</v>
      </c>
      <c r="B28" s="4"/>
      <c r="C28" s="4"/>
      <c r="D28" s="4"/>
      <c r="E28" s="4"/>
      <c r="F28" s="4"/>
      <c r="G28" s="4"/>
    </row>
    <row r="29" spans="1:7">
      <c r="B29" s="11" t="s">
        <v>709</v>
      </c>
    </row>
    <row r="30" spans="1:7">
      <c r="A30" s="6" t="s">
        <v>19</v>
      </c>
      <c r="B30" s="6" t="s">
        <v>35</v>
      </c>
      <c r="C30" s="6" t="s">
        <v>36</v>
      </c>
      <c r="D30" s="6" t="s">
        <v>37</v>
      </c>
      <c r="E30" s="6" t="s">
        <v>38</v>
      </c>
      <c r="F30" s="6" t="s">
        <v>1</v>
      </c>
      <c r="G30" s="6" t="s">
        <v>39</v>
      </c>
    </row>
    <row r="31" spans="1:7" ht="19.75" customHeight="1">
      <c r="A31" s="18" t="s">
        <v>141</v>
      </c>
      <c r="B31" s="8" t="s">
        <v>705</v>
      </c>
      <c r="C31" s="20"/>
      <c r="D31" s="21" cm="1" t="str">
        <f t="array" ref="D31">IFERROR(_xlfn.LET(_xlpm.a,'S4-3 Detective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E$65),"✔ CLEAR","✘ TRY AGAIN"))),"✘ TRY AGAIN")</f>
        <v/>
      </c>
      <c r="E31" s="22"/>
      <c r="F31" s="23" cm="1" t="str">
        <f t="array" ref="F31">IF(E31="Show hint",Key!$B$65,"")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144</v>
      </c>
      <c r="B32" s="8" t="s">
        <v>708</v>
      </c>
      <c r="C32" s="20"/>
      <c r="D32" s="21" cm="1" t="str">
        <f t="array" ref="D32">IFERROR(_xlfn.LET(_xlpm.a,'S4-3 Detective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E$66),"✔ CLEAR","✘ TRY AGAIN"))),"✘ TRY AGAIN")</f>
        <v/>
      </c>
      <c r="E32" s="22"/>
      <c r="F32" s="23" cm="1" t="str">
        <f t="array" ref="F32">IF(E32="Show hint",Key!$B$66,"")</f>
        <v/>
      </c>
      <c r="G32" s="24" cm="1">
        <f t="array" ref="G32">IF(LEFT(D32,1)="✔",IF(E32="Show hint",5,10),0)</f>
        <v>0</v>
      </c>
    </row>
    <row r="33" spans="1:7" ht="51.25" customHeight="1">
      <c r="A33" s="18" t="s">
        <v>147</v>
      </c>
      <c r="B33" s="8" t="s">
        <v>716</v>
      </c>
      <c r="C33" s="20"/>
      <c r="D33" s="21" cm="1" t="str">
        <f t="array" ref="D33">IFERROR(_xlfn.LET(_xlpm.a,'S4-3 Detective'!$C$33,IF(TRIM(_xlpm.a&amp;"")="","",IF(ABS(IF(ISNUMBER(_xlpm.a),_xlpm.a,VALUE(_xlpm.a&amp;""))-Key!$C$67)&lt;=1E-9*MAX(1,ABS(Key!$C$67)),"✔ CLEAR","✘ TRY AGAIN"))),"✘ TRY AGAIN")</f>
        <v/>
      </c>
      <c r="E33" s="22"/>
      <c r="F33" s="23" cm="1" t="str">
        <f t="array" ref="F33">IF(E33="Show hint",Key!$B$67,"")</f>
        <v/>
      </c>
      <c r="G33" s="24" cm="1">
        <f t="array" ref="G33">IF(LEFT(D33,1)="✔",IF(E33="Show hint",5,10),0)</f>
        <v>0</v>
      </c>
    </row>
    <row r="34" spans="1:7" ht="51.25" customHeight="1">
      <c r="A34" s="18" t="s">
        <v>150</v>
      </c>
      <c r="B34" s="8" t="s">
        <v>719</v>
      </c>
      <c r="C34" s="11" t="s">
        <v>720</v>
      </c>
      <c r="D34" s="21" cm="1" t="str">
        <f t="array" ref="D34">IF(IFERROR(AND(COUNTIF('S4-3 Arena'!$F$6:$F$305,"N/A")=0,COUNTIF('S4-3 Arena'!$F$6:$F$305,0)=33),FALSE),"✔ CLEAR","· not yet")</f>
        <v>· not yet</v>
      </c>
      <c r="E34" s="22"/>
      <c r="F34" s="23" cm="1" t="str">
        <f t="array" ref="F34">IF(E34="Show hint",Key!$B$68,"")</f>
        <v/>
      </c>
      <c r="G34" s="24" cm="1">
        <f t="array" ref="G34">IF(LEFT(D34,1)="✔",IF(E34="Show hint",5,10),0)</f>
        <v>0</v>
      </c>
    </row>
    <row r="35" spans="1:7" ht="51.25" customHeight="1">
      <c r="A35" s="18" t="s">
        <v>153</v>
      </c>
      <c r="B35" s="8" t="s">
        <v>723</v>
      </c>
      <c r="C35" s="20"/>
      <c r="D35" s="21" cm="1" t="str">
        <f t="array" ref="D35">IFERROR(_xlfn.LET(_xlpm.a,'S4-3 Detective'!$C$35,IF(TRIM(_xlpm.a&amp;"")="","",IF(ABS(IF(ISNUMBER(_xlpm.a),_xlpm.a,VALUE(_xlpm.a&amp;""))-Key!$C$69)&lt;=1E-9*MAX(1,ABS(Key!$C$69)),"✔ CLEAR","✘ TRY AGAIN"))),"✘ TRY AGAIN")</f>
        <v/>
      </c>
      <c r="E35" s="22"/>
      <c r="F35" s="23" cm="1" t="str">
        <f t="array" ref="F35">IF(E35="Show hint",Key!$B$69,"")</f>
        <v/>
      </c>
      <c r="G35" s="24" cm="1">
        <f t="array" ref="G35">IF(LEFT(D35,1)="✔",IF(E35="Show hint",5,10),0)</f>
        <v>0</v>
      </c>
    </row>
  </sheetData>
  <sheetProtection sheet="1" objects="1" scenarios="1" formatColumns="0" formatRows="0"/>
  <conditionalFormatting sqref="D12:D35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3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Key!$E$63:$H$63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Key!$E$64:$H$64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what you found" prompt="Do the move in the arena, then type the word or number you found here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what you found" prompt="Do the move in the arena, then type the word or number you found here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</dataValidations>
  <hyperlinks>
    <hyperlink ref="B29" location="'S4-3 Arena'!A1" display="▶ Open S4-3 Arena (or press Ctrl+PgDn)"/>
    <hyperlink ref="C34" location="'S4-3 Arena'!F6" tooltip="Go to S4-3 Arena, cell F6" display="▶ ARENA C4 (cell F6)"/>
  </hyperlink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4.7109375" customWidth="1"/>
    <col min="4" max="26" width="13.7109375" customWidth="1"/>
  </cols>
  <sheetData>
    <row r="1" spans="1:6">
      <c r="A1" s="1" t="s">
        <v>338</v>
      </c>
    </row>
    <row r="2" spans="1:6">
      <c r="A2" s="3" t="s">
        <v>5</v>
      </c>
    </row>
    <row r="3" spans="1:6">
      <c r="A3" s="25" t="s">
        <v>6</v>
      </c>
      <c r="B3" s="26" t="s">
        <v>339</v>
      </c>
      <c r="D3" s="11" t="s">
        <v>340</v>
      </c>
    </row>
    <row r="5" spans="1:6">
      <c r="B5" s="27" t="s">
        <v>341</v>
      </c>
      <c r="C5" s="27" t="s">
        <v>342</v>
      </c>
      <c r="D5" s="27" t="s">
        <v>343</v>
      </c>
      <c r="E5" s="27" t="s">
        <v>344</v>
      </c>
      <c r="F5" s="27" t="s">
        <v>345</v>
      </c>
    </row>
    <row r="6" spans="1:6">
      <c r="B6" s="5" t="s">
        <v>346</v>
      </c>
      <c r="C6" s="5" t="s">
        <v>347</v>
      </c>
      <c r="D6" s="5" t="s">
        <v>348</v>
      </c>
      <c r="E6" s="5">
        <v>5</v>
      </c>
      <c r="F6" s="5" t="s">
        <v>349</v>
      </c>
    </row>
    <row r="7" spans="1:6">
      <c r="B7" s="5" t="s">
        <v>350</v>
      </c>
      <c r="C7" s="5" t="s">
        <v>351</v>
      </c>
      <c r="D7" s="5" t="s">
        <v>348</v>
      </c>
      <c r="E7" s="5">
        <v>18</v>
      </c>
      <c r="F7" s="5" t="s">
        <v>352</v>
      </c>
    </row>
    <row r="8" spans="1:6">
      <c r="B8" s="5" t="s">
        <v>353</v>
      </c>
      <c r="C8" s="5" t="s">
        <v>354</v>
      </c>
      <c r="D8" s="5" t="s">
        <v>348</v>
      </c>
      <c r="E8" s="5">
        <v>31</v>
      </c>
      <c r="F8" s="5" t="s">
        <v>349</v>
      </c>
    </row>
    <row r="9" spans="1:6">
      <c r="B9" s="5" t="s">
        <v>355</v>
      </c>
      <c r="C9" s="5" t="s">
        <v>356</v>
      </c>
      <c r="D9" s="5" t="s">
        <v>357</v>
      </c>
      <c r="E9" s="5">
        <v>44</v>
      </c>
      <c r="F9" s="5" t="s">
        <v>352</v>
      </c>
    </row>
    <row r="10" spans="1:6">
      <c r="B10" s="5" t="s">
        <v>358</v>
      </c>
      <c r="C10" s="5" t="s">
        <v>359</v>
      </c>
      <c r="D10" s="5" t="s">
        <v>348</v>
      </c>
      <c r="E10" s="5">
        <v>57</v>
      </c>
      <c r="F10" s="5" t="s">
        <v>360</v>
      </c>
    </row>
    <row r="11" spans="1:6">
      <c r="B11" s="5" t="s">
        <v>361</v>
      </c>
      <c r="C11" s="5" t="s">
        <v>362</v>
      </c>
      <c r="D11" s="5" t="s">
        <v>357</v>
      </c>
      <c r="E11" s="5">
        <v>70</v>
      </c>
      <c r="F11" s="5" t="s">
        <v>352</v>
      </c>
    </row>
    <row r="12" spans="1:6">
      <c r="B12" s="5" t="s">
        <v>363</v>
      </c>
      <c r="C12" s="5" t="s">
        <v>364</v>
      </c>
      <c r="D12" s="5" t="s">
        <v>348</v>
      </c>
      <c r="E12" s="5">
        <v>83</v>
      </c>
      <c r="F12" s="5" t="s">
        <v>349</v>
      </c>
    </row>
    <row r="13" spans="1:6">
      <c r="B13" s="5" t="s">
        <v>365</v>
      </c>
      <c r="C13" s="5" t="s">
        <v>366</v>
      </c>
      <c r="D13" s="5" t="s">
        <v>357</v>
      </c>
      <c r="E13" s="5">
        <v>6</v>
      </c>
      <c r="F13" s="5" t="s">
        <v>352</v>
      </c>
    </row>
    <row r="14" spans="1:6">
      <c r="B14" s="5" t="s">
        <v>367</v>
      </c>
      <c r="C14" s="5" t="s">
        <v>368</v>
      </c>
      <c r="D14" s="5" t="s">
        <v>348</v>
      </c>
      <c r="E14" s="5">
        <v>19</v>
      </c>
      <c r="F14" s="5" t="s">
        <v>349</v>
      </c>
    </row>
    <row r="15" spans="1:6">
      <c r="B15" s="5" t="s">
        <v>369</v>
      </c>
      <c r="C15" s="5" t="s">
        <v>370</v>
      </c>
      <c r="D15" s="5" t="s">
        <v>357</v>
      </c>
      <c r="E15" s="5">
        <v>32</v>
      </c>
      <c r="F15" s="5" t="s">
        <v>352</v>
      </c>
    </row>
    <row r="16" spans="1:6">
      <c r="B16" s="5" t="s">
        <v>371</v>
      </c>
      <c r="C16" s="5" t="s">
        <v>372</v>
      </c>
      <c r="D16" s="5" t="s">
        <v>357</v>
      </c>
      <c r="E16" s="5">
        <v>45</v>
      </c>
      <c r="F16" s="5" t="s">
        <v>349</v>
      </c>
    </row>
    <row r="17" spans="2:6">
      <c r="B17" s="5" t="s">
        <v>373</v>
      </c>
      <c r="C17" s="5" t="s">
        <v>374</v>
      </c>
      <c r="D17" s="5" t="s">
        <v>348</v>
      </c>
      <c r="E17" s="5">
        <v>58</v>
      </c>
      <c r="F17" s="5" t="s">
        <v>352</v>
      </c>
    </row>
    <row r="18" spans="2:6">
      <c r="B18" s="5" t="s">
        <v>375</v>
      </c>
      <c r="C18" s="5" t="s">
        <v>376</v>
      </c>
      <c r="D18" s="5" t="s">
        <v>348</v>
      </c>
      <c r="E18" s="5">
        <v>71</v>
      </c>
      <c r="F18" s="5" t="s">
        <v>349</v>
      </c>
    </row>
    <row r="19" spans="2:6">
      <c r="B19" s="5" t="s">
        <v>377</v>
      </c>
      <c r="C19" s="5" t="s">
        <v>378</v>
      </c>
      <c r="D19" s="5" t="s">
        <v>348</v>
      </c>
      <c r="E19" s="5">
        <v>84</v>
      </c>
      <c r="F19" s="5" t="s">
        <v>360</v>
      </c>
    </row>
    <row r="20" spans="2:6">
      <c r="B20" s="5" t="s">
        <v>379</v>
      </c>
      <c r="C20" s="5" t="s">
        <v>380</v>
      </c>
      <c r="D20" s="5" t="s">
        <v>348</v>
      </c>
      <c r="E20" s="5">
        <v>7</v>
      </c>
      <c r="F20" s="5" t="s">
        <v>349</v>
      </c>
    </row>
    <row r="21" spans="2:6">
      <c r="B21" s="5" t="s">
        <v>381</v>
      </c>
      <c r="C21" s="5" t="s">
        <v>347</v>
      </c>
      <c r="D21" s="5" t="s">
        <v>348</v>
      </c>
      <c r="E21" s="5">
        <v>20</v>
      </c>
      <c r="F21" s="5" t="s">
        <v>352</v>
      </c>
    </row>
    <row r="22" spans="2:6">
      <c r="B22" s="5" t="s">
        <v>382</v>
      </c>
      <c r="C22" s="5" t="s">
        <v>351</v>
      </c>
      <c r="D22" s="5" t="s">
        <v>348</v>
      </c>
      <c r="E22" s="5">
        <v>33</v>
      </c>
      <c r="F22" s="5" t="s">
        <v>349</v>
      </c>
    </row>
    <row r="23" spans="2:6">
      <c r="B23" s="5" t="s">
        <v>383</v>
      </c>
      <c r="C23" s="5" t="s">
        <v>354</v>
      </c>
      <c r="D23" s="5" t="s">
        <v>348</v>
      </c>
      <c r="E23" s="5">
        <v>46</v>
      </c>
      <c r="F23" s="5" t="s">
        <v>352</v>
      </c>
    </row>
    <row r="24" spans="2:6">
      <c r="B24" s="5" t="s">
        <v>384</v>
      </c>
      <c r="C24" s="5" t="s">
        <v>356</v>
      </c>
      <c r="D24" s="5" t="s">
        <v>357</v>
      </c>
      <c r="E24" s="5">
        <v>59</v>
      </c>
      <c r="F24" s="5" t="s">
        <v>349</v>
      </c>
    </row>
    <row r="25" spans="2:6">
      <c r="B25" s="5" t="s">
        <v>385</v>
      </c>
      <c r="C25" s="5" t="s">
        <v>359</v>
      </c>
      <c r="D25" s="5" t="s">
        <v>348</v>
      </c>
      <c r="E25" s="5">
        <v>72</v>
      </c>
      <c r="F25" s="5" t="s">
        <v>352</v>
      </c>
    </row>
    <row r="26" spans="2:6">
      <c r="B26" s="5" t="s">
        <v>386</v>
      </c>
      <c r="C26" s="5" t="s">
        <v>362</v>
      </c>
      <c r="D26" s="5" t="s">
        <v>357</v>
      </c>
      <c r="E26" s="5">
        <v>85</v>
      </c>
      <c r="F26" s="5" t="s">
        <v>349</v>
      </c>
    </row>
    <row r="27" spans="2:6">
      <c r="B27" s="5" t="s">
        <v>387</v>
      </c>
      <c r="C27" s="5" t="s">
        <v>364</v>
      </c>
      <c r="D27" s="5" t="s">
        <v>348</v>
      </c>
      <c r="E27" s="5">
        <v>8</v>
      </c>
      <c r="F27" s="5" t="s">
        <v>352</v>
      </c>
    </row>
    <row r="28" spans="2:6">
      <c r="B28" s="5" t="s">
        <v>388</v>
      </c>
      <c r="C28" s="5" t="s">
        <v>366</v>
      </c>
      <c r="D28" s="5" t="s">
        <v>357</v>
      </c>
      <c r="E28" s="5">
        <v>21</v>
      </c>
      <c r="F28" s="5" t="s">
        <v>360</v>
      </c>
    </row>
    <row r="29" spans="2:6">
      <c r="B29" s="5" t="s">
        <v>389</v>
      </c>
      <c r="C29" s="5" t="s">
        <v>368</v>
      </c>
      <c r="D29" s="5" t="s">
        <v>348</v>
      </c>
      <c r="E29" s="5">
        <v>34</v>
      </c>
      <c r="F29" s="5" t="s">
        <v>352</v>
      </c>
    </row>
    <row r="30" spans="2:6">
      <c r="B30" s="5" t="s">
        <v>390</v>
      </c>
      <c r="C30" s="5" t="s">
        <v>370</v>
      </c>
      <c r="D30" s="5" t="s">
        <v>357</v>
      </c>
      <c r="E30" s="5">
        <v>47</v>
      </c>
      <c r="F30" s="5" t="s">
        <v>349</v>
      </c>
    </row>
    <row r="31" spans="2:6">
      <c r="B31" s="5" t="s">
        <v>391</v>
      </c>
      <c r="C31" s="5" t="s">
        <v>372</v>
      </c>
      <c r="D31" s="5" t="s">
        <v>357</v>
      </c>
      <c r="E31" s="5">
        <v>60</v>
      </c>
      <c r="F31" s="5" t="s">
        <v>352</v>
      </c>
    </row>
    <row r="32" spans="2:6">
      <c r="B32" s="5" t="s">
        <v>392</v>
      </c>
      <c r="C32" s="5" t="s">
        <v>374</v>
      </c>
      <c r="D32" s="5" t="s">
        <v>348</v>
      </c>
      <c r="E32" s="5">
        <v>73</v>
      </c>
      <c r="F32" s="5" t="s">
        <v>349</v>
      </c>
    </row>
    <row r="33" spans="2:6">
      <c r="B33" s="5" t="s">
        <v>393</v>
      </c>
      <c r="C33" s="5" t="s">
        <v>376</v>
      </c>
      <c r="D33" s="5" t="s">
        <v>348</v>
      </c>
      <c r="E33" s="5">
        <v>86</v>
      </c>
      <c r="F33" s="5" t="s">
        <v>352</v>
      </c>
    </row>
    <row r="34" spans="2:6">
      <c r="B34" s="5" t="s">
        <v>394</v>
      </c>
      <c r="C34" s="5" t="s">
        <v>378</v>
      </c>
      <c r="D34" s="5" t="s">
        <v>348</v>
      </c>
      <c r="E34" s="5">
        <v>9</v>
      </c>
      <c r="F34" s="5" t="s">
        <v>349</v>
      </c>
    </row>
    <row r="35" spans="2:6">
      <c r="B35" s="5" t="s">
        <v>395</v>
      </c>
      <c r="C35" s="5" t="s">
        <v>380</v>
      </c>
      <c r="D35" s="5" t="s">
        <v>348</v>
      </c>
      <c r="E35" s="5">
        <v>22</v>
      </c>
      <c r="F35" s="5" t="s">
        <v>352</v>
      </c>
    </row>
    <row r="36" spans="2:6">
      <c r="B36" s="5" t="s">
        <v>396</v>
      </c>
      <c r="C36" s="5" t="s">
        <v>347</v>
      </c>
      <c r="D36" s="5" t="s">
        <v>348</v>
      </c>
      <c r="E36" s="5">
        <v>35</v>
      </c>
      <c r="F36" s="5" t="s">
        <v>349</v>
      </c>
    </row>
    <row r="37" spans="2:6">
      <c r="B37" s="5" t="s">
        <v>397</v>
      </c>
      <c r="C37" s="5" t="s">
        <v>351</v>
      </c>
      <c r="D37" s="5" t="s">
        <v>348</v>
      </c>
      <c r="E37" s="5">
        <v>48</v>
      </c>
      <c r="F37" s="5" t="s">
        <v>360</v>
      </c>
    </row>
    <row r="38" spans="2:6">
      <c r="B38" s="5" t="s">
        <v>398</v>
      </c>
      <c r="C38" s="5" t="s">
        <v>354</v>
      </c>
      <c r="D38" s="5" t="s">
        <v>348</v>
      </c>
      <c r="E38" s="5">
        <v>61</v>
      </c>
      <c r="F38" s="5" t="s">
        <v>349</v>
      </c>
    </row>
    <row r="39" spans="2:6">
      <c r="B39" s="5" t="s">
        <v>399</v>
      </c>
      <c r="C39" s="5" t="s">
        <v>356</v>
      </c>
      <c r="D39" s="5" t="s">
        <v>357</v>
      </c>
      <c r="E39" s="5">
        <v>74</v>
      </c>
      <c r="F39" s="5" t="s">
        <v>352</v>
      </c>
    </row>
    <row r="40" spans="2:6">
      <c r="B40" s="5" t="s">
        <v>400</v>
      </c>
      <c r="C40" s="5" t="s">
        <v>359</v>
      </c>
      <c r="D40" s="5" t="s">
        <v>348</v>
      </c>
      <c r="E40" s="5">
        <v>87</v>
      </c>
      <c r="F40" s="5" t="s">
        <v>349</v>
      </c>
    </row>
    <row r="41" spans="2:6">
      <c r="B41" s="5" t="s">
        <v>401</v>
      </c>
      <c r="C41" s="5" t="s">
        <v>362</v>
      </c>
      <c r="D41" s="5" t="s">
        <v>357</v>
      </c>
      <c r="E41" s="5">
        <v>10</v>
      </c>
      <c r="F41" s="5" t="s">
        <v>352</v>
      </c>
    </row>
    <row r="42" spans="2:6">
      <c r="B42" s="5" t="s">
        <v>402</v>
      </c>
      <c r="C42" s="5" t="s">
        <v>364</v>
      </c>
      <c r="D42" s="5" t="s">
        <v>348</v>
      </c>
      <c r="E42" s="5">
        <v>23</v>
      </c>
      <c r="F42" s="5" t="s">
        <v>349</v>
      </c>
    </row>
    <row r="43" spans="2:6">
      <c r="B43" s="5" t="s">
        <v>403</v>
      </c>
      <c r="C43" s="5" t="s">
        <v>366</v>
      </c>
      <c r="D43" s="5" t="s">
        <v>357</v>
      </c>
      <c r="E43" s="5">
        <v>36</v>
      </c>
      <c r="F43" s="5" t="s">
        <v>352</v>
      </c>
    </row>
    <row r="44" spans="2:6">
      <c r="B44" s="5" t="s">
        <v>404</v>
      </c>
      <c r="C44" s="5" t="s">
        <v>368</v>
      </c>
      <c r="D44" s="5" t="s">
        <v>348</v>
      </c>
      <c r="E44" s="5">
        <v>49</v>
      </c>
      <c r="F44" s="5" t="s">
        <v>349</v>
      </c>
    </row>
    <row r="45" spans="2:6">
      <c r="B45" s="5" t="s">
        <v>405</v>
      </c>
      <c r="C45" s="5" t="s">
        <v>370</v>
      </c>
      <c r="D45" s="5" t="s">
        <v>357</v>
      </c>
      <c r="E45" s="5">
        <v>62</v>
      </c>
      <c r="F45" s="5" t="s">
        <v>352</v>
      </c>
    </row>
    <row r="46" spans="2:6">
      <c r="B46" s="5" t="s">
        <v>406</v>
      </c>
      <c r="C46" s="5" t="s">
        <v>372</v>
      </c>
      <c r="D46" s="5" t="s">
        <v>357</v>
      </c>
      <c r="E46" s="5">
        <v>75</v>
      </c>
      <c r="F46" s="5" t="s">
        <v>360</v>
      </c>
    </row>
    <row r="47" spans="2:6">
      <c r="B47" s="5" t="s">
        <v>407</v>
      </c>
      <c r="C47" s="5" t="s">
        <v>374</v>
      </c>
      <c r="D47" s="5" t="s">
        <v>348</v>
      </c>
      <c r="E47" s="5">
        <v>88</v>
      </c>
      <c r="F47" s="5" t="s">
        <v>352</v>
      </c>
    </row>
    <row r="48" spans="2:6">
      <c r="B48" s="5" t="s">
        <v>408</v>
      </c>
      <c r="C48" s="5" t="s">
        <v>376</v>
      </c>
      <c r="D48" s="5" t="s">
        <v>348</v>
      </c>
      <c r="E48" s="5">
        <v>11</v>
      </c>
      <c r="F48" s="5" t="s">
        <v>349</v>
      </c>
    </row>
    <row r="49" spans="2:6">
      <c r="B49" s="5" t="s">
        <v>409</v>
      </c>
      <c r="C49" s="5" t="s">
        <v>378</v>
      </c>
      <c r="D49" s="5" t="s">
        <v>348</v>
      </c>
      <c r="E49" s="5">
        <v>24</v>
      </c>
      <c r="F49" s="5" t="s">
        <v>352</v>
      </c>
    </row>
    <row r="50" spans="2:6">
      <c r="B50" s="5" t="s">
        <v>410</v>
      </c>
      <c r="C50" s="5" t="s">
        <v>380</v>
      </c>
      <c r="D50" s="5" t="s">
        <v>348</v>
      </c>
      <c r="E50" s="5">
        <v>37</v>
      </c>
      <c r="F50" s="5" t="s">
        <v>349</v>
      </c>
    </row>
    <row r="51" spans="2:6">
      <c r="B51" s="5" t="s">
        <v>411</v>
      </c>
      <c r="C51" s="5" t="s">
        <v>347</v>
      </c>
      <c r="D51" s="5" t="s">
        <v>348</v>
      </c>
      <c r="E51" s="5">
        <v>50</v>
      </c>
      <c r="F51" s="5" t="s">
        <v>352</v>
      </c>
    </row>
    <row r="52" spans="2:6">
      <c r="B52" s="5" t="s">
        <v>412</v>
      </c>
      <c r="C52" s="5" t="s">
        <v>351</v>
      </c>
      <c r="D52" s="5" t="s">
        <v>348</v>
      </c>
      <c r="E52" s="5">
        <v>63</v>
      </c>
      <c r="F52" s="5" t="s">
        <v>349</v>
      </c>
    </row>
    <row r="53" spans="2:6">
      <c r="B53" s="5" t="s">
        <v>413</v>
      </c>
      <c r="C53" s="5" t="s">
        <v>354</v>
      </c>
      <c r="D53" s="5" t="s">
        <v>348</v>
      </c>
      <c r="E53" s="5">
        <v>76</v>
      </c>
      <c r="F53" s="5" t="s">
        <v>352</v>
      </c>
    </row>
    <row r="54" spans="2:6">
      <c r="B54" s="5" t="s">
        <v>414</v>
      </c>
      <c r="C54" s="5" t="s">
        <v>356</v>
      </c>
      <c r="D54" s="5" t="s">
        <v>357</v>
      </c>
      <c r="E54" s="5">
        <v>89</v>
      </c>
      <c r="F54" s="5" t="s">
        <v>349</v>
      </c>
    </row>
    <row r="55" spans="2:6">
      <c r="B55" s="5" t="s">
        <v>415</v>
      </c>
      <c r="C55" s="5" t="s">
        <v>359</v>
      </c>
      <c r="D55" s="5" t="s">
        <v>348</v>
      </c>
      <c r="E55" s="5">
        <v>12</v>
      </c>
      <c r="F55" s="5" t="s">
        <v>360</v>
      </c>
    </row>
    <row r="56" spans="2:6">
      <c r="B56" s="5" t="s">
        <v>416</v>
      </c>
      <c r="C56" s="5" t="s">
        <v>362</v>
      </c>
      <c r="D56" s="5" t="s">
        <v>357</v>
      </c>
      <c r="E56" s="5">
        <v>25</v>
      </c>
      <c r="F56" s="5" t="s">
        <v>349</v>
      </c>
    </row>
    <row r="57" spans="2:6">
      <c r="B57" s="5" t="s">
        <v>417</v>
      </c>
      <c r="C57" s="5" t="s">
        <v>364</v>
      </c>
      <c r="D57" s="5" t="s">
        <v>348</v>
      </c>
      <c r="E57" s="5">
        <v>38</v>
      </c>
      <c r="F57" s="5" t="s">
        <v>352</v>
      </c>
    </row>
    <row r="58" spans="2:6">
      <c r="B58" s="5" t="s">
        <v>418</v>
      </c>
      <c r="C58" s="5" t="s">
        <v>366</v>
      </c>
      <c r="D58" s="5" t="s">
        <v>357</v>
      </c>
      <c r="E58" s="5">
        <v>51</v>
      </c>
      <c r="F58" s="5" t="s">
        <v>349</v>
      </c>
    </row>
    <row r="59" spans="2:6">
      <c r="B59" s="5" t="s">
        <v>419</v>
      </c>
      <c r="C59" s="5" t="s">
        <v>368</v>
      </c>
      <c r="D59" s="5" t="s">
        <v>348</v>
      </c>
      <c r="E59" s="5">
        <v>64</v>
      </c>
      <c r="F59" s="5" t="s">
        <v>352</v>
      </c>
    </row>
    <row r="60" spans="2:6">
      <c r="B60" s="5" t="s">
        <v>420</v>
      </c>
      <c r="C60" s="5" t="s">
        <v>370</v>
      </c>
      <c r="D60" s="5" t="s">
        <v>357</v>
      </c>
      <c r="E60" s="5">
        <v>77</v>
      </c>
      <c r="F60" s="5" t="s">
        <v>349</v>
      </c>
    </row>
    <row r="61" spans="2:6">
      <c r="B61" s="5" t="s">
        <v>421</v>
      </c>
      <c r="C61" s="5" t="s">
        <v>372</v>
      </c>
      <c r="D61" s="5" t="s">
        <v>357</v>
      </c>
      <c r="E61" s="5">
        <v>90</v>
      </c>
      <c r="F61" s="5" t="s">
        <v>352</v>
      </c>
    </row>
    <row r="62" spans="2:6">
      <c r="B62" s="5" t="s">
        <v>422</v>
      </c>
      <c r="C62" s="5" t="s">
        <v>374</v>
      </c>
      <c r="D62" s="5" t="s">
        <v>348</v>
      </c>
      <c r="E62" s="5">
        <v>13</v>
      </c>
      <c r="F62" s="5" t="s">
        <v>349</v>
      </c>
    </row>
    <row r="63" spans="2:6">
      <c r="B63" s="5" t="s">
        <v>423</v>
      </c>
      <c r="C63" s="5" t="s">
        <v>376</v>
      </c>
      <c r="D63" s="5" t="s">
        <v>348</v>
      </c>
      <c r="E63" s="5">
        <v>26</v>
      </c>
      <c r="F63" s="5" t="s">
        <v>352</v>
      </c>
    </row>
    <row r="64" spans="2:6">
      <c r="B64" s="5" t="s">
        <v>424</v>
      </c>
      <c r="C64" s="5" t="s">
        <v>378</v>
      </c>
      <c r="D64" s="5" t="s">
        <v>348</v>
      </c>
      <c r="E64" s="5">
        <v>39</v>
      </c>
      <c r="F64" s="5" t="s">
        <v>360</v>
      </c>
    </row>
    <row r="65" spans="2:6">
      <c r="B65" s="5" t="s">
        <v>425</v>
      </c>
      <c r="C65" s="5" t="s">
        <v>380</v>
      </c>
      <c r="D65" s="5" t="s">
        <v>348</v>
      </c>
      <c r="E65" s="5">
        <v>52</v>
      </c>
      <c r="F65" s="5" t="s">
        <v>352</v>
      </c>
    </row>
    <row r="66" spans="2:6">
      <c r="B66" s="5" t="s">
        <v>426</v>
      </c>
      <c r="C66" s="5" t="s">
        <v>347</v>
      </c>
      <c r="D66" s="5" t="s">
        <v>348</v>
      </c>
      <c r="E66" s="5">
        <v>65</v>
      </c>
      <c r="F66" s="5" t="s">
        <v>349</v>
      </c>
    </row>
    <row r="67" spans="2:6">
      <c r="B67" s="5" t="s">
        <v>427</v>
      </c>
      <c r="C67" s="5" t="s">
        <v>351</v>
      </c>
      <c r="D67" s="5" t="s">
        <v>348</v>
      </c>
      <c r="E67" s="5">
        <v>78</v>
      </c>
      <c r="F67" s="5" t="s">
        <v>352</v>
      </c>
    </row>
    <row r="68" spans="2:6">
      <c r="B68" s="5" t="s">
        <v>428</v>
      </c>
      <c r="C68" s="5" t="s">
        <v>354</v>
      </c>
      <c r="D68" s="5" t="s">
        <v>348</v>
      </c>
      <c r="E68" s="5">
        <v>91</v>
      </c>
      <c r="F68" s="5" t="s">
        <v>349</v>
      </c>
    </row>
    <row r="69" spans="2:6">
      <c r="B69" s="5" t="s">
        <v>429</v>
      </c>
      <c r="C69" s="5" t="s">
        <v>356</v>
      </c>
      <c r="D69" s="5" t="s">
        <v>357</v>
      </c>
      <c r="E69" s="5">
        <v>14</v>
      </c>
      <c r="F69" s="5" t="s">
        <v>352</v>
      </c>
    </row>
    <row r="70" spans="2:6">
      <c r="B70" s="5" t="s">
        <v>430</v>
      </c>
      <c r="C70" s="5" t="s">
        <v>359</v>
      </c>
      <c r="D70" s="5" t="s">
        <v>348</v>
      </c>
      <c r="E70" s="5">
        <v>27</v>
      </c>
      <c r="F70" s="5" t="s">
        <v>349</v>
      </c>
    </row>
    <row r="71" spans="2:6">
      <c r="B71" s="5" t="s">
        <v>431</v>
      </c>
      <c r="C71" s="5" t="s">
        <v>362</v>
      </c>
      <c r="D71" s="5" t="s">
        <v>357</v>
      </c>
      <c r="E71" s="5">
        <v>40</v>
      </c>
      <c r="F71" s="5" t="s">
        <v>352</v>
      </c>
    </row>
    <row r="72" spans="2:6">
      <c r="B72" s="5" t="s">
        <v>432</v>
      </c>
      <c r="C72" s="5" t="s">
        <v>364</v>
      </c>
      <c r="D72" s="5" t="s">
        <v>348</v>
      </c>
      <c r="E72" s="5">
        <v>53</v>
      </c>
      <c r="F72" s="5" t="s">
        <v>349</v>
      </c>
    </row>
    <row r="73" spans="2:6">
      <c r="B73" s="5" t="s">
        <v>433</v>
      </c>
      <c r="C73" s="5" t="s">
        <v>366</v>
      </c>
      <c r="D73" s="5" t="s">
        <v>357</v>
      </c>
      <c r="E73" s="5">
        <v>66</v>
      </c>
      <c r="F73" s="5" t="s">
        <v>360</v>
      </c>
    </row>
    <row r="74" spans="2:6">
      <c r="B74" s="5" t="s">
        <v>434</v>
      </c>
      <c r="C74" s="5" t="s">
        <v>368</v>
      </c>
      <c r="D74" s="5" t="s">
        <v>348</v>
      </c>
      <c r="E74" s="5">
        <v>79</v>
      </c>
      <c r="F74" s="5" t="s">
        <v>349</v>
      </c>
    </row>
    <row r="75" spans="2:6">
      <c r="B75" s="5" t="s">
        <v>435</v>
      </c>
      <c r="C75" s="5" t="s">
        <v>370</v>
      </c>
      <c r="D75" s="5" t="s">
        <v>357</v>
      </c>
      <c r="E75" s="5">
        <v>92</v>
      </c>
      <c r="F75" s="5" t="s">
        <v>352</v>
      </c>
    </row>
    <row r="76" spans="2:6">
      <c r="B76" s="5" t="s">
        <v>436</v>
      </c>
      <c r="C76" s="5" t="s">
        <v>372</v>
      </c>
      <c r="D76" s="5" t="s">
        <v>357</v>
      </c>
      <c r="E76" s="5">
        <v>15</v>
      </c>
      <c r="F76" s="5" t="s">
        <v>349</v>
      </c>
    </row>
    <row r="77" spans="2:6">
      <c r="B77" s="5" t="s">
        <v>437</v>
      </c>
      <c r="C77" s="5" t="s">
        <v>374</v>
      </c>
      <c r="D77" s="5" t="s">
        <v>348</v>
      </c>
      <c r="E77" s="5">
        <v>28</v>
      </c>
      <c r="F77" s="5" t="s">
        <v>352</v>
      </c>
    </row>
    <row r="78" spans="2:6">
      <c r="B78" s="5" t="s">
        <v>438</v>
      </c>
      <c r="C78" s="5" t="s">
        <v>376</v>
      </c>
      <c r="D78" s="5" t="s">
        <v>348</v>
      </c>
      <c r="E78" s="5">
        <v>41</v>
      </c>
      <c r="F78" s="5" t="s">
        <v>349</v>
      </c>
    </row>
    <row r="79" spans="2:6">
      <c r="B79" s="5" t="s">
        <v>439</v>
      </c>
      <c r="C79" s="5" t="s">
        <v>378</v>
      </c>
      <c r="D79" s="5" t="s">
        <v>348</v>
      </c>
      <c r="E79" s="5">
        <v>54</v>
      </c>
      <c r="F79" s="5" t="s">
        <v>352</v>
      </c>
    </row>
    <row r="80" spans="2:6">
      <c r="B80" s="5" t="s">
        <v>440</v>
      </c>
      <c r="C80" s="5" t="s">
        <v>380</v>
      </c>
      <c r="D80" s="5" t="s">
        <v>348</v>
      </c>
      <c r="E80" s="5">
        <v>67</v>
      </c>
      <c r="F80" s="5" t="s">
        <v>349</v>
      </c>
    </row>
    <row r="81" spans="2:6">
      <c r="B81" s="5" t="s">
        <v>441</v>
      </c>
      <c r="C81" s="5" t="s">
        <v>347</v>
      </c>
      <c r="D81" s="5" t="s">
        <v>348</v>
      </c>
      <c r="E81" s="5">
        <v>80</v>
      </c>
      <c r="F81" s="5" t="s">
        <v>352</v>
      </c>
    </row>
    <row r="82" spans="2:6">
      <c r="B82" s="5" t="s">
        <v>442</v>
      </c>
      <c r="C82" s="5" t="s">
        <v>351</v>
      </c>
      <c r="D82" s="5" t="s">
        <v>348</v>
      </c>
      <c r="E82" s="5">
        <v>93</v>
      </c>
      <c r="F82" s="5" t="s">
        <v>360</v>
      </c>
    </row>
    <row r="83" spans="2:6">
      <c r="B83" s="5" t="s">
        <v>443</v>
      </c>
      <c r="C83" s="5" t="s">
        <v>354</v>
      </c>
      <c r="D83" s="5" t="s">
        <v>348</v>
      </c>
      <c r="E83" s="5">
        <v>16</v>
      </c>
      <c r="F83" s="5" t="s">
        <v>352</v>
      </c>
    </row>
    <row r="84" spans="2:6">
      <c r="B84" s="5" t="s">
        <v>444</v>
      </c>
      <c r="C84" s="5" t="s">
        <v>356</v>
      </c>
      <c r="D84" s="5" t="s">
        <v>357</v>
      </c>
      <c r="E84" s="5">
        <v>29</v>
      </c>
      <c r="F84" s="5" t="s">
        <v>349</v>
      </c>
    </row>
    <row r="85" spans="2:6">
      <c r="B85" s="5" t="s">
        <v>445</v>
      </c>
      <c r="C85" s="5" t="s">
        <v>359</v>
      </c>
      <c r="D85" s="5" t="s">
        <v>348</v>
      </c>
      <c r="E85" s="5">
        <v>42</v>
      </c>
      <c r="F85" s="5" t="s">
        <v>352</v>
      </c>
    </row>
    <row r="86" spans="2:6">
      <c r="B86" s="5" t="s">
        <v>446</v>
      </c>
      <c r="C86" s="5" t="s">
        <v>362</v>
      </c>
      <c r="D86" s="5" t="s">
        <v>357</v>
      </c>
      <c r="E86" s="5">
        <v>55</v>
      </c>
      <c r="F86" s="5" t="s">
        <v>349</v>
      </c>
    </row>
    <row r="87" spans="2:6">
      <c r="B87" s="5" t="s">
        <v>447</v>
      </c>
      <c r="C87" s="5" t="s">
        <v>364</v>
      </c>
      <c r="D87" s="5" t="s">
        <v>348</v>
      </c>
      <c r="E87" s="5">
        <v>68</v>
      </c>
      <c r="F87" s="5" t="s">
        <v>352</v>
      </c>
    </row>
    <row r="88" spans="2:6">
      <c r="B88" s="5" t="s">
        <v>448</v>
      </c>
      <c r="C88" s="5" t="s">
        <v>366</v>
      </c>
      <c r="D88" s="5" t="s">
        <v>357</v>
      </c>
      <c r="E88" s="5">
        <v>81</v>
      </c>
      <c r="F88" s="5" t="s">
        <v>349</v>
      </c>
    </row>
    <row r="89" spans="2:6">
      <c r="B89" s="5" t="s">
        <v>449</v>
      </c>
      <c r="C89" s="5" t="s">
        <v>368</v>
      </c>
      <c r="D89" s="5" t="s">
        <v>348</v>
      </c>
      <c r="E89" s="5">
        <v>94</v>
      </c>
      <c r="F89" s="5" t="s">
        <v>352</v>
      </c>
    </row>
    <row r="90" spans="2:6">
      <c r="B90" s="5" t="s">
        <v>450</v>
      </c>
      <c r="C90" s="5" t="s">
        <v>370</v>
      </c>
      <c r="D90" s="5" t="s">
        <v>357</v>
      </c>
      <c r="E90" s="5">
        <v>17</v>
      </c>
      <c r="F90" s="5" t="s">
        <v>349</v>
      </c>
    </row>
    <row r="91" spans="2:6">
      <c r="B91" s="5" t="s">
        <v>451</v>
      </c>
      <c r="C91" s="5" t="s">
        <v>372</v>
      </c>
      <c r="D91" s="5" t="s">
        <v>357</v>
      </c>
      <c r="E91" s="5">
        <v>30</v>
      </c>
      <c r="F91" s="5" t="s">
        <v>360</v>
      </c>
    </row>
    <row r="92" spans="2:6">
      <c r="B92" s="5" t="s">
        <v>452</v>
      </c>
      <c r="C92" s="5" t="s">
        <v>374</v>
      </c>
      <c r="D92" s="5" t="s">
        <v>348</v>
      </c>
      <c r="E92" s="5">
        <v>43</v>
      </c>
      <c r="F92" s="5" t="s">
        <v>349</v>
      </c>
    </row>
    <row r="93" spans="2:6">
      <c r="B93" s="5" t="s">
        <v>453</v>
      </c>
      <c r="C93" s="5" t="s">
        <v>376</v>
      </c>
      <c r="D93" s="5" t="s">
        <v>348</v>
      </c>
      <c r="E93" s="5">
        <v>56</v>
      </c>
      <c r="F93" s="5" t="s">
        <v>352</v>
      </c>
    </row>
    <row r="94" spans="2:6">
      <c r="B94" s="5" t="s">
        <v>454</v>
      </c>
      <c r="C94" s="5" t="s">
        <v>378</v>
      </c>
      <c r="D94" s="5" t="s">
        <v>348</v>
      </c>
      <c r="E94" s="5">
        <v>69</v>
      </c>
      <c r="F94" s="5" t="s">
        <v>349</v>
      </c>
    </row>
    <row r="95" spans="2:6">
      <c r="B95" s="5" t="s">
        <v>455</v>
      </c>
      <c r="C95" s="5" t="s">
        <v>380</v>
      </c>
      <c r="D95" s="5" t="s">
        <v>348</v>
      </c>
      <c r="E95" s="5">
        <v>82</v>
      </c>
      <c r="F95" s="5" t="s">
        <v>352</v>
      </c>
    </row>
    <row r="96" spans="2:6">
      <c r="B96" s="5" t="s">
        <v>456</v>
      </c>
      <c r="C96" s="5" t="s">
        <v>347</v>
      </c>
      <c r="D96" s="5" t="s">
        <v>348</v>
      </c>
      <c r="E96" s="5">
        <v>5</v>
      </c>
      <c r="F96" s="5" t="s">
        <v>349</v>
      </c>
    </row>
    <row r="97" spans="2:6">
      <c r="B97" s="5" t="s">
        <v>457</v>
      </c>
      <c r="C97" s="5" t="s">
        <v>351</v>
      </c>
      <c r="D97" s="5" t="s">
        <v>348</v>
      </c>
      <c r="E97" s="5">
        <v>18</v>
      </c>
      <c r="F97" s="5" t="s">
        <v>352</v>
      </c>
    </row>
    <row r="98" spans="2:6">
      <c r="B98" s="5" t="s">
        <v>458</v>
      </c>
      <c r="C98" s="5" t="s">
        <v>354</v>
      </c>
      <c r="D98" s="5" t="s">
        <v>348</v>
      </c>
      <c r="E98" s="5">
        <v>31</v>
      </c>
      <c r="F98" s="5" t="s">
        <v>349</v>
      </c>
    </row>
    <row r="99" spans="2:6">
      <c r="B99" s="5" t="s">
        <v>459</v>
      </c>
      <c r="C99" s="5" t="s">
        <v>356</v>
      </c>
      <c r="D99" s="5" t="s">
        <v>357</v>
      </c>
      <c r="E99" s="5">
        <v>44</v>
      </c>
      <c r="F99" s="5" t="s">
        <v>352</v>
      </c>
    </row>
    <row r="100" spans="2:6">
      <c r="B100" s="5" t="s">
        <v>460</v>
      </c>
      <c r="C100" s="5" t="s">
        <v>359</v>
      </c>
      <c r="D100" s="5" t="s">
        <v>348</v>
      </c>
      <c r="E100" s="5">
        <v>57</v>
      </c>
      <c r="F100" s="5" t="s">
        <v>360</v>
      </c>
    </row>
    <row r="101" spans="2:6">
      <c r="B101" s="5" t="s">
        <v>461</v>
      </c>
      <c r="C101" s="5" t="s">
        <v>362</v>
      </c>
      <c r="D101" s="5" t="s">
        <v>357</v>
      </c>
      <c r="E101" s="5">
        <v>70</v>
      </c>
      <c r="F101" s="5" t="s">
        <v>352</v>
      </c>
    </row>
    <row r="102" spans="2:6">
      <c r="B102" s="5" t="s">
        <v>462</v>
      </c>
      <c r="C102" s="5" t="s">
        <v>364</v>
      </c>
      <c r="D102" s="5" t="s">
        <v>348</v>
      </c>
      <c r="E102" s="5">
        <v>83</v>
      </c>
      <c r="F102" s="5" t="s">
        <v>349</v>
      </c>
    </row>
    <row r="103" spans="2:6">
      <c r="B103" s="5" t="s">
        <v>463</v>
      </c>
      <c r="C103" s="5" t="s">
        <v>366</v>
      </c>
      <c r="D103" s="5" t="s">
        <v>357</v>
      </c>
      <c r="E103" s="5">
        <v>6</v>
      </c>
      <c r="F103" s="5" t="s">
        <v>352</v>
      </c>
    </row>
    <row r="104" spans="2:6">
      <c r="B104" s="5" t="s">
        <v>464</v>
      </c>
      <c r="C104" s="5" t="s">
        <v>368</v>
      </c>
      <c r="D104" s="5" t="s">
        <v>348</v>
      </c>
      <c r="E104" s="5">
        <v>19</v>
      </c>
      <c r="F104" s="5" t="s">
        <v>349</v>
      </c>
    </row>
    <row r="105" spans="2:6">
      <c r="B105" s="5" t="s">
        <v>465</v>
      </c>
      <c r="C105" s="5" t="s">
        <v>370</v>
      </c>
      <c r="D105" s="5" t="s">
        <v>357</v>
      </c>
      <c r="E105" s="5">
        <v>32</v>
      </c>
      <c r="F105" s="5" t="s">
        <v>352</v>
      </c>
    </row>
    <row r="106" spans="2:6">
      <c r="B106" s="5" t="s">
        <v>466</v>
      </c>
      <c r="C106" s="5" t="s">
        <v>372</v>
      </c>
      <c r="D106" s="5" t="s">
        <v>357</v>
      </c>
      <c r="E106" s="5">
        <v>45</v>
      </c>
      <c r="F106" s="5" t="s">
        <v>349</v>
      </c>
    </row>
    <row r="107" spans="2:6">
      <c r="B107" s="5" t="s">
        <v>467</v>
      </c>
      <c r="C107" s="5" t="s">
        <v>374</v>
      </c>
      <c r="D107" s="5" t="s">
        <v>348</v>
      </c>
      <c r="E107" s="5">
        <v>58</v>
      </c>
      <c r="F107" s="5" t="s">
        <v>352</v>
      </c>
    </row>
    <row r="108" spans="2:6">
      <c r="B108" s="5" t="s">
        <v>468</v>
      </c>
      <c r="C108" s="5" t="s">
        <v>376</v>
      </c>
      <c r="D108" s="5" t="s">
        <v>348</v>
      </c>
      <c r="E108" s="5">
        <v>71</v>
      </c>
      <c r="F108" s="5" t="s">
        <v>349</v>
      </c>
    </row>
    <row r="109" spans="2:6">
      <c r="B109" s="5" t="s">
        <v>469</v>
      </c>
      <c r="C109" s="5" t="s">
        <v>378</v>
      </c>
      <c r="D109" s="5" t="s">
        <v>348</v>
      </c>
      <c r="E109" s="5">
        <v>84</v>
      </c>
      <c r="F109" s="5" t="s">
        <v>360</v>
      </c>
    </row>
    <row r="110" spans="2:6">
      <c r="B110" s="5" t="s">
        <v>470</v>
      </c>
      <c r="C110" s="5" t="s">
        <v>380</v>
      </c>
      <c r="D110" s="5" t="s">
        <v>348</v>
      </c>
      <c r="E110" s="5">
        <v>7</v>
      </c>
      <c r="F110" s="5" t="s">
        <v>349</v>
      </c>
    </row>
    <row r="111" spans="2:6">
      <c r="B111" s="5" t="s">
        <v>471</v>
      </c>
      <c r="C111" s="5" t="s">
        <v>347</v>
      </c>
      <c r="D111" s="5" t="s">
        <v>348</v>
      </c>
      <c r="E111" s="5">
        <v>20</v>
      </c>
      <c r="F111" s="5" t="s">
        <v>352</v>
      </c>
    </row>
    <row r="112" spans="2:6">
      <c r="B112" s="5" t="s">
        <v>472</v>
      </c>
      <c r="C112" s="5" t="s">
        <v>351</v>
      </c>
      <c r="D112" s="5" t="s">
        <v>348</v>
      </c>
      <c r="E112" s="5">
        <v>33</v>
      </c>
      <c r="F112" s="5" t="s">
        <v>349</v>
      </c>
    </row>
    <row r="113" spans="2:6">
      <c r="B113" s="5" t="s">
        <v>473</v>
      </c>
      <c r="C113" s="5" t="s">
        <v>354</v>
      </c>
      <c r="D113" s="5" t="s">
        <v>348</v>
      </c>
      <c r="E113" s="5">
        <v>46</v>
      </c>
      <c r="F113" s="5" t="s">
        <v>352</v>
      </c>
    </row>
    <row r="114" spans="2:6">
      <c r="B114" s="5" t="s">
        <v>474</v>
      </c>
      <c r="C114" s="5" t="s">
        <v>356</v>
      </c>
      <c r="D114" s="5" t="s">
        <v>357</v>
      </c>
      <c r="E114" s="5">
        <v>59</v>
      </c>
      <c r="F114" s="5" t="s">
        <v>349</v>
      </c>
    </row>
    <row r="115" spans="2:6">
      <c r="B115" s="5" t="s">
        <v>475</v>
      </c>
      <c r="C115" s="5" t="s">
        <v>359</v>
      </c>
      <c r="D115" s="5" t="s">
        <v>348</v>
      </c>
      <c r="E115" s="5">
        <v>72</v>
      </c>
      <c r="F115" s="5" t="s">
        <v>352</v>
      </c>
    </row>
    <row r="116" spans="2:6">
      <c r="B116" s="5" t="s">
        <v>476</v>
      </c>
      <c r="C116" s="5" t="s">
        <v>362</v>
      </c>
      <c r="D116" s="5" t="s">
        <v>357</v>
      </c>
      <c r="E116" s="5">
        <v>85</v>
      </c>
      <c r="F116" s="5" t="s">
        <v>349</v>
      </c>
    </row>
    <row r="117" spans="2:6">
      <c r="B117" s="5" t="s">
        <v>477</v>
      </c>
      <c r="C117" s="5" t="s">
        <v>364</v>
      </c>
      <c r="D117" s="5" t="s">
        <v>348</v>
      </c>
      <c r="E117" s="5">
        <v>8</v>
      </c>
      <c r="F117" s="5" t="s">
        <v>352</v>
      </c>
    </row>
    <row r="118" spans="2:6">
      <c r="B118" s="5" t="s">
        <v>478</v>
      </c>
      <c r="C118" s="5" t="s">
        <v>366</v>
      </c>
      <c r="D118" s="5" t="s">
        <v>357</v>
      </c>
      <c r="E118" s="5">
        <v>21</v>
      </c>
      <c r="F118" s="5" t="s">
        <v>360</v>
      </c>
    </row>
    <row r="119" spans="2:6">
      <c r="B119" s="5" t="s">
        <v>479</v>
      </c>
      <c r="C119" s="5" t="s">
        <v>368</v>
      </c>
      <c r="D119" s="5" t="s">
        <v>348</v>
      </c>
      <c r="E119" s="5">
        <v>34</v>
      </c>
      <c r="F119" s="5" t="s">
        <v>352</v>
      </c>
    </row>
    <row r="120" spans="2:6">
      <c r="B120" s="5" t="s">
        <v>480</v>
      </c>
      <c r="C120" s="5" t="s">
        <v>370</v>
      </c>
      <c r="D120" s="5" t="s">
        <v>357</v>
      </c>
      <c r="E120" s="5">
        <v>47</v>
      </c>
      <c r="F120" s="5" t="s">
        <v>349</v>
      </c>
    </row>
    <row r="121" spans="2:6">
      <c r="B121" s="5" t="s">
        <v>481</v>
      </c>
      <c r="C121" s="5" t="s">
        <v>372</v>
      </c>
      <c r="D121" s="5" t="s">
        <v>357</v>
      </c>
      <c r="E121" s="5">
        <v>60</v>
      </c>
      <c r="F121" s="5" t="s">
        <v>352</v>
      </c>
    </row>
    <row r="122" spans="2:6">
      <c r="B122" s="5" t="s">
        <v>482</v>
      </c>
      <c r="C122" s="5" t="s">
        <v>374</v>
      </c>
      <c r="D122" s="5" t="s">
        <v>348</v>
      </c>
      <c r="E122" s="5">
        <v>73</v>
      </c>
      <c r="F122" s="5" t="s">
        <v>349</v>
      </c>
    </row>
    <row r="123" spans="2:6">
      <c r="B123" s="5" t="s">
        <v>483</v>
      </c>
      <c r="C123" s="5" t="s">
        <v>376</v>
      </c>
      <c r="D123" s="5" t="s">
        <v>348</v>
      </c>
      <c r="E123" s="5">
        <v>86</v>
      </c>
      <c r="F123" s="5" t="s">
        <v>352</v>
      </c>
    </row>
    <row r="124" spans="2:6">
      <c r="B124" s="5" t="s">
        <v>484</v>
      </c>
      <c r="C124" s="5" t="s">
        <v>378</v>
      </c>
      <c r="D124" s="5" t="s">
        <v>348</v>
      </c>
      <c r="E124" s="5">
        <v>9</v>
      </c>
      <c r="F124" s="5" t="s">
        <v>349</v>
      </c>
    </row>
    <row r="125" spans="2:6">
      <c r="B125" s="5" t="s">
        <v>485</v>
      </c>
      <c r="C125" s="5" t="s">
        <v>380</v>
      </c>
      <c r="D125" s="5" t="s">
        <v>348</v>
      </c>
      <c r="E125" s="5">
        <v>22</v>
      </c>
      <c r="F125" s="5" t="s">
        <v>352</v>
      </c>
    </row>
    <row r="126" spans="2:6">
      <c r="B126" s="5" t="s">
        <v>486</v>
      </c>
      <c r="C126" s="5" t="s">
        <v>347</v>
      </c>
      <c r="D126" s="5" t="s">
        <v>348</v>
      </c>
      <c r="E126" s="5">
        <v>35</v>
      </c>
      <c r="F126" s="5" t="s">
        <v>349</v>
      </c>
    </row>
    <row r="127" spans="2:6">
      <c r="B127" s="5" t="s">
        <v>487</v>
      </c>
      <c r="C127" s="5" t="s">
        <v>351</v>
      </c>
      <c r="D127" s="5" t="s">
        <v>348</v>
      </c>
      <c r="E127" s="5">
        <v>48</v>
      </c>
      <c r="F127" s="5" t="s">
        <v>360</v>
      </c>
    </row>
    <row r="128" spans="2:6">
      <c r="B128" s="5" t="s">
        <v>488</v>
      </c>
      <c r="C128" s="5" t="s">
        <v>354</v>
      </c>
      <c r="D128" s="5" t="s">
        <v>348</v>
      </c>
      <c r="E128" s="5">
        <v>61</v>
      </c>
      <c r="F128" s="5" t="s">
        <v>349</v>
      </c>
    </row>
    <row r="129" spans="2:6">
      <c r="B129" s="5" t="s">
        <v>489</v>
      </c>
      <c r="C129" s="5" t="s">
        <v>356</v>
      </c>
      <c r="D129" s="5" t="s">
        <v>357</v>
      </c>
      <c r="E129" s="5">
        <v>74</v>
      </c>
      <c r="F129" s="5" t="s">
        <v>352</v>
      </c>
    </row>
    <row r="130" spans="2:6">
      <c r="B130" s="5" t="s">
        <v>490</v>
      </c>
      <c r="C130" s="5" t="s">
        <v>359</v>
      </c>
      <c r="D130" s="5" t="s">
        <v>348</v>
      </c>
      <c r="E130" s="5">
        <v>87</v>
      </c>
      <c r="F130" s="5" t="s">
        <v>349</v>
      </c>
    </row>
    <row r="131" spans="2:6">
      <c r="B131" s="5" t="s">
        <v>491</v>
      </c>
      <c r="C131" s="5" t="s">
        <v>362</v>
      </c>
      <c r="D131" s="5" t="s">
        <v>357</v>
      </c>
      <c r="E131" s="5">
        <v>10</v>
      </c>
      <c r="F131" s="5" t="s">
        <v>352</v>
      </c>
    </row>
    <row r="132" spans="2:6">
      <c r="B132" s="5" t="s">
        <v>492</v>
      </c>
      <c r="C132" s="5" t="s">
        <v>364</v>
      </c>
      <c r="D132" s="5" t="s">
        <v>348</v>
      </c>
      <c r="E132" s="5">
        <v>23</v>
      </c>
      <c r="F132" s="5" t="s">
        <v>349</v>
      </c>
    </row>
    <row r="133" spans="2:6">
      <c r="B133" s="5" t="s">
        <v>493</v>
      </c>
      <c r="C133" s="5" t="s">
        <v>366</v>
      </c>
      <c r="D133" s="5" t="s">
        <v>357</v>
      </c>
      <c r="E133" s="5">
        <v>36</v>
      </c>
      <c r="F133" s="5" t="s">
        <v>352</v>
      </c>
    </row>
    <row r="134" spans="2:6">
      <c r="B134" s="5" t="s">
        <v>494</v>
      </c>
      <c r="C134" s="5" t="s">
        <v>368</v>
      </c>
      <c r="D134" s="5" t="s">
        <v>348</v>
      </c>
      <c r="E134" s="5">
        <v>49</v>
      </c>
      <c r="F134" s="5" t="s">
        <v>349</v>
      </c>
    </row>
    <row r="135" spans="2:6">
      <c r="B135" s="5" t="s">
        <v>495</v>
      </c>
      <c r="C135" s="5" t="s">
        <v>370</v>
      </c>
      <c r="D135" s="5" t="s">
        <v>357</v>
      </c>
      <c r="E135" s="5">
        <v>62</v>
      </c>
      <c r="F135" s="5" t="s">
        <v>352</v>
      </c>
    </row>
    <row r="136" spans="2:6">
      <c r="B136" s="5" t="s">
        <v>496</v>
      </c>
      <c r="C136" s="5" t="s">
        <v>372</v>
      </c>
      <c r="D136" s="5" t="s">
        <v>357</v>
      </c>
      <c r="E136" s="5">
        <v>75</v>
      </c>
      <c r="F136" s="5" t="s">
        <v>360</v>
      </c>
    </row>
    <row r="137" spans="2:6">
      <c r="B137" s="5" t="s">
        <v>497</v>
      </c>
      <c r="C137" s="5" t="s">
        <v>374</v>
      </c>
      <c r="D137" s="5" t="s">
        <v>348</v>
      </c>
      <c r="E137" s="5">
        <v>88</v>
      </c>
      <c r="F137" s="5" t="s">
        <v>352</v>
      </c>
    </row>
    <row r="138" spans="2:6">
      <c r="B138" s="5" t="s">
        <v>498</v>
      </c>
      <c r="C138" s="5" t="s">
        <v>376</v>
      </c>
      <c r="D138" s="5" t="s">
        <v>348</v>
      </c>
      <c r="E138" s="5">
        <v>11</v>
      </c>
      <c r="F138" s="5" t="s">
        <v>349</v>
      </c>
    </row>
    <row r="139" spans="2:6">
      <c r="B139" s="5" t="s">
        <v>499</v>
      </c>
      <c r="C139" s="5" t="s">
        <v>378</v>
      </c>
      <c r="D139" s="5" t="s">
        <v>348</v>
      </c>
      <c r="E139" s="5">
        <v>24</v>
      </c>
      <c r="F139" s="5" t="s">
        <v>352</v>
      </c>
    </row>
    <row r="140" spans="2:6">
      <c r="B140" s="5" t="s">
        <v>500</v>
      </c>
      <c r="C140" s="5" t="s">
        <v>380</v>
      </c>
      <c r="D140" s="5" t="s">
        <v>348</v>
      </c>
      <c r="E140" s="5">
        <v>37</v>
      </c>
      <c r="F140" s="5" t="s">
        <v>349</v>
      </c>
    </row>
    <row r="141" spans="2:6">
      <c r="B141" s="5" t="s">
        <v>501</v>
      </c>
      <c r="C141" s="5" t="s">
        <v>347</v>
      </c>
      <c r="D141" s="5" t="s">
        <v>348</v>
      </c>
      <c r="E141" s="5">
        <v>50</v>
      </c>
      <c r="F141" s="5" t="s">
        <v>352</v>
      </c>
    </row>
    <row r="142" spans="2:6">
      <c r="B142" s="5" t="s">
        <v>502</v>
      </c>
      <c r="C142" s="5" t="s">
        <v>351</v>
      </c>
      <c r="D142" s="5" t="s">
        <v>348</v>
      </c>
      <c r="E142" s="5">
        <v>63</v>
      </c>
      <c r="F142" s="5" t="s">
        <v>349</v>
      </c>
    </row>
    <row r="143" spans="2:6">
      <c r="B143" s="5" t="s">
        <v>503</v>
      </c>
      <c r="C143" s="5" t="s">
        <v>354</v>
      </c>
      <c r="D143" s="5" t="s">
        <v>348</v>
      </c>
      <c r="E143" s="5">
        <v>76</v>
      </c>
      <c r="F143" s="5" t="s">
        <v>352</v>
      </c>
    </row>
    <row r="144" spans="2:6">
      <c r="B144" s="5" t="s">
        <v>504</v>
      </c>
      <c r="C144" s="5" t="s">
        <v>356</v>
      </c>
      <c r="D144" s="5" t="s">
        <v>357</v>
      </c>
      <c r="E144" s="5">
        <v>89</v>
      </c>
      <c r="F144" s="5" t="s">
        <v>349</v>
      </c>
    </row>
    <row r="145" spans="2:6">
      <c r="B145" s="5" t="s">
        <v>505</v>
      </c>
      <c r="C145" s="5" t="s">
        <v>359</v>
      </c>
      <c r="D145" s="5" t="s">
        <v>348</v>
      </c>
      <c r="E145" s="5">
        <v>12</v>
      </c>
      <c r="F145" s="5" t="s">
        <v>360</v>
      </c>
    </row>
    <row r="146" spans="2:6">
      <c r="B146" s="5" t="s">
        <v>506</v>
      </c>
      <c r="C146" s="5" t="s">
        <v>362</v>
      </c>
      <c r="D146" s="5" t="s">
        <v>357</v>
      </c>
      <c r="E146" s="5">
        <v>25</v>
      </c>
      <c r="F146" s="5" t="s">
        <v>349</v>
      </c>
    </row>
    <row r="147" spans="2:6">
      <c r="B147" s="5" t="s">
        <v>507</v>
      </c>
      <c r="C147" s="5" t="s">
        <v>364</v>
      </c>
      <c r="D147" s="5" t="s">
        <v>348</v>
      </c>
      <c r="E147" s="5">
        <v>38</v>
      </c>
      <c r="F147" s="5" t="s">
        <v>352</v>
      </c>
    </row>
    <row r="148" spans="2:6">
      <c r="B148" s="5" t="s">
        <v>508</v>
      </c>
      <c r="C148" s="5" t="s">
        <v>366</v>
      </c>
      <c r="D148" s="5" t="s">
        <v>357</v>
      </c>
      <c r="E148" s="5">
        <v>51</v>
      </c>
      <c r="F148" s="5" t="s">
        <v>349</v>
      </c>
    </row>
    <row r="149" spans="2:6">
      <c r="B149" s="5" t="s">
        <v>509</v>
      </c>
      <c r="C149" s="5" t="s">
        <v>368</v>
      </c>
      <c r="D149" s="5" t="s">
        <v>348</v>
      </c>
      <c r="E149" s="5">
        <v>64</v>
      </c>
      <c r="F149" s="5" t="s">
        <v>352</v>
      </c>
    </row>
    <row r="150" spans="2:6">
      <c r="B150" s="5" t="s">
        <v>510</v>
      </c>
      <c r="C150" s="5" t="s">
        <v>370</v>
      </c>
      <c r="D150" s="5" t="s">
        <v>357</v>
      </c>
      <c r="E150" s="5">
        <v>77</v>
      </c>
      <c r="F150" s="5" t="s">
        <v>349</v>
      </c>
    </row>
    <row r="151" spans="2:6">
      <c r="B151" s="5" t="s">
        <v>511</v>
      </c>
      <c r="C151" s="5" t="s">
        <v>372</v>
      </c>
      <c r="D151" s="5" t="s">
        <v>357</v>
      </c>
      <c r="E151" s="5">
        <v>90</v>
      </c>
      <c r="F151" s="5" t="s">
        <v>352</v>
      </c>
    </row>
    <row r="152" spans="2:6">
      <c r="B152" s="5" t="s">
        <v>512</v>
      </c>
      <c r="C152" s="5" t="s">
        <v>374</v>
      </c>
      <c r="D152" s="5" t="s">
        <v>348</v>
      </c>
      <c r="E152" s="5">
        <v>13</v>
      </c>
      <c r="F152" s="5" t="s">
        <v>349</v>
      </c>
    </row>
    <row r="153" spans="2:6">
      <c r="B153" s="5" t="s">
        <v>513</v>
      </c>
      <c r="C153" s="5" t="s">
        <v>376</v>
      </c>
      <c r="D153" s="5" t="s">
        <v>348</v>
      </c>
      <c r="E153" s="5">
        <v>26</v>
      </c>
      <c r="F153" s="5" t="s">
        <v>352</v>
      </c>
    </row>
    <row r="154" spans="2:6">
      <c r="B154" s="5" t="s">
        <v>514</v>
      </c>
      <c r="C154" s="5" t="s">
        <v>378</v>
      </c>
      <c r="D154" s="5" t="s">
        <v>348</v>
      </c>
      <c r="E154" s="5">
        <v>39</v>
      </c>
      <c r="F154" s="5" t="s">
        <v>360</v>
      </c>
    </row>
    <row r="155" spans="2:6">
      <c r="B155" s="5" t="s">
        <v>515</v>
      </c>
      <c r="C155" s="5" t="s">
        <v>380</v>
      </c>
      <c r="D155" s="5" t="s">
        <v>348</v>
      </c>
      <c r="E155" s="5">
        <v>52</v>
      </c>
      <c r="F155" s="5" t="s">
        <v>352</v>
      </c>
    </row>
    <row r="156" spans="2:6">
      <c r="B156" s="5" t="s">
        <v>516</v>
      </c>
      <c r="C156" s="5" t="s">
        <v>347</v>
      </c>
      <c r="D156" s="5" t="s">
        <v>348</v>
      </c>
      <c r="E156" s="5">
        <v>65</v>
      </c>
      <c r="F156" s="5" t="s">
        <v>349</v>
      </c>
    </row>
    <row r="157" spans="2:6">
      <c r="B157" s="5" t="s">
        <v>517</v>
      </c>
      <c r="C157" s="5" t="s">
        <v>351</v>
      </c>
      <c r="D157" s="5" t="s">
        <v>348</v>
      </c>
      <c r="E157" s="5">
        <v>78</v>
      </c>
      <c r="F157" s="5" t="s">
        <v>352</v>
      </c>
    </row>
    <row r="158" spans="2:6">
      <c r="B158" s="5" t="s">
        <v>518</v>
      </c>
      <c r="C158" s="5" t="s">
        <v>354</v>
      </c>
      <c r="D158" s="5" t="s">
        <v>348</v>
      </c>
      <c r="E158" s="5">
        <v>91</v>
      </c>
      <c r="F158" s="5" t="s">
        <v>349</v>
      </c>
    </row>
    <row r="159" spans="2:6">
      <c r="B159" s="5" t="s">
        <v>519</v>
      </c>
      <c r="C159" s="5" t="s">
        <v>356</v>
      </c>
      <c r="D159" s="5" t="s">
        <v>357</v>
      </c>
      <c r="E159" s="5">
        <v>14</v>
      </c>
      <c r="F159" s="5" t="s">
        <v>352</v>
      </c>
    </row>
    <row r="160" spans="2:6">
      <c r="B160" s="5" t="s">
        <v>520</v>
      </c>
      <c r="C160" s="5" t="s">
        <v>359</v>
      </c>
      <c r="D160" s="5" t="s">
        <v>348</v>
      </c>
      <c r="E160" s="5">
        <v>27</v>
      </c>
      <c r="F160" s="5" t="s">
        <v>349</v>
      </c>
    </row>
    <row r="161" spans="2:6">
      <c r="B161" s="5" t="s">
        <v>521</v>
      </c>
      <c r="C161" s="5" t="s">
        <v>362</v>
      </c>
      <c r="D161" s="5" t="s">
        <v>357</v>
      </c>
      <c r="E161" s="5">
        <v>40</v>
      </c>
      <c r="F161" s="5" t="s">
        <v>352</v>
      </c>
    </row>
    <row r="162" spans="2:6">
      <c r="B162" s="5" t="s">
        <v>522</v>
      </c>
      <c r="C162" s="5" t="s">
        <v>364</v>
      </c>
      <c r="D162" s="5" t="s">
        <v>348</v>
      </c>
      <c r="E162" s="5">
        <v>53</v>
      </c>
      <c r="F162" s="5" t="s">
        <v>349</v>
      </c>
    </row>
    <row r="163" spans="2:6">
      <c r="B163" s="5" t="s">
        <v>523</v>
      </c>
      <c r="C163" s="5" t="s">
        <v>366</v>
      </c>
      <c r="D163" s="5" t="s">
        <v>357</v>
      </c>
      <c r="E163" s="5">
        <v>66</v>
      </c>
      <c r="F163" s="5" t="s">
        <v>360</v>
      </c>
    </row>
    <row r="164" spans="2:6">
      <c r="B164" s="5" t="s">
        <v>524</v>
      </c>
      <c r="C164" s="5" t="s">
        <v>368</v>
      </c>
      <c r="D164" s="5" t="s">
        <v>348</v>
      </c>
      <c r="E164" s="5">
        <v>79</v>
      </c>
      <c r="F164" s="5" t="s">
        <v>349</v>
      </c>
    </row>
    <row r="165" spans="2:6">
      <c r="B165" s="5" t="s">
        <v>525</v>
      </c>
      <c r="C165" s="5" t="s">
        <v>370</v>
      </c>
      <c r="D165" s="5" t="s">
        <v>357</v>
      </c>
      <c r="E165" s="5">
        <v>92</v>
      </c>
      <c r="F165" s="5" t="s">
        <v>352</v>
      </c>
    </row>
    <row r="166" spans="2:6">
      <c r="B166" s="5" t="s">
        <v>526</v>
      </c>
      <c r="C166" s="5" t="s">
        <v>372</v>
      </c>
      <c r="D166" s="5" t="s">
        <v>357</v>
      </c>
      <c r="E166" s="5">
        <v>15</v>
      </c>
      <c r="F166" s="5" t="s">
        <v>349</v>
      </c>
    </row>
    <row r="167" spans="2:6">
      <c r="B167" s="5" t="s">
        <v>527</v>
      </c>
      <c r="C167" s="5" t="s">
        <v>374</v>
      </c>
      <c r="D167" s="5" t="s">
        <v>348</v>
      </c>
      <c r="E167" s="5">
        <v>28</v>
      </c>
      <c r="F167" s="5" t="s">
        <v>352</v>
      </c>
    </row>
    <row r="168" spans="2:6">
      <c r="B168" s="5" t="s">
        <v>528</v>
      </c>
      <c r="C168" s="5" t="s">
        <v>376</v>
      </c>
      <c r="D168" s="5" t="s">
        <v>348</v>
      </c>
      <c r="E168" s="5">
        <v>41</v>
      </c>
      <c r="F168" s="5" t="s">
        <v>349</v>
      </c>
    </row>
    <row r="169" spans="2:6">
      <c r="B169" s="5" t="s">
        <v>529</v>
      </c>
      <c r="C169" s="5" t="s">
        <v>378</v>
      </c>
      <c r="D169" s="5" t="s">
        <v>348</v>
      </c>
      <c r="E169" s="5">
        <v>54</v>
      </c>
      <c r="F169" s="5" t="s">
        <v>352</v>
      </c>
    </row>
    <row r="170" spans="2:6">
      <c r="B170" s="5" t="s">
        <v>530</v>
      </c>
      <c r="C170" s="5" t="s">
        <v>380</v>
      </c>
      <c r="D170" s="5" t="s">
        <v>348</v>
      </c>
      <c r="E170" s="5">
        <v>67</v>
      </c>
      <c r="F170" s="5" t="s">
        <v>349</v>
      </c>
    </row>
    <row r="171" spans="2:6">
      <c r="B171" s="5" t="s">
        <v>531</v>
      </c>
      <c r="C171" s="5" t="s">
        <v>347</v>
      </c>
      <c r="D171" s="5" t="s">
        <v>348</v>
      </c>
      <c r="E171" s="5">
        <v>80</v>
      </c>
      <c r="F171" s="5" t="s">
        <v>352</v>
      </c>
    </row>
    <row r="172" spans="2:6">
      <c r="B172" s="5" t="s">
        <v>532</v>
      </c>
      <c r="C172" s="5" t="s">
        <v>351</v>
      </c>
      <c r="D172" s="5" t="s">
        <v>348</v>
      </c>
      <c r="E172" s="5">
        <v>93</v>
      </c>
      <c r="F172" s="5" t="s">
        <v>360</v>
      </c>
    </row>
    <row r="173" spans="2:6">
      <c r="B173" s="5" t="s">
        <v>533</v>
      </c>
      <c r="C173" s="5" t="s">
        <v>354</v>
      </c>
      <c r="D173" s="5" t="s">
        <v>348</v>
      </c>
      <c r="E173" s="5">
        <v>16</v>
      </c>
      <c r="F173" s="5" t="s">
        <v>352</v>
      </c>
    </row>
    <row r="174" spans="2:6">
      <c r="B174" s="5" t="s">
        <v>534</v>
      </c>
      <c r="C174" s="5" t="s">
        <v>356</v>
      </c>
      <c r="D174" s="5" t="s">
        <v>357</v>
      </c>
      <c r="E174" s="5">
        <v>29</v>
      </c>
      <c r="F174" s="5" t="s">
        <v>349</v>
      </c>
    </row>
    <row r="175" spans="2:6">
      <c r="B175" s="5" t="s">
        <v>535</v>
      </c>
      <c r="C175" s="5" t="s">
        <v>359</v>
      </c>
      <c r="D175" s="5" t="s">
        <v>348</v>
      </c>
      <c r="E175" s="5">
        <v>42</v>
      </c>
      <c r="F175" s="5" t="s">
        <v>352</v>
      </c>
    </row>
    <row r="176" spans="2:6">
      <c r="B176" s="5" t="s">
        <v>536</v>
      </c>
      <c r="C176" s="5" t="s">
        <v>362</v>
      </c>
      <c r="D176" s="5" t="s">
        <v>357</v>
      </c>
      <c r="E176" s="5">
        <v>55</v>
      </c>
      <c r="F176" s="5" t="s">
        <v>349</v>
      </c>
    </row>
    <row r="177" spans="2:6">
      <c r="B177" s="5" t="s">
        <v>537</v>
      </c>
      <c r="C177" s="5" t="s">
        <v>364</v>
      </c>
      <c r="D177" s="5" t="s">
        <v>348</v>
      </c>
      <c r="E177" s="5">
        <v>68</v>
      </c>
      <c r="F177" s="5" t="s">
        <v>352</v>
      </c>
    </row>
    <row r="178" spans="2:6">
      <c r="B178" s="5" t="s">
        <v>538</v>
      </c>
      <c r="C178" s="5" t="s">
        <v>366</v>
      </c>
      <c r="D178" s="5" t="s">
        <v>357</v>
      </c>
      <c r="E178" s="5">
        <v>81</v>
      </c>
      <c r="F178" s="5" t="s">
        <v>349</v>
      </c>
    </row>
    <row r="179" spans="2:6">
      <c r="B179" s="5" t="s">
        <v>539</v>
      </c>
      <c r="C179" s="5" t="s">
        <v>368</v>
      </c>
      <c r="D179" s="5" t="s">
        <v>348</v>
      </c>
      <c r="E179" s="5">
        <v>94</v>
      </c>
      <c r="F179" s="5" t="s">
        <v>352</v>
      </c>
    </row>
    <row r="180" spans="2:6">
      <c r="B180" s="5" t="s">
        <v>540</v>
      </c>
      <c r="C180" s="5" t="s">
        <v>370</v>
      </c>
      <c r="D180" s="5" t="s">
        <v>357</v>
      </c>
      <c r="E180" s="5">
        <v>17</v>
      </c>
      <c r="F180" s="5" t="s">
        <v>349</v>
      </c>
    </row>
    <row r="181" spans="2:6">
      <c r="B181" s="5" t="s">
        <v>541</v>
      </c>
      <c r="C181" s="5" t="s">
        <v>372</v>
      </c>
      <c r="D181" s="5" t="s">
        <v>357</v>
      </c>
      <c r="E181" s="5">
        <v>30</v>
      </c>
      <c r="F181" s="5" t="s">
        <v>360</v>
      </c>
    </row>
    <row r="182" spans="2:6">
      <c r="B182" s="5" t="s">
        <v>542</v>
      </c>
      <c r="C182" s="5" t="s">
        <v>374</v>
      </c>
      <c r="D182" s="5" t="s">
        <v>348</v>
      </c>
      <c r="E182" s="5">
        <v>43</v>
      </c>
      <c r="F182" s="5" t="s">
        <v>349</v>
      </c>
    </row>
    <row r="183" spans="2:6">
      <c r="B183" s="5" t="s">
        <v>543</v>
      </c>
      <c r="C183" s="5" t="s">
        <v>376</v>
      </c>
      <c r="D183" s="5" t="s">
        <v>348</v>
      </c>
      <c r="E183" s="5">
        <v>56</v>
      </c>
      <c r="F183" s="5" t="s">
        <v>352</v>
      </c>
    </row>
    <row r="184" spans="2:6">
      <c r="B184" s="5" t="s">
        <v>544</v>
      </c>
      <c r="C184" s="5" t="s">
        <v>378</v>
      </c>
      <c r="D184" s="5" t="s">
        <v>348</v>
      </c>
      <c r="E184" s="5">
        <v>69</v>
      </c>
      <c r="F184" s="5" t="s">
        <v>349</v>
      </c>
    </row>
    <row r="185" spans="2:6">
      <c r="B185" s="5" t="s">
        <v>545</v>
      </c>
      <c r="C185" s="5" t="s">
        <v>380</v>
      </c>
      <c r="D185" s="5" t="s">
        <v>348</v>
      </c>
      <c r="E185" s="5">
        <v>82</v>
      </c>
      <c r="F185" s="5" t="s">
        <v>352</v>
      </c>
    </row>
    <row r="186" spans="2:6">
      <c r="B186" s="5" t="s">
        <v>546</v>
      </c>
      <c r="C186" s="5" t="s">
        <v>347</v>
      </c>
      <c r="D186" s="5" t="s">
        <v>348</v>
      </c>
      <c r="E186" s="5">
        <v>5</v>
      </c>
      <c r="F186" s="5" t="s">
        <v>349</v>
      </c>
    </row>
    <row r="187" spans="2:6">
      <c r="B187" s="5" t="s">
        <v>547</v>
      </c>
      <c r="C187" s="5" t="s">
        <v>351</v>
      </c>
      <c r="D187" s="5" t="s">
        <v>348</v>
      </c>
      <c r="E187" s="5">
        <v>18</v>
      </c>
      <c r="F187" s="5" t="s">
        <v>352</v>
      </c>
    </row>
    <row r="188" spans="2:6">
      <c r="B188" s="5" t="s">
        <v>548</v>
      </c>
      <c r="C188" s="5" t="s">
        <v>354</v>
      </c>
      <c r="D188" s="5" t="s">
        <v>348</v>
      </c>
      <c r="E188" s="5">
        <v>31</v>
      </c>
      <c r="F188" s="5" t="s">
        <v>349</v>
      </c>
    </row>
    <row r="189" spans="2:6">
      <c r="B189" s="5" t="s">
        <v>549</v>
      </c>
      <c r="C189" s="5" t="s">
        <v>356</v>
      </c>
      <c r="D189" s="5" t="s">
        <v>357</v>
      </c>
      <c r="E189" s="5">
        <v>44</v>
      </c>
      <c r="F189" s="5" t="s">
        <v>352</v>
      </c>
    </row>
    <row r="190" spans="2:6">
      <c r="B190" s="5" t="s">
        <v>550</v>
      </c>
      <c r="C190" s="5" t="s">
        <v>359</v>
      </c>
      <c r="D190" s="5" t="s">
        <v>348</v>
      </c>
      <c r="E190" s="5">
        <v>57</v>
      </c>
      <c r="F190" s="5" t="s">
        <v>360</v>
      </c>
    </row>
    <row r="191" spans="2:6">
      <c r="B191" s="5" t="s">
        <v>551</v>
      </c>
      <c r="C191" s="5" t="s">
        <v>362</v>
      </c>
      <c r="D191" s="5" t="s">
        <v>357</v>
      </c>
      <c r="E191" s="5">
        <v>70</v>
      </c>
      <c r="F191" s="5" t="s">
        <v>352</v>
      </c>
    </row>
    <row r="192" spans="2:6">
      <c r="B192" s="5" t="s">
        <v>552</v>
      </c>
      <c r="C192" s="5" t="s">
        <v>364</v>
      </c>
      <c r="D192" s="5" t="s">
        <v>348</v>
      </c>
      <c r="E192" s="5">
        <v>83</v>
      </c>
      <c r="F192" s="5" t="s">
        <v>349</v>
      </c>
    </row>
    <row r="193" spans="2:6">
      <c r="B193" s="5" t="s">
        <v>553</v>
      </c>
      <c r="C193" s="5" t="s">
        <v>366</v>
      </c>
      <c r="D193" s="5" t="s">
        <v>357</v>
      </c>
      <c r="E193" s="5">
        <v>6</v>
      </c>
      <c r="F193" s="5" t="s">
        <v>352</v>
      </c>
    </row>
    <row r="194" spans="2:6">
      <c r="B194" s="5" t="s">
        <v>554</v>
      </c>
      <c r="C194" s="5" t="s">
        <v>368</v>
      </c>
      <c r="D194" s="5" t="s">
        <v>348</v>
      </c>
      <c r="E194" s="5">
        <v>19</v>
      </c>
      <c r="F194" s="5" t="s">
        <v>349</v>
      </c>
    </row>
    <row r="195" spans="2:6">
      <c r="B195" s="5" t="s">
        <v>555</v>
      </c>
      <c r="C195" s="5" t="s">
        <v>370</v>
      </c>
      <c r="D195" s="5" t="s">
        <v>357</v>
      </c>
      <c r="E195" s="5">
        <v>32</v>
      </c>
      <c r="F195" s="5" t="s">
        <v>352</v>
      </c>
    </row>
    <row r="196" spans="2:6">
      <c r="B196" s="5" t="s">
        <v>556</v>
      </c>
      <c r="C196" s="5" t="s">
        <v>372</v>
      </c>
      <c r="D196" s="5" t="s">
        <v>357</v>
      </c>
      <c r="E196" s="5">
        <v>45</v>
      </c>
      <c r="F196" s="5" t="s">
        <v>349</v>
      </c>
    </row>
    <row r="197" spans="2:6">
      <c r="B197" s="5" t="s">
        <v>557</v>
      </c>
      <c r="C197" s="5" t="s">
        <v>374</v>
      </c>
      <c r="D197" s="5" t="s">
        <v>348</v>
      </c>
      <c r="E197" s="5">
        <v>58</v>
      </c>
      <c r="F197" s="5" t="s">
        <v>352</v>
      </c>
    </row>
    <row r="198" spans="2:6">
      <c r="B198" s="5" t="s">
        <v>558</v>
      </c>
      <c r="C198" s="5" t="s">
        <v>376</v>
      </c>
      <c r="D198" s="5" t="s">
        <v>348</v>
      </c>
      <c r="E198" s="5">
        <v>71</v>
      </c>
      <c r="F198" s="5" t="s">
        <v>349</v>
      </c>
    </row>
    <row r="199" spans="2:6">
      <c r="B199" s="5" t="s">
        <v>559</v>
      </c>
      <c r="C199" s="5" t="s">
        <v>378</v>
      </c>
      <c r="D199" s="5" t="s">
        <v>348</v>
      </c>
      <c r="E199" s="5">
        <v>84</v>
      </c>
      <c r="F199" s="5" t="s">
        <v>360</v>
      </c>
    </row>
    <row r="200" spans="2:6">
      <c r="B200" s="5" t="s">
        <v>560</v>
      </c>
      <c r="C200" s="5" t="s">
        <v>380</v>
      </c>
      <c r="D200" s="5" t="s">
        <v>348</v>
      </c>
      <c r="E200" s="5">
        <v>7</v>
      </c>
      <c r="F200" s="5" t="s">
        <v>349</v>
      </c>
    </row>
    <row r="201" spans="2:6">
      <c r="B201" s="5" t="s">
        <v>561</v>
      </c>
      <c r="C201" s="5" t="s">
        <v>347</v>
      </c>
      <c r="D201" s="5" t="s">
        <v>348</v>
      </c>
      <c r="E201" s="5">
        <v>20</v>
      </c>
      <c r="F201" s="5" t="s">
        <v>352</v>
      </c>
    </row>
    <row r="202" spans="2:6">
      <c r="B202" s="5" t="s">
        <v>562</v>
      </c>
      <c r="C202" s="5" t="s">
        <v>351</v>
      </c>
      <c r="D202" s="5" t="s">
        <v>348</v>
      </c>
      <c r="E202" s="5">
        <v>33</v>
      </c>
      <c r="F202" s="5" t="s">
        <v>349</v>
      </c>
    </row>
    <row r="203" spans="2:6">
      <c r="B203" s="5" t="s">
        <v>563</v>
      </c>
      <c r="C203" s="5" t="s">
        <v>354</v>
      </c>
      <c r="D203" s="5" t="s">
        <v>348</v>
      </c>
      <c r="E203" s="5">
        <v>46</v>
      </c>
      <c r="F203" s="5" t="s">
        <v>352</v>
      </c>
    </row>
    <row r="204" spans="2:6">
      <c r="B204" s="5" t="s">
        <v>564</v>
      </c>
      <c r="C204" s="5" t="s">
        <v>356</v>
      </c>
      <c r="D204" s="5" t="s">
        <v>357</v>
      </c>
      <c r="E204" s="5">
        <v>59</v>
      </c>
      <c r="F204" s="5" t="s">
        <v>349</v>
      </c>
    </row>
    <row r="205" spans="2:6">
      <c r="B205" s="5" t="s">
        <v>565</v>
      </c>
      <c r="C205" s="5" t="s">
        <v>359</v>
      </c>
      <c r="D205" s="5" t="s">
        <v>348</v>
      </c>
      <c r="E205" s="5">
        <v>72</v>
      </c>
      <c r="F205" s="5" t="s">
        <v>352</v>
      </c>
    </row>
    <row r="206" spans="2:6">
      <c r="B206" s="5" t="s">
        <v>566</v>
      </c>
      <c r="C206" s="5" t="s">
        <v>567</v>
      </c>
      <c r="D206" s="5" t="s">
        <v>348</v>
      </c>
      <c r="E206" s="5">
        <v>85</v>
      </c>
      <c r="F206" s="5" t="s">
        <v>349</v>
      </c>
    </row>
    <row r="207" spans="2:6">
      <c r="B207" s="5" t="s">
        <v>568</v>
      </c>
      <c r="C207" s="5" t="s">
        <v>364</v>
      </c>
      <c r="D207" s="5" t="s">
        <v>348</v>
      </c>
      <c r="E207" s="5">
        <v>8</v>
      </c>
      <c r="F207" s="5" t="s">
        <v>352</v>
      </c>
    </row>
    <row r="208" spans="2:6">
      <c r="B208" s="5" t="s">
        <v>569</v>
      </c>
      <c r="C208" s="5" t="s">
        <v>366</v>
      </c>
      <c r="D208" s="5" t="s">
        <v>357</v>
      </c>
      <c r="E208" s="5">
        <v>21</v>
      </c>
      <c r="F208" s="5" t="s">
        <v>360</v>
      </c>
    </row>
    <row r="209" spans="2:6">
      <c r="B209" s="5" t="s">
        <v>570</v>
      </c>
      <c r="C209" s="5" t="s">
        <v>368</v>
      </c>
      <c r="D209" s="5" t="s">
        <v>348</v>
      </c>
      <c r="E209" s="5">
        <v>34</v>
      </c>
      <c r="F209" s="5" t="s">
        <v>352</v>
      </c>
    </row>
    <row r="210" spans="2:6">
      <c r="B210" s="5" t="s">
        <v>571</v>
      </c>
      <c r="C210" s="5" t="s">
        <v>370</v>
      </c>
      <c r="D210" s="5" t="s">
        <v>357</v>
      </c>
      <c r="E210" s="5">
        <v>47</v>
      </c>
      <c r="F210" s="5" t="s">
        <v>349</v>
      </c>
    </row>
    <row r="211" spans="2:6">
      <c r="B211" s="5" t="s">
        <v>572</v>
      </c>
      <c r="C211" s="5" t="s">
        <v>372</v>
      </c>
      <c r="D211" s="5" t="s">
        <v>357</v>
      </c>
      <c r="E211" s="5">
        <v>60</v>
      </c>
      <c r="F211" s="5" t="s">
        <v>352</v>
      </c>
    </row>
    <row r="212" spans="2:6">
      <c r="B212" s="5" t="s">
        <v>573</v>
      </c>
      <c r="C212" s="5" t="s">
        <v>374</v>
      </c>
      <c r="D212" s="5" t="s">
        <v>348</v>
      </c>
      <c r="E212" s="5">
        <v>73</v>
      </c>
      <c r="F212" s="5" t="s">
        <v>349</v>
      </c>
    </row>
    <row r="213" spans="2:6">
      <c r="B213" s="5" t="s">
        <v>574</v>
      </c>
      <c r="C213" s="5" t="s">
        <v>376</v>
      </c>
      <c r="D213" s="5" t="s">
        <v>348</v>
      </c>
      <c r="E213" s="5">
        <v>86</v>
      </c>
      <c r="F213" s="5" t="s">
        <v>352</v>
      </c>
    </row>
    <row r="214" spans="2:6">
      <c r="B214" s="5" t="s">
        <v>575</v>
      </c>
      <c r="C214" s="5" t="s">
        <v>378</v>
      </c>
      <c r="D214" s="5" t="s">
        <v>348</v>
      </c>
      <c r="E214" s="5">
        <v>9</v>
      </c>
      <c r="F214" s="5" t="s">
        <v>349</v>
      </c>
    </row>
    <row r="215" spans="2:6">
      <c r="B215" s="5" t="s">
        <v>576</v>
      </c>
      <c r="C215" s="5" t="s">
        <v>380</v>
      </c>
      <c r="D215" s="5" t="s">
        <v>348</v>
      </c>
      <c r="E215" s="5">
        <v>22</v>
      </c>
      <c r="F215" s="5" t="s">
        <v>352</v>
      </c>
    </row>
    <row r="216" spans="2:6">
      <c r="B216" s="5" t="s">
        <v>577</v>
      </c>
      <c r="C216" s="5" t="s">
        <v>347</v>
      </c>
      <c r="D216" s="5" t="s">
        <v>348</v>
      </c>
      <c r="E216" s="5">
        <v>35</v>
      </c>
      <c r="F216" s="5" t="s">
        <v>349</v>
      </c>
    </row>
    <row r="217" spans="2:6">
      <c r="B217" s="5" t="s">
        <v>578</v>
      </c>
      <c r="C217" s="5" t="s">
        <v>351</v>
      </c>
      <c r="D217" s="5" t="s">
        <v>348</v>
      </c>
      <c r="E217" s="5">
        <v>48</v>
      </c>
      <c r="F217" s="5" t="s">
        <v>360</v>
      </c>
    </row>
    <row r="218" spans="2:6">
      <c r="B218" s="5" t="s">
        <v>579</v>
      </c>
      <c r="C218" s="5" t="s">
        <v>354</v>
      </c>
      <c r="D218" s="5" t="s">
        <v>348</v>
      </c>
      <c r="E218" s="5">
        <v>61</v>
      </c>
      <c r="F218" s="5" t="s">
        <v>349</v>
      </c>
    </row>
    <row r="219" spans="2:6">
      <c r="B219" s="5" t="s">
        <v>580</v>
      </c>
      <c r="C219" s="5" t="s">
        <v>356</v>
      </c>
      <c r="D219" s="5" t="s">
        <v>357</v>
      </c>
      <c r="E219" s="5">
        <v>74</v>
      </c>
      <c r="F219" s="5" t="s">
        <v>352</v>
      </c>
    </row>
    <row r="220" spans="2:6">
      <c r="B220" s="5" t="s">
        <v>581</v>
      </c>
      <c r="C220" s="5" t="s">
        <v>359</v>
      </c>
      <c r="D220" s="5" t="s">
        <v>348</v>
      </c>
      <c r="E220" s="5">
        <v>87</v>
      </c>
      <c r="F220" s="5" t="s">
        <v>349</v>
      </c>
    </row>
    <row r="221" spans="2:6">
      <c r="B221" s="5" t="s">
        <v>582</v>
      </c>
      <c r="C221" s="5" t="s">
        <v>362</v>
      </c>
      <c r="D221" s="5" t="s">
        <v>357</v>
      </c>
      <c r="E221" s="5">
        <v>10</v>
      </c>
      <c r="F221" s="5" t="s">
        <v>352</v>
      </c>
    </row>
    <row r="222" spans="2:6">
      <c r="B222" s="5" t="s">
        <v>583</v>
      </c>
      <c r="C222" s="5" t="s">
        <v>364</v>
      </c>
      <c r="D222" s="5" t="s">
        <v>348</v>
      </c>
      <c r="E222" s="5">
        <v>23</v>
      </c>
      <c r="F222" s="5" t="s">
        <v>349</v>
      </c>
    </row>
    <row r="223" spans="2:6">
      <c r="B223" s="5" t="s">
        <v>584</v>
      </c>
      <c r="C223" s="5" t="s">
        <v>366</v>
      </c>
      <c r="D223" s="5" t="s">
        <v>357</v>
      </c>
      <c r="E223" s="5">
        <v>36</v>
      </c>
      <c r="F223" s="5" t="s">
        <v>352</v>
      </c>
    </row>
    <row r="224" spans="2:6">
      <c r="B224" s="5" t="s">
        <v>585</v>
      </c>
      <c r="C224" s="5" t="s">
        <v>368</v>
      </c>
      <c r="D224" s="5" t="s">
        <v>348</v>
      </c>
      <c r="E224" s="5">
        <v>49</v>
      </c>
      <c r="F224" s="5" t="s">
        <v>349</v>
      </c>
    </row>
    <row r="225" spans="2:6">
      <c r="B225" s="5" t="s">
        <v>586</v>
      </c>
      <c r="C225" s="5" t="s">
        <v>370</v>
      </c>
      <c r="D225" s="5" t="s">
        <v>357</v>
      </c>
      <c r="E225" s="5">
        <v>62</v>
      </c>
      <c r="F225" s="5" t="s">
        <v>352</v>
      </c>
    </row>
    <row r="226" spans="2:6">
      <c r="B226" s="5" t="s">
        <v>587</v>
      </c>
      <c r="C226" s="5" t="s">
        <v>372</v>
      </c>
      <c r="D226" s="5" t="s">
        <v>357</v>
      </c>
      <c r="E226" s="5">
        <v>75</v>
      </c>
      <c r="F226" s="5" t="s">
        <v>360</v>
      </c>
    </row>
    <row r="227" spans="2:6">
      <c r="B227" s="5" t="s">
        <v>588</v>
      </c>
      <c r="C227" s="5" t="s">
        <v>374</v>
      </c>
      <c r="D227" s="5" t="s">
        <v>348</v>
      </c>
      <c r="E227" s="5">
        <v>88</v>
      </c>
      <c r="F227" s="5" t="s">
        <v>352</v>
      </c>
    </row>
    <row r="228" spans="2:6">
      <c r="B228" s="5" t="s">
        <v>589</v>
      </c>
      <c r="C228" s="5" t="s">
        <v>376</v>
      </c>
      <c r="D228" s="5" t="s">
        <v>348</v>
      </c>
      <c r="E228" s="5">
        <v>11</v>
      </c>
      <c r="F228" s="5" t="s">
        <v>349</v>
      </c>
    </row>
    <row r="229" spans="2:6">
      <c r="B229" s="5" t="s">
        <v>590</v>
      </c>
      <c r="C229" s="5" t="s">
        <v>378</v>
      </c>
      <c r="D229" s="5" t="s">
        <v>348</v>
      </c>
      <c r="E229" s="5">
        <v>24</v>
      </c>
      <c r="F229" s="5" t="s">
        <v>352</v>
      </c>
    </row>
    <row r="230" spans="2:6">
      <c r="B230" s="5" t="s">
        <v>591</v>
      </c>
      <c r="C230" s="5" t="s">
        <v>380</v>
      </c>
      <c r="D230" s="5" t="s">
        <v>348</v>
      </c>
      <c r="E230" s="5">
        <v>37</v>
      </c>
      <c r="F230" s="5" t="s">
        <v>349</v>
      </c>
    </row>
    <row r="231" spans="2:6">
      <c r="B231" s="5" t="s">
        <v>592</v>
      </c>
      <c r="C231" s="5" t="s">
        <v>347</v>
      </c>
      <c r="D231" s="5" t="s">
        <v>348</v>
      </c>
      <c r="E231" s="5">
        <v>50</v>
      </c>
      <c r="F231" s="5" t="s">
        <v>352</v>
      </c>
    </row>
    <row r="232" spans="2:6">
      <c r="B232" s="5" t="s">
        <v>593</v>
      </c>
      <c r="C232" s="5" t="s">
        <v>351</v>
      </c>
      <c r="D232" s="5" t="s">
        <v>348</v>
      </c>
      <c r="E232" s="5">
        <v>63</v>
      </c>
      <c r="F232" s="5" t="s">
        <v>349</v>
      </c>
    </row>
    <row r="233" spans="2:6">
      <c r="B233" s="5" t="s">
        <v>594</v>
      </c>
      <c r="C233" s="5" t="s">
        <v>354</v>
      </c>
      <c r="D233" s="5" t="s">
        <v>348</v>
      </c>
      <c r="E233" s="5">
        <v>76</v>
      </c>
      <c r="F233" s="5" t="s">
        <v>352</v>
      </c>
    </row>
    <row r="234" spans="2:6">
      <c r="B234" s="5" t="s">
        <v>595</v>
      </c>
      <c r="C234" s="5" t="s">
        <v>356</v>
      </c>
      <c r="D234" s="5" t="s">
        <v>357</v>
      </c>
      <c r="E234" s="5">
        <v>89</v>
      </c>
      <c r="F234" s="5" t="s">
        <v>349</v>
      </c>
    </row>
    <row r="235" spans="2:6">
      <c r="B235" s="5" t="s">
        <v>596</v>
      </c>
      <c r="C235" s="5" t="s">
        <v>359</v>
      </c>
      <c r="D235" s="5" t="s">
        <v>348</v>
      </c>
      <c r="E235" s="5">
        <v>12</v>
      </c>
      <c r="F235" s="5" t="s">
        <v>360</v>
      </c>
    </row>
    <row r="236" spans="2:6">
      <c r="B236" s="5" t="s">
        <v>597</v>
      </c>
      <c r="C236" s="5" t="s">
        <v>362</v>
      </c>
      <c r="D236" s="5" t="s">
        <v>357</v>
      </c>
      <c r="E236" s="5">
        <v>25</v>
      </c>
      <c r="F236" s="5" t="s">
        <v>349</v>
      </c>
    </row>
    <row r="237" spans="2:6">
      <c r="B237" s="5" t="s">
        <v>598</v>
      </c>
      <c r="C237" s="5" t="s">
        <v>364</v>
      </c>
      <c r="D237" s="5" t="s">
        <v>348</v>
      </c>
      <c r="E237" s="5">
        <v>38</v>
      </c>
      <c r="F237" s="5" t="s">
        <v>352</v>
      </c>
    </row>
    <row r="238" spans="2:6">
      <c r="B238" s="5" t="s">
        <v>599</v>
      </c>
      <c r="C238" s="5" t="s">
        <v>366</v>
      </c>
      <c r="D238" s="5" t="s">
        <v>357</v>
      </c>
      <c r="E238" s="5">
        <v>51</v>
      </c>
      <c r="F238" s="5" t="s">
        <v>349</v>
      </c>
    </row>
    <row r="239" spans="2:6">
      <c r="B239" s="5" t="s">
        <v>600</v>
      </c>
      <c r="C239" s="5" t="s">
        <v>368</v>
      </c>
      <c r="D239" s="5" t="s">
        <v>348</v>
      </c>
      <c r="E239" s="5">
        <v>64</v>
      </c>
      <c r="F239" s="5" t="s">
        <v>352</v>
      </c>
    </row>
    <row r="240" spans="2:6">
      <c r="B240" s="5" t="s">
        <v>601</v>
      </c>
      <c r="C240" s="5" t="s">
        <v>370</v>
      </c>
      <c r="D240" s="5" t="s">
        <v>357</v>
      </c>
      <c r="E240" s="5">
        <v>77</v>
      </c>
      <c r="F240" s="5" t="s">
        <v>349</v>
      </c>
    </row>
    <row r="241" spans="2:6">
      <c r="B241" s="5" t="s">
        <v>602</v>
      </c>
      <c r="C241" s="5" t="s">
        <v>372</v>
      </c>
      <c r="D241" s="5" t="s">
        <v>357</v>
      </c>
      <c r="E241" s="5">
        <v>90</v>
      </c>
      <c r="F241" s="5" t="s">
        <v>352</v>
      </c>
    </row>
    <row r="242" spans="2:6">
      <c r="B242" s="5" t="s">
        <v>603</v>
      </c>
      <c r="C242" s="5" t="s">
        <v>374</v>
      </c>
      <c r="D242" s="5" t="s">
        <v>348</v>
      </c>
      <c r="E242" s="5">
        <v>13</v>
      </c>
      <c r="F242" s="5" t="s">
        <v>349</v>
      </c>
    </row>
    <row r="243" spans="2:6">
      <c r="B243" s="5" t="s">
        <v>604</v>
      </c>
      <c r="C243" s="5" t="s">
        <v>376</v>
      </c>
      <c r="D243" s="5" t="s">
        <v>348</v>
      </c>
      <c r="E243" s="5">
        <v>26</v>
      </c>
      <c r="F243" s="5" t="s">
        <v>352</v>
      </c>
    </row>
    <row r="244" spans="2:6">
      <c r="B244" s="5" t="s">
        <v>605</v>
      </c>
      <c r="C244" s="5" t="s">
        <v>378</v>
      </c>
      <c r="D244" s="5" t="s">
        <v>348</v>
      </c>
      <c r="E244" s="5">
        <v>39</v>
      </c>
      <c r="F244" s="5" t="s">
        <v>360</v>
      </c>
    </row>
    <row r="245" spans="2:6">
      <c r="B245" s="5" t="s">
        <v>606</v>
      </c>
      <c r="C245" s="5" t="s">
        <v>380</v>
      </c>
      <c r="D245" s="5" t="s">
        <v>348</v>
      </c>
      <c r="E245" s="5">
        <v>52</v>
      </c>
      <c r="F245" s="5" t="s">
        <v>352</v>
      </c>
    </row>
    <row r="246" spans="2:6">
      <c r="B246" s="5" t="s">
        <v>607</v>
      </c>
      <c r="C246" s="5" t="s">
        <v>347</v>
      </c>
      <c r="D246" s="5" t="s">
        <v>348</v>
      </c>
      <c r="E246" s="5">
        <v>65</v>
      </c>
      <c r="F246" s="5" t="s">
        <v>349</v>
      </c>
    </row>
    <row r="247" spans="2:6">
      <c r="B247" s="5" t="s">
        <v>608</v>
      </c>
      <c r="C247" s="5" t="s">
        <v>351</v>
      </c>
      <c r="D247" s="5" t="s">
        <v>348</v>
      </c>
      <c r="E247" s="5">
        <v>78</v>
      </c>
      <c r="F247" s="5" t="s">
        <v>352</v>
      </c>
    </row>
    <row r="248" spans="2:6">
      <c r="B248" s="5" t="s">
        <v>609</v>
      </c>
      <c r="C248" s="5" t="s">
        <v>354</v>
      </c>
      <c r="D248" s="5" t="s">
        <v>348</v>
      </c>
      <c r="E248" s="5">
        <v>91</v>
      </c>
      <c r="F248" s="5" t="s">
        <v>349</v>
      </c>
    </row>
    <row r="249" spans="2:6">
      <c r="B249" s="5" t="s">
        <v>610</v>
      </c>
      <c r="C249" s="5" t="s">
        <v>356</v>
      </c>
      <c r="D249" s="5" t="s">
        <v>357</v>
      </c>
      <c r="E249" s="5">
        <v>14</v>
      </c>
      <c r="F249" s="5" t="s">
        <v>352</v>
      </c>
    </row>
    <row r="250" spans="2:6">
      <c r="B250" s="5" t="s">
        <v>611</v>
      </c>
      <c r="C250" s="5" t="s">
        <v>359</v>
      </c>
      <c r="D250" s="5" t="s">
        <v>348</v>
      </c>
      <c r="E250" s="5">
        <v>27</v>
      </c>
      <c r="F250" s="5" t="s">
        <v>349</v>
      </c>
    </row>
    <row r="251" spans="2:6">
      <c r="B251" s="5" t="s">
        <v>612</v>
      </c>
      <c r="C251" s="5" t="s">
        <v>362</v>
      </c>
      <c r="D251" s="5" t="s">
        <v>357</v>
      </c>
      <c r="E251" s="5">
        <v>40</v>
      </c>
      <c r="F251" s="5" t="s">
        <v>352</v>
      </c>
    </row>
    <row r="252" spans="2:6">
      <c r="B252" s="5" t="s">
        <v>613</v>
      </c>
      <c r="C252" s="5" t="s">
        <v>364</v>
      </c>
      <c r="D252" s="5" t="s">
        <v>348</v>
      </c>
      <c r="E252" s="5">
        <v>53</v>
      </c>
      <c r="F252" s="5" t="s">
        <v>349</v>
      </c>
    </row>
    <row r="253" spans="2:6">
      <c r="B253" s="5" t="s">
        <v>614</v>
      </c>
      <c r="C253" s="5" t="s">
        <v>366</v>
      </c>
      <c r="D253" s="5" t="s">
        <v>357</v>
      </c>
      <c r="E253" s="5">
        <v>66</v>
      </c>
      <c r="F253" s="5" t="s">
        <v>360</v>
      </c>
    </row>
    <row r="254" spans="2:6">
      <c r="B254" s="5" t="s">
        <v>615</v>
      </c>
      <c r="C254" s="5" t="s">
        <v>368</v>
      </c>
      <c r="D254" s="5" t="s">
        <v>348</v>
      </c>
      <c r="E254" s="5">
        <v>79</v>
      </c>
      <c r="F254" s="5" t="s">
        <v>349</v>
      </c>
    </row>
    <row r="255" spans="2:6">
      <c r="B255" s="5" t="s">
        <v>616</v>
      </c>
      <c r="C255" s="5" t="s">
        <v>370</v>
      </c>
      <c r="D255" s="5" t="s">
        <v>357</v>
      </c>
      <c r="E255" s="5">
        <v>92</v>
      </c>
      <c r="F255" s="5" t="s">
        <v>352</v>
      </c>
    </row>
    <row r="256" spans="2:6">
      <c r="B256" s="5" t="s">
        <v>617</v>
      </c>
      <c r="C256" s="5" t="s">
        <v>372</v>
      </c>
      <c r="D256" s="5" t="s">
        <v>357</v>
      </c>
      <c r="E256" s="5">
        <v>15</v>
      </c>
      <c r="F256" s="5" t="s">
        <v>349</v>
      </c>
    </row>
    <row r="257" spans="2:6">
      <c r="B257" s="5" t="s">
        <v>618</v>
      </c>
      <c r="C257" s="5" t="s">
        <v>374</v>
      </c>
      <c r="D257" s="5" t="s">
        <v>348</v>
      </c>
      <c r="E257" s="5">
        <v>28</v>
      </c>
      <c r="F257" s="5" t="s">
        <v>352</v>
      </c>
    </row>
    <row r="258" spans="2:6">
      <c r="B258" s="5" t="s">
        <v>619</v>
      </c>
      <c r="C258" s="5" t="s">
        <v>376</v>
      </c>
      <c r="D258" s="5" t="s">
        <v>348</v>
      </c>
      <c r="E258" s="5">
        <v>41</v>
      </c>
      <c r="F258" s="5" t="s">
        <v>349</v>
      </c>
    </row>
    <row r="259" spans="2:6">
      <c r="B259" s="5" t="s">
        <v>620</v>
      </c>
      <c r="C259" s="5" t="s">
        <v>378</v>
      </c>
      <c r="D259" s="5" t="s">
        <v>348</v>
      </c>
      <c r="E259" s="5">
        <v>54</v>
      </c>
      <c r="F259" s="5" t="s">
        <v>352</v>
      </c>
    </row>
    <row r="260" spans="2:6">
      <c r="B260" s="5" t="s">
        <v>621</v>
      </c>
      <c r="C260" s="5" t="s">
        <v>380</v>
      </c>
      <c r="D260" s="5" t="s">
        <v>348</v>
      </c>
      <c r="E260" s="5">
        <v>67</v>
      </c>
      <c r="F260" s="5" t="s">
        <v>349</v>
      </c>
    </row>
    <row r="261" spans="2:6">
      <c r="B261" s="5" t="s">
        <v>622</v>
      </c>
      <c r="C261" s="5" t="s">
        <v>347</v>
      </c>
      <c r="D261" s="5" t="s">
        <v>348</v>
      </c>
      <c r="E261" s="5">
        <v>80</v>
      </c>
      <c r="F261" s="5" t="s">
        <v>352</v>
      </c>
    </row>
    <row r="262" spans="2:6">
      <c r="B262" s="5" t="s">
        <v>623</v>
      </c>
      <c r="C262" s="5" t="s">
        <v>351</v>
      </c>
      <c r="D262" s="5" t="s">
        <v>348</v>
      </c>
      <c r="E262" s="5">
        <v>93</v>
      </c>
      <c r="F262" s="5" t="s">
        <v>360</v>
      </c>
    </row>
    <row r="263" spans="2:6">
      <c r="B263" s="5" t="s">
        <v>624</v>
      </c>
      <c r="C263" s="5" t="s">
        <v>354</v>
      </c>
      <c r="D263" s="5" t="s">
        <v>348</v>
      </c>
      <c r="E263" s="5">
        <v>16</v>
      </c>
      <c r="F263" s="5" t="s">
        <v>352</v>
      </c>
    </row>
    <row r="264" spans="2:6">
      <c r="B264" s="5" t="s">
        <v>625</v>
      </c>
      <c r="C264" s="5" t="s">
        <v>356</v>
      </c>
      <c r="D264" s="5" t="s">
        <v>357</v>
      </c>
      <c r="E264" s="5">
        <v>29</v>
      </c>
      <c r="F264" s="5" t="s">
        <v>349</v>
      </c>
    </row>
    <row r="265" spans="2:6">
      <c r="B265" s="5" t="s">
        <v>626</v>
      </c>
      <c r="C265" s="5" t="s">
        <v>359</v>
      </c>
      <c r="D265" s="5" t="s">
        <v>348</v>
      </c>
      <c r="E265" s="5">
        <v>42</v>
      </c>
      <c r="F265" s="5" t="s">
        <v>352</v>
      </c>
    </row>
    <row r="266" spans="2:6">
      <c r="B266" s="5" t="s">
        <v>627</v>
      </c>
      <c r="C266" s="5" t="s">
        <v>362</v>
      </c>
      <c r="D266" s="5" t="s">
        <v>357</v>
      </c>
      <c r="E266" s="5">
        <v>55</v>
      </c>
      <c r="F266" s="5" t="s">
        <v>349</v>
      </c>
    </row>
    <row r="267" spans="2:6">
      <c r="B267" s="5" t="s">
        <v>628</v>
      </c>
      <c r="C267" s="5" t="s">
        <v>364</v>
      </c>
      <c r="D267" s="5" t="s">
        <v>348</v>
      </c>
      <c r="E267" s="5">
        <v>68</v>
      </c>
      <c r="F267" s="5" t="s">
        <v>352</v>
      </c>
    </row>
    <row r="268" spans="2:6">
      <c r="B268" s="5" t="s">
        <v>629</v>
      </c>
      <c r="C268" s="5" t="s">
        <v>366</v>
      </c>
      <c r="D268" s="5" t="s">
        <v>357</v>
      </c>
      <c r="E268" s="5">
        <v>81</v>
      </c>
      <c r="F268" s="5" t="s">
        <v>349</v>
      </c>
    </row>
    <row r="269" spans="2:6">
      <c r="B269" s="5" t="s">
        <v>630</v>
      </c>
      <c r="C269" s="5" t="s">
        <v>368</v>
      </c>
      <c r="D269" s="5" t="s">
        <v>348</v>
      </c>
      <c r="E269" s="5">
        <v>94</v>
      </c>
      <c r="F269" s="5" t="s">
        <v>352</v>
      </c>
    </row>
    <row r="270" spans="2:6">
      <c r="B270" s="5" t="s">
        <v>631</v>
      </c>
      <c r="C270" s="5" t="s">
        <v>370</v>
      </c>
      <c r="D270" s="5" t="s">
        <v>357</v>
      </c>
      <c r="E270" s="5">
        <v>17</v>
      </c>
      <c r="F270" s="5" t="s">
        <v>349</v>
      </c>
    </row>
    <row r="271" spans="2:6">
      <c r="B271" s="5" t="s">
        <v>632</v>
      </c>
      <c r="C271" s="5" t="s">
        <v>372</v>
      </c>
      <c r="D271" s="5" t="s">
        <v>357</v>
      </c>
      <c r="E271" s="5">
        <v>30</v>
      </c>
      <c r="F271" s="5" t="s">
        <v>360</v>
      </c>
    </row>
    <row r="272" spans="2:6">
      <c r="B272" s="5" t="s">
        <v>633</v>
      </c>
      <c r="C272" s="5" t="s">
        <v>374</v>
      </c>
      <c r="D272" s="5" t="s">
        <v>348</v>
      </c>
      <c r="E272" s="5">
        <v>43</v>
      </c>
      <c r="F272" s="5" t="s">
        <v>349</v>
      </c>
    </row>
    <row r="273" spans="2:6">
      <c r="B273" s="5" t="s">
        <v>634</v>
      </c>
      <c r="C273" s="5" t="s">
        <v>376</v>
      </c>
      <c r="D273" s="5" t="s">
        <v>348</v>
      </c>
      <c r="E273" s="5">
        <v>56</v>
      </c>
      <c r="F273" s="5" t="s">
        <v>352</v>
      </c>
    </row>
    <row r="274" spans="2:6">
      <c r="B274" s="5" t="s">
        <v>635</v>
      </c>
      <c r="C274" s="5" t="s">
        <v>378</v>
      </c>
      <c r="D274" s="5" t="s">
        <v>348</v>
      </c>
      <c r="E274" s="5">
        <v>69</v>
      </c>
      <c r="F274" s="5" t="s">
        <v>349</v>
      </c>
    </row>
    <row r="275" spans="2:6">
      <c r="B275" s="5" t="s">
        <v>636</v>
      </c>
      <c r="C275" s="5" t="s">
        <v>380</v>
      </c>
      <c r="D275" s="5" t="s">
        <v>348</v>
      </c>
      <c r="E275" s="5">
        <v>82</v>
      </c>
      <c r="F275" s="5" t="s">
        <v>352</v>
      </c>
    </row>
    <row r="276" spans="2:6">
      <c r="B276" s="5" t="s">
        <v>637</v>
      </c>
      <c r="C276" s="5" t="s">
        <v>347</v>
      </c>
      <c r="D276" s="5" t="s">
        <v>348</v>
      </c>
      <c r="E276" s="5">
        <v>5</v>
      </c>
      <c r="F276" s="5" t="s">
        <v>349</v>
      </c>
    </row>
    <row r="277" spans="2:6">
      <c r="B277" s="5" t="s">
        <v>638</v>
      </c>
      <c r="C277" s="5" t="s">
        <v>351</v>
      </c>
      <c r="D277" s="5" t="s">
        <v>348</v>
      </c>
      <c r="E277" s="5">
        <v>18</v>
      </c>
      <c r="F277" s="5" t="s">
        <v>352</v>
      </c>
    </row>
    <row r="278" spans="2:6">
      <c r="B278" s="5" t="s">
        <v>639</v>
      </c>
      <c r="C278" s="5" t="s">
        <v>354</v>
      </c>
      <c r="D278" s="5" t="s">
        <v>348</v>
      </c>
      <c r="E278" s="5">
        <v>31</v>
      </c>
      <c r="F278" s="5" t="s">
        <v>349</v>
      </c>
    </row>
    <row r="279" spans="2:6">
      <c r="B279" s="5" t="s">
        <v>640</v>
      </c>
      <c r="C279" s="5" t="s">
        <v>356</v>
      </c>
      <c r="D279" s="5" t="s">
        <v>357</v>
      </c>
      <c r="E279" s="5">
        <v>44</v>
      </c>
      <c r="F279" s="5" t="s">
        <v>352</v>
      </c>
    </row>
    <row r="280" spans="2:6">
      <c r="B280" s="5" t="s">
        <v>641</v>
      </c>
      <c r="C280" s="5" t="s">
        <v>359</v>
      </c>
      <c r="D280" s="5" t="s">
        <v>348</v>
      </c>
      <c r="E280" s="5">
        <v>57</v>
      </c>
      <c r="F280" s="5" t="s">
        <v>360</v>
      </c>
    </row>
    <row r="281" spans="2:6">
      <c r="B281" s="5" t="s">
        <v>642</v>
      </c>
      <c r="C281" s="5" t="s">
        <v>362</v>
      </c>
      <c r="D281" s="5" t="s">
        <v>357</v>
      </c>
      <c r="E281" s="5">
        <v>70</v>
      </c>
      <c r="F281" s="5" t="s">
        <v>352</v>
      </c>
    </row>
    <row r="282" spans="2:6">
      <c r="B282" s="5" t="s">
        <v>643</v>
      </c>
      <c r="C282" s="5" t="s">
        <v>364</v>
      </c>
      <c r="D282" s="5" t="s">
        <v>348</v>
      </c>
      <c r="E282" s="5">
        <v>83</v>
      </c>
      <c r="F282" s="5" t="s">
        <v>349</v>
      </c>
    </row>
    <row r="283" spans="2:6">
      <c r="B283" s="5" t="s">
        <v>644</v>
      </c>
      <c r="C283" s="5" t="s">
        <v>366</v>
      </c>
      <c r="D283" s="5" t="s">
        <v>357</v>
      </c>
      <c r="E283" s="5">
        <v>6</v>
      </c>
      <c r="F283" s="5" t="s">
        <v>352</v>
      </c>
    </row>
    <row r="284" spans="2:6">
      <c r="B284" s="5" t="s">
        <v>645</v>
      </c>
      <c r="C284" s="5" t="s">
        <v>368</v>
      </c>
      <c r="D284" s="5" t="s">
        <v>348</v>
      </c>
      <c r="E284" s="5">
        <v>19</v>
      </c>
      <c r="F284" s="5" t="s">
        <v>349</v>
      </c>
    </row>
    <row r="285" spans="2:6">
      <c r="B285" s="5" t="s">
        <v>646</v>
      </c>
      <c r="C285" s="5" t="s">
        <v>370</v>
      </c>
      <c r="D285" s="5" t="s">
        <v>357</v>
      </c>
      <c r="E285" s="5">
        <v>32</v>
      </c>
      <c r="F285" s="5" t="s">
        <v>352</v>
      </c>
    </row>
    <row r="286" spans="2:6">
      <c r="B286" s="5" t="s">
        <v>647</v>
      </c>
      <c r="C286" s="5" t="s">
        <v>372</v>
      </c>
      <c r="D286" s="5" t="s">
        <v>357</v>
      </c>
      <c r="E286" s="5">
        <v>45</v>
      </c>
      <c r="F286" s="5" t="s">
        <v>349</v>
      </c>
    </row>
    <row r="287" spans="2:6">
      <c r="B287" s="5" t="s">
        <v>648</v>
      </c>
      <c r="C287" s="5" t="s">
        <v>374</v>
      </c>
      <c r="D287" s="5" t="s">
        <v>348</v>
      </c>
      <c r="E287" s="5">
        <v>58</v>
      </c>
      <c r="F287" s="5" t="s">
        <v>352</v>
      </c>
    </row>
    <row r="288" spans="2:6">
      <c r="B288" s="5" t="s">
        <v>649</v>
      </c>
      <c r="C288" s="5" t="s">
        <v>376</v>
      </c>
      <c r="D288" s="5" t="s">
        <v>348</v>
      </c>
      <c r="E288" s="5">
        <v>71</v>
      </c>
      <c r="F288" s="5" t="s">
        <v>349</v>
      </c>
    </row>
    <row r="289" spans="2:6">
      <c r="B289" s="5" t="s">
        <v>650</v>
      </c>
      <c r="C289" s="5" t="s">
        <v>378</v>
      </c>
      <c r="D289" s="5" t="s">
        <v>348</v>
      </c>
      <c r="E289" s="5">
        <v>84</v>
      </c>
      <c r="F289" s="5" t="s">
        <v>360</v>
      </c>
    </row>
    <row r="290" spans="2:6">
      <c r="B290" s="5" t="s">
        <v>651</v>
      </c>
      <c r="C290" s="5" t="s">
        <v>380</v>
      </c>
      <c r="D290" s="5" t="s">
        <v>348</v>
      </c>
      <c r="E290" s="5">
        <v>7</v>
      </c>
      <c r="F290" s="5" t="s">
        <v>349</v>
      </c>
    </row>
    <row r="291" spans="2:6">
      <c r="B291" s="5" t="s">
        <v>652</v>
      </c>
      <c r="C291" s="5" t="s">
        <v>347</v>
      </c>
      <c r="D291" s="5" t="s">
        <v>348</v>
      </c>
      <c r="E291" s="5">
        <v>20</v>
      </c>
      <c r="F291" s="5" t="s">
        <v>352</v>
      </c>
    </row>
    <row r="292" spans="2:6">
      <c r="B292" s="5" t="s">
        <v>653</v>
      </c>
      <c r="C292" s="5" t="s">
        <v>351</v>
      </c>
      <c r="D292" s="5" t="s">
        <v>348</v>
      </c>
      <c r="E292" s="5">
        <v>33</v>
      </c>
      <c r="F292" s="5" t="s">
        <v>349</v>
      </c>
    </row>
    <row r="293" spans="2:6">
      <c r="B293" s="5" t="s">
        <v>654</v>
      </c>
      <c r="C293" s="5" t="s">
        <v>354</v>
      </c>
      <c r="D293" s="5" t="s">
        <v>348</v>
      </c>
      <c r="E293" s="5">
        <v>46</v>
      </c>
      <c r="F293" s="5" t="s">
        <v>352</v>
      </c>
    </row>
    <row r="294" spans="2:6">
      <c r="B294" s="5" t="s">
        <v>655</v>
      </c>
      <c r="C294" s="5" t="s">
        <v>356</v>
      </c>
      <c r="D294" s="5" t="s">
        <v>357</v>
      </c>
      <c r="E294" s="5">
        <v>59</v>
      </c>
      <c r="F294" s="5" t="s">
        <v>349</v>
      </c>
    </row>
    <row r="295" spans="2:6">
      <c r="B295" s="5" t="s">
        <v>656</v>
      </c>
      <c r="C295" s="5" t="s">
        <v>359</v>
      </c>
      <c r="D295" s="5" t="s">
        <v>348</v>
      </c>
      <c r="E295" s="5">
        <v>72</v>
      </c>
      <c r="F295" s="5" t="s">
        <v>352</v>
      </c>
    </row>
    <row r="296" spans="2:6">
      <c r="B296" s="5" t="s">
        <v>657</v>
      </c>
      <c r="C296" s="5" t="s">
        <v>362</v>
      </c>
      <c r="D296" s="5" t="s">
        <v>357</v>
      </c>
      <c r="E296" s="5">
        <v>85</v>
      </c>
      <c r="F296" s="5" t="s">
        <v>349</v>
      </c>
    </row>
    <row r="297" spans="2:6">
      <c r="B297" s="5" t="s">
        <v>658</v>
      </c>
      <c r="C297" s="5" t="s">
        <v>364</v>
      </c>
      <c r="D297" s="5" t="s">
        <v>348</v>
      </c>
      <c r="E297" s="5">
        <v>8</v>
      </c>
      <c r="F297" s="5" t="s">
        <v>352</v>
      </c>
    </row>
    <row r="298" spans="2:6">
      <c r="B298" s="5" t="s">
        <v>659</v>
      </c>
      <c r="C298" s="5" t="s">
        <v>366</v>
      </c>
      <c r="D298" s="5" t="s">
        <v>357</v>
      </c>
      <c r="E298" s="5">
        <v>21</v>
      </c>
      <c r="F298" s="5" t="s">
        <v>360</v>
      </c>
    </row>
    <row r="299" spans="2:6">
      <c r="B299" s="5" t="s">
        <v>660</v>
      </c>
      <c r="C299" s="5" t="s">
        <v>368</v>
      </c>
      <c r="D299" s="5" t="s">
        <v>348</v>
      </c>
      <c r="E299" s="5">
        <v>34</v>
      </c>
      <c r="F299" s="5" t="s">
        <v>352</v>
      </c>
    </row>
    <row r="300" spans="2:6">
      <c r="B300" s="5" t="s">
        <v>661</v>
      </c>
      <c r="C300" s="5" t="s">
        <v>370</v>
      </c>
      <c r="D300" s="5" t="s">
        <v>357</v>
      </c>
      <c r="E300" s="5">
        <v>47</v>
      </c>
      <c r="F300" s="5" t="s">
        <v>349</v>
      </c>
    </row>
    <row r="301" spans="2:6">
      <c r="B301" s="5" t="s">
        <v>662</v>
      </c>
      <c r="C301" s="5" t="s">
        <v>372</v>
      </c>
      <c r="D301" s="5" t="s">
        <v>357</v>
      </c>
      <c r="E301" s="5">
        <v>60</v>
      </c>
      <c r="F301" s="5" t="s">
        <v>352</v>
      </c>
    </row>
    <row r="302" spans="2:6">
      <c r="B302" s="5" t="s">
        <v>663</v>
      </c>
      <c r="C302" s="5" t="s">
        <v>374</v>
      </c>
      <c r="D302" s="5" t="s">
        <v>348</v>
      </c>
      <c r="E302" s="5">
        <v>73</v>
      </c>
      <c r="F302" s="5" t="s">
        <v>349</v>
      </c>
    </row>
    <row r="303" spans="2:6">
      <c r="B303" s="5" t="s">
        <v>664</v>
      </c>
      <c r="C303" s="5" t="s">
        <v>376</v>
      </c>
      <c r="D303" s="5" t="s">
        <v>348</v>
      </c>
      <c r="E303" s="5">
        <v>86</v>
      </c>
      <c r="F303" s="5" t="s">
        <v>352</v>
      </c>
    </row>
    <row r="304" spans="2:6">
      <c r="B304" s="5" t="s">
        <v>665</v>
      </c>
      <c r="C304" s="5" t="s">
        <v>378</v>
      </c>
      <c r="D304" s="5" t="s">
        <v>348</v>
      </c>
      <c r="E304" s="5">
        <v>9</v>
      </c>
      <c r="F304" s="5" t="s">
        <v>349</v>
      </c>
    </row>
    <row r="305" spans="2:6">
      <c r="B305" s="5" t="s">
        <v>666</v>
      </c>
      <c r="C305" s="5" t="s">
        <v>380</v>
      </c>
      <c r="D305" s="5" t="s">
        <v>348</v>
      </c>
      <c r="E305" s="5">
        <v>22</v>
      </c>
      <c r="F305" s="5" t="s">
        <v>352</v>
      </c>
    </row>
  </sheetData>
  <hyperlinks>
    <hyperlink ref="D3" location="'S4-3 Detective'!A1" display="◀ Back to S4-3 Detectiv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4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922</v>
      </c>
      <c r="B1" s="2"/>
      <c r="C1" s="2"/>
      <c r="D1" s="2"/>
      <c r="E1" s="2"/>
      <c r="F1" s="2"/>
      <c r="G1" s="2"/>
    </row>
    <row r="2" spans="1:7">
      <c r="A2" s="3" t="s">
        <v>923</v>
      </c>
    </row>
    <row r="3" spans="1:7" ht="26" customHeight="1">
      <c r="A3" s="14" cm="1" t="str">
        <f t="array" ref="A3">"SCORE "&amp;TEXT(SUM($G$16:$G$47),"0000")&amp;" / 0250"</f>
        <v>SCORE 0000 / 0250</v>
      </c>
      <c r="C3" s="15" cm="1" t="str">
        <f t="array" ref="C3">IF(SUM($G$16:$G$47)&gt;=250,"★★★",IF(SUM($G$16:$G$47)&gt;=250*0.8,"★★☆",IF(SUM($G$16:$G$47)&gt;=250*0.5,"★☆☆","☆☆☆")))</f>
        <v>☆☆☆</v>
      </c>
      <c r="D3" s="16" cm="1" t="str">
        <f t="array" ref="D3">REPT("█",ROUND(10*SUM($G$16:$G$47)/250,0))&amp;REPT("░",10-ROUND(10*SUM($G$16:$G$47)/250,0))&amp;"  "&amp;TEXT(SUM($G$16:$G$47)/250,"0%")</f>
        <v>░░░░░░░░░░  0%</v>
      </c>
      <c r="F3" s="17" cm="1" t="str">
        <f t="array" ref="F3">IF(SUM($G$16:$G$47)&gt;=250*0.5,"STAGE CLEAR! ▶ Next: Boss","")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51.25" customHeight="1">
      <c r="A7" s="18" t="s">
        <v>22</v>
      </c>
      <c r="B7" s="8" t="s">
        <v>785</v>
      </c>
      <c r="C7" s="19" t="s">
        <v>786</v>
      </c>
    </row>
    <row r="8" spans="1:7" ht="67" customHeight="1">
      <c r="A8" s="18" t="s">
        <v>25</v>
      </c>
      <c r="B8" s="8" t="s">
        <v>787</v>
      </c>
      <c r="C8" s="19" t="s">
        <v>130</v>
      </c>
    </row>
    <row r="9" spans="1:7" ht="51.25" customHeight="1">
      <c r="A9" s="18" t="s">
        <v>28</v>
      </c>
      <c r="B9" s="8" t="s">
        <v>788</v>
      </c>
      <c r="C9" s="19" t="s">
        <v>129</v>
      </c>
    </row>
    <row r="10" spans="1:7" ht="67" customHeight="1">
      <c r="A10" s="18" t="s">
        <v>31</v>
      </c>
      <c r="B10" s="8" t="s">
        <v>789</v>
      </c>
      <c r="C10" s="19" t="s">
        <v>122</v>
      </c>
    </row>
    <row r="11" spans="1:7" ht="67" customHeight="1">
      <c r="A11" s="18" t="s">
        <v>185</v>
      </c>
      <c r="B11" s="8" t="s">
        <v>790</v>
      </c>
      <c r="C11" s="19" t="s">
        <v>111</v>
      </c>
    </row>
    <row r="12" spans="1:7" ht="51.25" customHeight="1">
      <c r="A12" s="18" t="s">
        <v>188</v>
      </c>
      <c r="B12" s="8" t="s">
        <v>791</v>
      </c>
      <c r="C12" s="19" t="s">
        <v>260</v>
      </c>
    </row>
    <row r="14" spans="1:7" ht="22" customHeight="1">
      <c r="A14" s="4" t="s">
        <v>34</v>
      </c>
      <c r="B14" s="4"/>
      <c r="C14" s="4"/>
      <c r="D14" s="4"/>
      <c r="E14" s="4"/>
      <c r="F14" s="4"/>
      <c r="G14" s="4"/>
    </row>
    <row r="15" spans="1:7">
      <c r="A15" s="6" t="s">
        <v>19</v>
      </c>
      <c r="B15" s="6" t="s">
        <v>35</v>
      </c>
      <c r="C15" s="6" t="s">
        <v>36</v>
      </c>
      <c r="D15" s="6" t="s">
        <v>37</v>
      </c>
      <c r="E15" s="6" t="s">
        <v>38</v>
      </c>
      <c r="F15" s="6" t="s">
        <v>1</v>
      </c>
      <c r="G15" s="6" t="s">
        <v>39</v>
      </c>
    </row>
    <row r="16" spans="1:7" ht="19.75" customHeight="1">
      <c r="A16" s="18" t="s">
        <v>48</v>
      </c>
      <c r="B16" s="8" t="s">
        <v>793</v>
      </c>
      <c r="C16" s="20"/>
      <c r="D16" s="21" cm="1" t="str">
        <f t="array" ref="D16">IFERROR(_xlfn.LET(_xlpm.a,'S4-4 Data Wrangler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$70:$E$70),"✔ CLEAR","✘ TRY AGAIN"))),"✘ TRY AGAIN")</f>
        <v/>
      </c>
      <c r="E16" s="22"/>
      <c r="F16" s="23" cm="1" t="str">
        <f t="array" ref="F16">IF(E16="Show hint",Key!$B$70,"")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58</v>
      </c>
      <c r="B17" s="8" t="s">
        <v>795</v>
      </c>
      <c r="C17" s="20"/>
      <c r="D17" s="21" cm="1" t="str">
        <f t="array" ref="D17">IFERROR(_xlfn.LET(_xlpm.a,'S4-4 Data Wrangle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$71:$E$71),"✔ CLEAR","✘ TRY AGAIN"))),"✘ TRY AGAIN")</f>
        <v/>
      </c>
      <c r="E17" s="22"/>
      <c r="F17" s="23" cm="1" t="str">
        <f t="array" ref="F17">IF(E17="Show hint",Key!$B$71,"")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63</v>
      </c>
      <c r="B18" s="8" t="s">
        <v>800</v>
      </c>
      <c r="C18" s="20"/>
      <c r="D18" s="21" cm="1" t="str">
        <f t="array" ref="D18">IFERROR(_xlfn.LET(_xlpm.a,'S4-4 Data Wrangl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F$72),"✔ CLEAR","✘ TRY AGAIN"))),"✘ TRY AGAIN")</f>
        <v/>
      </c>
      <c r="E18" s="22"/>
      <c r="F18" s="23" cm="1" t="str">
        <f t="array" ref="F18">IF(E18="Show hint",Key!$B$72,"")</f>
        <v/>
      </c>
      <c r="G18" s="24" cm="1">
        <f t="array" ref="G18">IF(LEFT(D18,1)="✔",IF(E18="Show hint",5,10),0)</f>
        <v>0</v>
      </c>
    </row>
    <row r="19" spans="1:7" ht="51.25" customHeight="1">
      <c r="A19" s="18" t="s">
        <v>68</v>
      </c>
      <c r="B19" s="8" t="s">
        <v>804</v>
      </c>
      <c r="C19" s="20"/>
      <c r="D19" s="21" cm="1" t="str">
        <f t="array" ref="D19">IFERROR(_xlfn.LET(_xlpm.a,'S4-4 Data Wrangl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$73:$F$73),"✔ CLEAR","✘ TRY AGAIN"))),"✘ TRY AGAIN")</f>
        <v/>
      </c>
      <c r="E19" s="22"/>
      <c r="F19" s="23" cm="1" t="str">
        <f t="array" ref="F19">IF(E19="Show hint",Key!$B$73,"")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73</v>
      </c>
      <c r="B20" s="8" t="s">
        <v>807</v>
      </c>
      <c r="C20" s="20"/>
      <c r="D20" s="21" cm="1" t="str">
        <f t="array" ref="D20">IFERROR(_xlfn.LET(_xlpm.a,'S4-4 Data Wrangl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F$74),"✔ CLEAR","✘ TRY AGAIN"))),"✘ TRY AGAIN")</f>
        <v/>
      </c>
      <c r="E20" s="22"/>
      <c r="F20" s="23" cm="1" t="str">
        <f t="array" ref="F20">IF(E20="Show hint",Key!$B$74,"")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78</v>
      </c>
      <c r="B21" s="8" t="s">
        <v>816</v>
      </c>
      <c r="C21" s="20"/>
      <c r="D21" s="21" cm="1" t="str">
        <f t="array" ref="D21">IFERROR(_xlfn.LET(_xlpm.a,'S4-4 Data Wrangl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J$75),"✔ CLEAR","✘ TRY AGAIN"))),"✘ TRY AGAIN")</f>
        <v/>
      </c>
      <c r="E21" s="22"/>
      <c r="F21" s="23" cm="1" t="str">
        <f t="array" ref="F21">IF(E21="Show hint",Key!$B$75,"")</f>
        <v/>
      </c>
      <c r="G21" s="24" cm="1">
        <f t="array" ref="G21">IF(LEFT(D21,1)="✔",IF(E21="Show hint",5,10),0)</f>
        <v>0</v>
      </c>
    </row>
    <row r="22" spans="1:7" ht="51.25" customHeight="1">
      <c r="A22" s="18" t="s">
        <v>86</v>
      </c>
      <c r="B22" s="8" t="s">
        <v>820</v>
      </c>
      <c r="C22" s="20"/>
      <c r="D22" s="21" cm="1" t="str">
        <f t="array" ref="D22">IFERROR(_xlfn.LET(_xlpm.a,'S4-4 Data Wrangle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E$76),"✔ CLEAR","✘ TRY AGAIN"))),"✘ TRY AGAIN")</f>
        <v/>
      </c>
      <c r="E22" s="22"/>
      <c r="F22" s="23" cm="1" t="str">
        <f t="array" ref="F22">IF(E22="Show hint",Key!$B$76,"")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96</v>
      </c>
      <c r="B23" s="8" t="s">
        <v>829</v>
      </c>
      <c r="C23" s="20"/>
      <c r="D23" s="21" cm="1" t="str">
        <f t="array" ref="D23">IFERROR(_xlfn.LET(_xlpm.a,'S4-4 Data Wrangler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J$77),"✔ CLEAR","✘ TRY AGAIN"))),"✘ TRY AGAIN")</f>
        <v/>
      </c>
      <c r="E23" s="22"/>
      <c r="F23" s="23" cm="1" t="str">
        <f t="array" ref="F23">IF(E23="Show hint",Key!$B$77,"")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101</v>
      </c>
      <c r="B24" s="8" t="s">
        <v>838</v>
      </c>
      <c r="C24" s="20"/>
      <c r="D24" s="21" cm="1" t="str">
        <f t="array" ref="D24">IFERROR(_xlfn.LET(_xlpm.a,'S4-4 Data Wrangler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J$78),"✔ CLEAR","✘ TRY AGAIN"))),"✘ TRY AGAIN")</f>
        <v/>
      </c>
      <c r="E24" s="22"/>
      <c r="F24" s="23" cm="1" t="str">
        <f t="array" ref="F24">IF(E24="Show hint",Key!$B$78,"")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106</v>
      </c>
      <c r="B25" s="8" t="s">
        <v>847</v>
      </c>
      <c r="C25" s="20"/>
      <c r="D25" s="21" cm="1" t="str">
        <f t="array" ref="D25">IFERROR(_xlfn.LET(_xlpm.a,'S4-4 Data Wrangler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J$79),"✔ CLEAR","✘ TRY AGAIN"))),"✘ TRY AGAIN")</f>
        <v/>
      </c>
      <c r="E25" s="22"/>
      <c r="F25" s="23" cm="1" t="str">
        <f t="array" ref="F25">IF(E25="Show hint",Key!$B$79,"")</f>
        <v/>
      </c>
      <c r="G25" s="24" cm="1">
        <f t="array" ref="G25">IF(LEFT(D25,1)="✔",IF(E25="Show hint",5,10),0)</f>
        <v>0</v>
      </c>
    </row>
    <row r="27" spans="1:7" ht="22" customHeight="1">
      <c r="A27" s="4" t="s">
        <v>108</v>
      </c>
      <c r="B27" s="4"/>
      <c r="C27" s="4"/>
      <c r="D27" s="4"/>
      <c r="E27" s="4"/>
      <c r="F27" s="4"/>
      <c r="G27" s="4"/>
    </row>
    <row r="28" spans="1:7">
      <c r="A28" s="6" t="s">
        <v>19</v>
      </c>
      <c r="B28" s="6" t="s">
        <v>35</v>
      </c>
      <c r="C28" s="6" t="s">
        <v>36</v>
      </c>
      <c r="D28" s="6" t="s">
        <v>37</v>
      </c>
      <c r="E28" s="6" t="s">
        <v>38</v>
      </c>
      <c r="F28" s="6" t="s">
        <v>1</v>
      </c>
      <c r="G28" s="6" t="s">
        <v>39</v>
      </c>
    </row>
    <row r="29" spans="1:7" ht="19.75" customHeight="1">
      <c r="A29" s="18" t="s">
        <v>114</v>
      </c>
      <c r="B29" s="8" t="s">
        <v>850</v>
      </c>
      <c r="C29" s="20"/>
      <c r="D29" s="21" cm="1" t="str">
        <f t="array" ref="D29">IFERROR(IF('S4-4 Data Wrangler'!$C$29&amp;""="","",IF('S4-4 Data Wrangler'!$C$29&amp;""=Key!$C$80&amp;"","✔ CLEAR","✘ TRY AGAIN")),"✘ TRY AGAIN")</f>
        <v/>
      </c>
      <c r="E29" s="22"/>
      <c r="F29" s="23" cm="1" t="str">
        <f t="array" ref="F29">IF(E29="Show hint",Key!$B$80,"")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118</v>
      </c>
      <c r="B30" s="8" t="s">
        <v>853</v>
      </c>
      <c r="C30" s="20"/>
      <c r="D30" s="21" cm="1" t="str">
        <f t="array" ref="D30">IFERROR(IF('S4-4 Data Wrangler'!$C$30&amp;""="","",IF('S4-4 Data Wrangler'!$C$30&amp;""=Key!$C$81&amp;"","✔ CLEAR","✘ TRY AGAIN")),"✘ TRY AGAIN")</f>
        <v/>
      </c>
      <c r="E30" s="22"/>
      <c r="F30" s="23" cm="1" t="str">
        <f t="array" ref="F30">IF(E30="Show hint",Key!$B$81,"")</f>
        <v/>
      </c>
      <c r="G30" s="24" cm="1">
        <f t="array" ref="G30">IF(LEFT(D30,1)="✔",IF(E30="Show hint",5,10),0)</f>
        <v>0</v>
      </c>
    </row>
    <row r="31" spans="1:7" ht="19.75" customHeight="1">
      <c r="A31" s="18" t="s">
        <v>124</v>
      </c>
      <c r="B31" s="8" t="s">
        <v>856</v>
      </c>
      <c r="C31" s="20"/>
      <c r="D31" s="21" cm="1" t="str">
        <f t="array" ref="D31">IFERROR(IF('S4-4 Data Wrangler'!$C$31&amp;""="","",IF('S4-4 Data Wrangler'!$C$31&amp;""=Key!$C$82&amp;"","✔ CLEAR","✘ TRY AGAIN")),"✘ TRY AGAIN")</f>
        <v/>
      </c>
      <c r="E31" s="22"/>
      <c r="F31" s="23" cm="1" t="str">
        <f t="array" ref="F31">IF(E31="Show hint",Key!$B$82,"")</f>
        <v/>
      </c>
      <c r="G31" s="24" cm="1">
        <f t="array" ref="G31">IF(LEFT(D31,1)="✔",IF(E31="Show hint",5,10),0)</f>
        <v>0</v>
      </c>
    </row>
    <row r="32" spans="1:7" ht="19.75" customHeight="1">
      <c r="A32" s="18" t="s">
        <v>131</v>
      </c>
      <c r="B32" s="8" t="s">
        <v>859</v>
      </c>
      <c r="C32" s="20"/>
      <c r="D32" s="21" cm="1" t="str">
        <f t="array" ref="D32">IFERROR(IF('S4-4 Data Wrangler'!$C$32&amp;""="","",IF('S4-4 Data Wrangler'!$C$32&amp;""=Key!$C$83&amp;"","✔ CLEAR","✘ TRY AGAIN")),"✘ TRY AGAIN")</f>
        <v/>
      </c>
      <c r="E32" s="22"/>
      <c r="F32" s="23" cm="1" t="str">
        <f t="array" ref="F32">IF(E32="Show hint",Key!$B$83,"")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274</v>
      </c>
      <c r="B33" s="8" t="s">
        <v>862</v>
      </c>
      <c r="C33" s="20"/>
      <c r="D33" s="21" cm="1" t="str">
        <f t="array" ref="D33">IFERROR(IF('S4-4 Data Wrangler'!$C$33&amp;""="","",IF('S4-4 Data Wrangler'!$C$33&amp;""=Key!$C$84&amp;"","✔ CLEAR","✘ TRY AGAIN")),"✘ TRY AGAIN")</f>
        <v/>
      </c>
      <c r="E33" s="22"/>
      <c r="F33" s="23" cm="1" t="str">
        <f t="array" ref="F33">IF(E33="Show hint",Key!$B$84,"")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278</v>
      </c>
      <c r="B34" s="8" t="s">
        <v>865</v>
      </c>
      <c r="C34" s="20"/>
      <c r="D34" s="21" cm="1" t="str">
        <f t="array" ref="D34">IFERROR(IF('S4-4 Data Wrangler'!$C$34&amp;""="","",IF('S4-4 Data Wrangler'!$C$34&amp;""=Key!$C$85&amp;"","✔ CLEAR","✘ TRY AGAIN")),"✘ TRY AGAIN")</f>
        <v/>
      </c>
      <c r="E34" s="22"/>
      <c r="F34" s="23" cm="1" t="str">
        <f t="array" ref="F34">IF(E34="Show hint",Key!$B$85,"")</f>
        <v/>
      </c>
      <c r="G34" s="24" cm="1">
        <f t="array" ref="G34">IF(LEFT(D34,1)="✔",IF(E34="Show hint",5,10),0)</f>
        <v>0</v>
      </c>
    </row>
    <row r="36" spans="1:7" ht="22" customHeight="1">
      <c r="A36" s="4" t="s">
        <v>133</v>
      </c>
      <c r="B36" s="4"/>
      <c r="C36" s="4"/>
      <c r="D36" s="4"/>
      <c r="E36" s="4"/>
      <c r="F36" s="4"/>
      <c r="G36" s="4"/>
    </row>
    <row r="37" spans="1:7">
      <c r="B37" s="11" t="s">
        <v>866</v>
      </c>
    </row>
    <row r="38" spans="1:7">
      <c r="A38" s="6" t="s">
        <v>19</v>
      </c>
      <c r="B38" s="6" t="s">
        <v>35</v>
      </c>
      <c r="C38" s="6" t="s">
        <v>36</v>
      </c>
      <c r="D38" s="6" t="s">
        <v>37</v>
      </c>
      <c r="E38" s="6" t="s">
        <v>38</v>
      </c>
      <c r="F38" s="6" t="s">
        <v>1</v>
      </c>
      <c r="G38" s="6" t="s">
        <v>39</v>
      </c>
    </row>
    <row r="39" spans="1:7" ht="19.75" customHeight="1">
      <c r="A39" s="18" t="s">
        <v>141</v>
      </c>
      <c r="B39" s="8" t="s">
        <v>850</v>
      </c>
      <c r="C39" s="20"/>
      <c r="D39" s="21" cm="1" t="str">
        <f t="array" ref="D39">IFERROR(_xlfn.LET(_xlpm.a,'S4-4 Data Wrangler'!$C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F$86),"✔ CLEAR","✘ TRY AGAIN"))),"✘ TRY AGAIN")</f>
        <v/>
      </c>
      <c r="E39" s="22"/>
      <c r="F39" s="23" cm="1" t="str">
        <f t="array" ref="F39">IF(E39="Show hint",Key!$B$86,"")</f>
        <v/>
      </c>
      <c r="G39" s="24" cm="1">
        <f t="array" ref="G39">IF(LEFT(D39,1)="✔",IF(E39="Show hint",5,10),0)</f>
        <v>0</v>
      </c>
    </row>
    <row r="40" spans="1:7" ht="35.5" customHeight="1">
      <c r="A40" s="18" t="s">
        <v>144</v>
      </c>
      <c r="B40" s="8" t="s">
        <v>871</v>
      </c>
      <c r="C40" s="20"/>
      <c r="D40" s="21" cm="1" t="str">
        <f t="array" ref="D40">IFERROR(_xlfn.LET(_xlpm.a,'S4-4 Data Wrangler'!$C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E$87),"✔ CLEAR","✘ TRY AGAIN"))),"✘ TRY AGAIN")</f>
        <v/>
      </c>
      <c r="E40" s="22"/>
      <c r="F40" s="23" cm="1" t="str">
        <f t="array" ref="F40">IF(E40="Show hint",Key!$B$87,"")</f>
        <v/>
      </c>
      <c r="G40" s="24" cm="1">
        <f t="array" ref="G40">IF(LEFT(D40,1)="✔",IF(E40="Show hint",5,10),0)</f>
        <v>0</v>
      </c>
    </row>
    <row r="41" spans="1:7" ht="19.75" customHeight="1">
      <c r="A41" s="18" t="s">
        <v>147</v>
      </c>
      <c r="B41" s="8" t="s">
        <v>856</v>
      </c>
      <c r="C41" s="20"/>
      <c r="D41" s="21" cm="1" t="str">
        <f t="array" ref="D41">IFERROR(_xlfn.LET(_xlpm.a,'S4-4 Data Wrangler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$88:$F$88),"✔ CLEAR","✘ TRY AGAIN"))),"✘ TRY AGAIN")</f>
        <v/>
      </c>
      <c r="E41" s="22"/>
      <c r="F41" s="23" cm="1" t="str">
        <f t="array" ref="F41">IF(E41="Show hint",Key!$B$88,"")</f>
        <v/>
      </c>
      <c r="G41" s="24" cm="1">
        <f t="array" ref="G41">IF(LEFT(D41,1)="✔",IF(E41="Show hint",5,10),0)</f>
        <v>0</v>
      </c>
    </row>
    <row r="42" spans="1:7" ht="19.75" customHeight="1">
      <c r="A42" s="18" t="s">
        <v>150</v>
      </c>
      <c r="B42" s="8" t="s">
        <v>859</v>
      </c>
      <c r="C42" s="20"/>
      <c r="D42" s="21" cm="1" t="str">
        <f t="array" ref="D42">IFERROR(_xlfn.LET(_xlpm.a,'S4-4 Data Wrangler'!$C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$89:$T$89),"✔ CLEAR","✘ TRY AGAIN"))),"✘ TRY AGAIN")</f>
        <v/>
      </c>
      <c r="E42" s="22"/>
      <c r="F42" s="23" cm="1" t="str">
        <f t="array" ref="F42">IF(E42="Show hint",Key!$B$89,"")</f>
        <v/>
      </c>
      <c r="G42" s="24" cm="1">
        <f t="array" ref="G42">IF(LEFT(D42,1)="✔",IF(E42="Show hint",5,10),0)</f>
        <v>0</v>
      </c>
    </row>
    <row r="43" spans="1:7" ht="35.5" customHeight="1">
      <c r="A43" s="18" t="s">
        <v>153</v>
      </c>
      <c r="B43" s="8" t="s">
        <v>862</v>
      </c>
      <c r="C43" s="20"/>
      <c r="D43" s="21" cm="1" t="str">
        <f t="array" ref="D43">IFERROR(_xlfn.LET(_xlpm.a,'S4-4 Data Wrangler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$90:$T$90),"✔ CLEAR","✘ TRY AGAIN"))),"✘ TRY AGAIN")</f>
        <v/>
      </c>
      <c r="E43" s="22"/>
      <c r="F43" s="23" cm="1" t="str">
        <f t="array" ref="F43">IF(E43="Show hint",Key!$B$90,"")</f>
        <v/>
      </c>
      <c r="G43" s="24" cm="1">
        <f t="array" ref="G43">IF(LEFT(D43,1)="✔",IF(E43="Show hint",5,10),0)</f>
        <v>0</v>
      </c>
    </row>
    <row r="44" spans="1:7" ht="35.5" customHeight="1">
      <c r="A44" s="18" t="s">
        <v>158</v>
      </c>
      <c r="B44" s="8" t="s">
        <v>865</v>
      </c>
      <c r="C44" s="20"/>
      <c r="D44" s="21" cm="1" t="str">
        <f t="array" ref="D44">IFERROR(_xlfn.LET(_xlpm.a,'S4-4 Data Wrangler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$91:$E$91),"✔ CLEAR","✘ TRY AGAIN"))),"✘ TRY AGAIN")</f>
        <v/>
      </c>
      <c r="E44" s="22"/>
      <c r="F44" s="23" cm="1" t="str">
        <f t="array" ref="F44">IF(E44="Show hint",Key!$B$91,"")</f>
        <v/>
      </c>
      <c r="G44" s="24" cm="1">
        <f t="array" ref="G44">IF(LEFT(D44,1)="✔",IF(E44="Show hint",5,10),0)</f>
        <v>0</v>
      </c>
    </row>
    <row r="45" spans="1:7" ht="51.25" customHeight="1">
      <c r="A45" s="18" t="s">
        <v>163</v>
      </c>
      <c r="B45" s="8" t="s">
        <v>913</v>
      </c>
      <c r="C45" s="11" t="s">
        <v>914</v>
      </c>
      <c r="D45" s="21" cm="1" t="str">
        <f t="array" ref="D45">IF(IFERROR(AND(SUBTOTAL(103,'S4-4 Arena'!$C$6:$C$25)=7,SUMPRODUCT(SUBTOTAL(103,OFFSET('S4-4 Arena'!$C$6,ROW('S4-4 Arena'!$C$6:$C$25)-ROW('S4-4 Arena'!$C$6),0))*('S4-4 Arena'!$C$6:$C$25&lt;&gt;"East"))=0),FALSE),"✔ CLEAR","· not yet")</f>
        <v>· not yet</v>
      </c>
      <c r="E45" s="22"/>
      <c r="F45" s="23" cm="1" t="str">
        <f t="array" ref="F45">IF(E45="Show hint",Key!$B$92,"")</f>
        <v/>
      </c>
      <c r="G45" s="24" cm="1">
        <f t="array" ref="G45">IF(LEFT(D45,1)="✔",IF(E45="Show hint",5,10),0)</f>
        <v>0</v>
      </c>
    </row>
    <row r="46" spans="1:7" ht="51.25" customHeight="1">
      <c r="A46" s="18" t="s">
        <v>168</v>
      </c>
      <c r="B46" s="8" t="s">
        <v>917</v>
      </c>
      <c r="C46" s="11" t="s">
        <v>918</v>
      </c>
      <c r="D46" s="21" cm="1" t="str">
        <f t="array" ref="D46">IF(IFERROR(AND(SUMPRODUCT(--('S4-4 Arena'!$C$31:$C$39&lt;'S4-4 Arena'!$C$32:$C$40))=0,SUMPRODUCT(--(_xlfn.XLOOKUP('S4-4 Arena'!$B$31:$B$40,{"Ann","Bo","Cy","Di","Ed","Flo","Gil","Hu","Ida","Jay"},{40,90,70,10,55,85,25,65,95,35})='S4-4 Arena'!$C$31:$C$40))=10),FALSE),"✔ CLEAR","· not yet")</f>
        <v>· not yet</v>
      </c>
      <c r="E46" s="22"/>
      <c r="F46" s="23" cm="1" t="str">
        <f t="array" ref="F46">IF(E46="Show hint",Key!$B$93,"")</f>
        <v/>
      </c>
      <c r="G46" s="24" cm="1">
        <f t="array" ref="G46">IF(LEFT(D46,1)="✔",IF(E46="Show hint",5,10),0)</f>
        <v>0</v>
      </c>
    </row>
    <row r="47" spans="1:7" ht="51.25" customHeight="1">
      <c r="A47" s="18" t="s">
        <v>323</v>
      </c>
      <c r="B47" s="8" t="s">
        <v>921</v>
      </c>
      <c r="C47" s="20"/>
      <c r="D47" s="21" cm="1" t="str">
        <f t="array" ref="D47">IFERROR(IF('S4-4 Data Wrangler'!$C$47="Done","✔ CLEAR · self-check",""),"✘ TRY AGAIN")</f>
        <v/>
      </c>
      <c r="E47" s="22"/>
      <c r="F47" s="23" cm="1" t="str">
        <f t="array" ref="F47">IF(E47="Show hint",Key!$B$94,"")</f>
        <v/>
      </c>
      <c r="G47" s="24" cm="1">
        <f t="array" ref="G47">IF(LEFT(D47,1)="✔",IF(E47="Show hint",5,10),0)</f>
        <v>0</v>
      </c>
    </row>
  </sheetData>
  <sheetProtection sheet="1" objects="1" scenarios="1" formatColumns="0" formatRows="0"/>
  <conditionalFormatting sqref="D16:D47">
    <cfRule type="expression" dxfId="0" priority="1">
      <formula>LEFT($D16,1)="✔"</formula>
    </cfRule>
    <cfRule type="expression" dxfId="1" priority="2">
      <formula>LEFT($D16,1)="✘"</formula>
    </cfRule>
    <cfRule type="expression" dxfId="2" priority="3">
      <formula>$D16="LOCKED"</formula>
    </cfRule>
  </conditionalFormatting>
  <dataValidations count="48"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Key!$E$80:$H$80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Key!$E$81:$H$81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Key!$E$82:$H$82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Key!$E$83:$H$83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Key!$E$84:$H$84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Key!$E$85:$H$85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2"/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type="list" allowBlank="1" showInputMessage="1" showErrorMessage="1" promptTitle="Self-check" prompt="Do the task in the arena, then pick Done from the list (Alt+Down)." sqref="C47">
      <formula1>"Done"</formula1>
    </dataValidation>
    <dataValidation type="list" allowBlank="1" showInputMessage="1" showErrorMessage="1" promptTitle="Need a hint?" prompt="Pick 'Show hint' (Alt+Down). This question then gives 5 XP instead of 10." sqref="E47">
      <formula1>"Show hint"</formula1>
    </dataValidation>
  </dataValidations>
  <hyperlinks>
    <hyperlink ref="B37" location="'S4-4 Arena'!A1" display="▶ Open S4-4 Arena (or press Ctrl+PgDn)"/>
    <hyperlink ref="C45" location="'S4-4 Arena'!C5" tooltip="Go to S4-4 Arena, cell C5" display="▶ ARENA C7 (cell C5)"/>
    <hyperlink ref="C46" location="'S4-4 Arena'!C31" tooltip="Go to S4-4 Arena, cell C31" display="▶ ARENA C8 (cell C31)"/>
  </hyperlink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5">
      <c r="A1" s="1" t="s">
        <v>726</v>
      </c>
    </row>
    <row r="2" spans="1:5">
      <c r="A2" s="3" t="s">
        <v>5</v>
      </c>
    </row>
    <row r="3" spans="1:5">
      <c r="A3" s="25" t="s">
        <v>6</v>
      </c>
      <c r="B3" s="26" t="s">
        <v>727</v>
      </c>
      <c r="D3" s="11" t="s">
        <v>728</v>
      </c>
    </row>
    <row r="5" spans="1:5">
      <c r="B5" s="27" t="s">
        <v>729</v>
      </c>
      <c r="C5" s="27" t="s">
        <v>730</v>
      </c>
      <c r="D5" s="27" t="s">
        <v>731</v>
      </c>
      <c r="E5" s="27" t="s">
        <v>732</v>
      </c>
    </row>
    <row r="6" spans="1:5">
      <c r="B6" s="5" t="s">
        <v>733</v>
      </c>
      <c r="C6" s="5" t="s">
        <v>734</v>
      </c>
      <c r="D6" s="5" t="s">
        <v>735</v>
      </c>
      <c r="E6" s="5">
        <v>40</v>
      </c>
    </row>
    <row r="7" spans="1:5">
      <c r="B7" s="5" t="s">
        <v>736</v>
      </c>
      <c r="C7" s="5" t="s">
        <v>737</v>
      </c>
      <c r="D7" s="5" t="s">
        <v>738</v>
      </c>
      <c r="E7" s="5">
        <v>15</v>
      </c>
    </row>
    <row r="8" spans="1:5">
      <c r="B8" s="5" t="s">
        <v>739</v>
      </c>
      <c r="C8" s="5" t="s">
        <v>740</v>
      </c>
      <c r="D8" s="5" t="s">
        <v>741</v>
      </c>
      <c r="E8" s="5">
        <v>55</v>
      </c>
    </row>
    <row r="9" spans="1:5">
      <c r="B9" s="5" t="s">
        <v>742</v>
      </c>
      <c r="C9" s="5" t="s">
        <v>734</v>
      </c>
      <c r="D9" s="5" t="s">
        <v>735</v>
      </c>
      <c r="E9" s="5">
        <v>20</v>
      </c>
    </row>
    <row r="10" spans="1:5">
      <c r="B10" s="5" t="s">
        <v>743</v>
      </c>
      <c r="C10" s="5" t="s">
        <v>744</v>
      </c>
      <c r="D10" s="5" t="s">
        <v>745</v>
      </c>
      <c r="E10" s="5">
        <v>60</v>
      </c>
    </row>
    <row r="11" spans="1:5">
      <c r="B11" s="5" t="s">
        <v>746</v>
      </c>
      <c r="C11" s="5" t="s">
        <v>737</v>
      </c>
      <c r="D11" s="5" t="s">
        <v>738</v>
      </c>
      <c r="E11" s="5">
        <v>35</v>
      </c>
    </row>
    <row r="12" spans="1:5">
      <c r="B12" s="5" t="s">
        <v>747</v>
      </c>
      <c r="C12" s="5" t="s">
        <v>734</v>
      </c>
      <c r="D12" s="5" t="s">
        <v>741</v>
      </c>
      <c r="E12" s="5">
        <v>25</v>
      </c>
    </row>
    <row r="13" spans="1:5">
      <c r="B13" s="5" t="s">
        <v>748</v>
      </c>
      <c r="C13" s="5" t="s">
        <v>740</v>
      </c>
      <c r="D13" s="5" t="s">
        <v>745</v>
      </c>
      <c r="E13" s="5">
        <v>45</v>
      </c>
    </row>
    <row r="14" spans="1:5">
      <c r="B14" s="5" t="s">
        <v>749</v>
      </c>
      <c r="C14" s="5" t="s">
        <v>737</v>
      </c>
      <c r="D14" s="5" t="s">
        <v>735</v>
      </c>
      <c r="E14" s="5">
        <v>10</v>
      </c>
    </row>
    <row r="15" spans="1:5">
      <c r="B15" s="5" t="s">
        <v>750</v>
      </c>
      <c r="C15" s="5" t="s">
        <v>734</v>
      </c>
      <c r="D15" s="5" t="s">
        <v>738</v>
      </c>
      <c r="E15" s="5">
        <v>70</v>
      </c>
    </row>
    <row r="16" spans="1:5">
      <c r="B16" s="5" t="s">
        <v>751</v>
      </c>
      <c r="C16" s="5" t="s">
        <v>744</v>
      </c>
      <c r="D16" s="5" t="s">
        <v>741</v>
      </c>
      <c r="E16" s="5">
        <v>30</v>
      </c>
    </row>
    <row r="17" spans="2:5">
      <c r="B17" s="5" t="s">
        <v>752</v>
      </c>
      <c r="C17" s="5" t="s">
        <v>740</v>
      </c>
      <c r="D17" s="5" t="s">
        <v>735</v>
      </c>
      <c r="E17" s="5">
        <v>50</v>
      </c>
    </row>
    <row r="18" spans="2:5">
      <c r="B18" s="5" t="s">
        <v>753</v>
      </c>
      <c r="C18" s="5" t="s">
        <v>734</v>
      </c>
      <c r="D18" s="5" t="s">
        <v>745</v>
      </c>
      <c r="E18" s="5">
        <v>65</v>
      </c>
    </row>
    <row r="19" spans="2:5">
      <c r="B19" s="5" t="s">
        <v>754</v>
      </c>
      <c r="C19" s="5" t="s">
        <v>737</v>
      </c>
      <c r="D19" s="5" t="s">
        <v>741</v>
      </c>
      <c r="E19" s="5">
        <v>20</v>
      </c>
    </row>
    <row r="20" spans="2:5">
      <c r="B20" s="5" t="s">
        <v>755</v>
      </c>
      <c r="C20" s="5" t="s">
        <v>744</v>
      </c>
      <c r="D20" s="5" t="s">
        <v>738</v>
      </c>
      <c r="E20" s="5">
        <v>15</v>
      </c>
    </row>
    <row r="21" spans="2:5">
      <c r="B21" s="5" t="s">
        <v>756</v>
      </c>
      <c r="C21" s="5" t="s">
        <v>734</v>
      </c>
      <c r="D21" s="5" t="s">
        <v>735</v>
      </c>
      <c r="E21" s="5">
        <v>50</v>
      </c>
    </row>
    <row r="22" spans="2:5">
      <c r="B22" s="5" t="s">
        <v>757</v>
      </c>
      <c r="C22" s="5" t="s">
        <v>740</v>
      </c>
      <c r="D22" s="5" t="s">
        <v>738</v>
      </c>
      <c r="E22" s="5">
        <v>25</v>
      </c>
    </row>
    <row r="23" spans="2:5">
      <c r="B23" s="5" t="s">
        <v>758</v>
      </c>
      <c r="C23" s="5" t="s">
        <v>737</v>
      </c>
      <c r="D23" s="5" t="s">
        <v>745</v>
      </c>
      <c r="E23" s="5">
        <v>40</v>
      </c>
    </row>
    <row r="24" spans="2:5">
      <c r="B24" s="5" t="s">
        <v>759</v>
      </c>
      <c r="C24" s="5" t="s">
        <v>744</v>
      </c>
      <c r="D24" s="5" t="s">
        <v>735</v>
      </c>
      <c r="E24" s="5">
        <v>35</v>
      </c>
    </row>
    <row r="25" spans="2:5">
      <c r="B25" s="5" t="s">
        <v>760</v>
      </c>
      <c r="C25" s="5" t="s">
        <v>734</v>
      </c>
      <c r="D25" s="5" t="s">
        <v>741</v>
      </c>
      <c r="E25" s="5">
        <v>55</v>
      </c>
    </row>
    <row r="30" spans="2:5">
      <c r="B30" s="27" t="s">
        <v>761</v>
      </c>
      <c r="C30" s="27" t="s">
        <v>762</v>
      </c>
      <c r="D30" s="27" t="s">
        <v>763</v>
      </c>
    </row>
    <row r="31" spans="2:5">
      <c r="B31" s="5" t="s">
        <v>764</v>
      </c>
      <c r="C31" s="5">
        <v>40</v>
      </c>
      <c r="D31" s="5" t="s">
        <v>765</v>
      </c>
    </row>
    <row r="32" spans="2:5">
      <c r="B32" s="5" t="s">
        <v>766</v>
      </c>
      <c r="C32" s="5">
        <v>90</v>
      </c>
      <c r="D32" s="5" t="s">
        <v>767</v>
      </c>
    </row>
    <row r="33" spans="2:4">
      <c r="B33" s="5" t="s">
        <v>768</v>
      </c>
      <c r="C33" s="5">
        <v>70</v>
      </c>
      <c r="D33" s="5" t="s">
        <v>767</v>
      </c>
    </row>
    <row r="34" spans="2:4">
      <c r="B34" s="5" t="s">
        <v>769</v>
      </c>
      <c r="C34" s="5">
        <v>10</v>
      </c>
      <c r="D34" s="5" t="s">
        <v>770</v>
      </c>
    </row>
    <row r="35" spans="2:4">
      <c r="B35" s="5" t="s">
        <v>771</v>
      </c>
      <c r="C35" s="5">
        <v>55</v>
      </c>
      <c r="D35" s="5" t="s">
        <v>765</v>
      </c>
    </row>
    <row r="36" spans="2:4">
      <c r="B36" s="5" t="s">
        <v>772</v>
      </c>
      <c r="C36" s="5">
        <v>85</v>
      </c>
      <c r="D36" s="5" t="s">
        <v>767</v>
      </c>
    </row>
    <row r="37" spans="2:4">
      <c r="B37" s="5" t="s">
        <v>773</v>
      </c>
      <c r="C37" s="5">
        <v>25</v>
      </c>
      <c r="D37" s="5" t="s">
        <v>770</v>
      </c>
    </row>
    <row r="38" spans="2:4">
      <c r="B38" s="5" t="s">
        <v>774</v>
      </c>
      <c r="C38" s="5">
        <v>65</v>
      </c>
      <c r="D38" s="5" t="s">
        <v>765</v>
      </c>
    </row>
    <row r="39" spans="2:4">
      <c r="B39" s="5" t="s">
        <v>775</v>
      </c>
      <c r="C39" s="5">
        <v>95</v>
      </c>
      <c r="D39" s="5" t="s">
        <v>767</v>
      </c>
    </row>
    <row r="40" spans="2:4">
      <c r="B40" s="5" t="s">
        <v>776</v>
      </c>
      <c r="C40" s="5">
        <v>35</v>
      </c>
      <c r="D40" s="5" t="s">
        <v>770</v>
      </c>
    </row>
    <row r="45" spans="2:4">
      <c r="B45" s="27" t="s">
        <v>777</v>
      </c>
      <c r="C45" s="27" t="s">
        <v>778</v>
      </c>
    </row>
    <row r="46" spans="2:4">
      <c r="B46" s="5" t="s">
        <v>779</v>
      </c>
      <c r="C46" s="5">
        <v>1200</v>
      </c>
    </row>
    <row r="47" spans="2:4">
      <c r="B47" s="5" t="s">
        <v>780</v>
      </c>
      <c r="C47" s="5">
        <v>1350</v>
      </c>
    </row>
    <row r="48" spans="2:4">
      <c r="B48" s="5" t="s">
        <v>781</v>
      </c>
      <c r="C48" s="5">
        <v>1600</v>
      </c>
    </row>
    <row r="49" spans="2:3">
      <c r="B49" s="5" t="s">
        <v>782</v>
      </c>
      <c r="C49" s="5">
        <v>1500</v>
      </c>
    </row>
    <row r="50" spans="2:3">
      <c r="B50" s="5" t="s">
        <v>783</v>
      </c>
      <c r="C50" s="5">
        <v>1800</v>
      </c>
    </row>
    <row r="51" spans="2:3">
      <c r="B51" s="5" t="s">
        <v>784</v>
      </c>
      <c r="C51" s="5">
        <v>2100</v>
      </c>
    </row>
  </sheetData>
  <hyperlinks>
    <hyperlink ref="D3" location="'S4-4 Data Wrangler'!A1" display="◀ Back to S4-4 Data Wrangler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1051</v>
      </c>
      <c r="B1" s="2"/>
      <c r="C1" s="2"/>
      <c r="D1" s="2"/>
      <c r="E1" s="2"/>
      <c r="F1" s="2"/>
      <c r="G1" s="2"/>
    </row>
    <row r="2" spans="1:7">
      <c r="A2" s="3" t="s">
        <v>1052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996</v>
      </c>
      <c r="B5" s="4"/>
      <c r="C5" s="4"/>
      <c r="D5" s="4"/>
      <c r="E5" s="4"/>
      <c r="F5" s="4"/>
      <c r="G5" s="4"/>
    </row>
    <row r="6" spans="1:7">
      <c r="B6" s="7" t="s">
        <v>997</v>
      </c>
      <c r="C6" s="28"/>
    </row>
    <row r="7" spans="1:7">
      <c r="B7" s="7" t="s">
        <v>998</v>
      </c>
      <c r="C7" s="28"/>
    </row>
    <row r="8" spans="1:7">
      <c r="B8" s="7" t="s">
        <v>999</v>
      </c>
      <c r="C8" s="29" cm="1" t="str">
        <f t="array" ref="C8">IF(OR(C6="",C7=""),"",ROUND(MOD(C7-C6,1)*1440,0))</f>
        <v/>
      </c>
    </row>
    <row r="9" spans="1:7">
      <c r="B9" s="7" t="s">
        <v>1000</v>
      </c>
      <c r="C9" s="29">
        <v>12</v>
      </c>
    </row>
    <row r="10" spans="1:7">
      <c r="B10" s="7" t="s">
        <v>1001</v>
      </c>
      <c r="C10" s="12" cm="1" t="str">
        <f t="array" ref="C10">IF(AND(SUM('S4-1 Construction Crew'!$G$14:$G$42)&gt;=220*0.5,SUM('S4-2 Sheet Master'!$G$18:$G$53)&gt;=290*0.5,SUM('S4-3 Detective'!$G$12:$G$35)&gt;=170*0.5,SUM('S4-4 Data Wrangler'!$G$16:$G$47)&gt;=250*0.5),"OPEN","LOCKED")</f>
        <v>LOCKED</v>
      </c>
      <c r="D10" s="30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1002</v>
      </c>
      <c r="B12" s="4"/>
      <c r="C12" s="4"/>
      <c r="D12" s="4"/>
      <c r="E12" s="4"/>
      <c r="F12" s="4"/>
      <c r="G12" s="4"/>
    </row>
    <row r="13" spans="1:7">
      <c r="A13" s="6" t="s">
        <v>19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1</v>
      </c>
      <c r="G13" s="6" t="s">
        <v>39</v>
      </c>
    </row>
    <row r="14" spans="1:7" ht="35.5" customHeight="1">
      <c r="A14" s="18" t="s">
        <v>1004</v>
      </c>
      <c r="B14" s="30" cm="1" t="str">
        <f t="array" ref="B14">IF($C$10="OPEN","Which keys turn filter buttons on and off?  (from S4-4 Data Wrangler)","LOCKED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$95:$F$95),"✔ CLEAR","✘ TRY AGAIN"))),"✘ TRY AGAIN"),"LOCKED")</f>
        <v>LOCKED</v>
      </c>
      <c r="E14" s="22"/>
      <c r="F14" s="23" cm="1" t="str">
        <f t="array" ref="F14">IF(E14="Show hint",Key!$B$95,"")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1006</v>
      </c>
      <c r="B15" s="30" cm="1" t="str">
        <f t="array" ref="B15">IF($C$10="OPEN","Which keys open the filter menu of a header cell?  (from S4-4 Data Wrangler)","LOCKED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$96:$E$96),"✔ CLEAR","✘ TRY AGAIN"))),"✘ TRY AGAIN"),"LOCKED")</f>
        <v>LOCKED</v>
      </c>
      <c r="E15" s="22"/>
      <c r="F15" s="23" cm="1" t="str">
        <f t="array" ref="F15">IF(E15="Show hint",Key!$B$96,"")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1008</v>
      </c>
      <c r="B16" s="30" cm="1" t="str">
        <f t="array" ref="B16">IF($C$10="OPEN","Which keys turn a range into a Table?  (from S4-4 Data Wrangler)","LOCKED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$97:$F$97),"✔ CLEAR","✘ TRY AGAIN"))),"✘ TRY AGAIN"),"LOCKED")</f>
        <v>LOCKED</v>
      </c>
      <c r="E16" s="22"/>
      <c r="F16" s="23" cm="1" t="str">
        <f t="array" ref="F16">IF(E16="Show hint",Key!$B$97,"")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1010</v>
      </c>
      <c r="B17" s="30" cm="1" t="str">
        <f t="array" ref="B17">IF($C$10="OPEN","Which KeyTips sort A to Z?  (from S4-4 Data Wrangler)","LOCKED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$98:$T$98),"✔ CLEAR","✘ TRY AGAIN"))),"✘ TRY AGAIN"),"LOCKED")</f>
        <v>LOCKED</v>
      </c>
      <c r="E17" s="22"/>
      <c r="F17" s="23" cm="1" t="str">
        <f t="array" ref="F17">IF(E17="Show hint",Key!$B$98,"")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1012</v>
      </c>
      <c r="B18" s="30" cm="1" t="str">
        <f t="array" ref="B18">IF($C$10="OPEN","Which KeyTips sort Z to A?  (from S4-4 Data Wrangler)","LOCKED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$99:$T$99),"✔ CLEAR","✘ TRY AGAIN"))),"✘ TRY AGAIN"),"LOCKED")</f>
        <v>LOCKED</v>
      </c>
      <c r="E18" s="22"/>
      <c r="F18" s="23" cm="1" t="str">
        <f t="array" ref="F18">IF(E18="Show hint",Key!$B$99,"")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1014</v>
      </c>
      <c r="B19" s="30" cm="1" t="str">
        <f t="array" ref="B19">IF($C$10="OPEN","Which keys insert an instant chart on the sheet?  (from S4-4 Data Wrangler)","LOCKED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$100:$E$100),"✔ CLEAR","✘ TRY AGAIN"))),"✘ TRY AGAIN"),"LOCKED")</f>
        <v>LOCKED</v>
      </c>
      <c r="E19" s="22"/>
      <c r="F19" s="23" cm="1" t="str">
        <f t="array" ref="F19">IF(E19="Show hint",Key!$B$100,"")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1016</v>
      </c>
      <c r="B20" s="30" cm="1" t="str">
        <f t="array" ref="B20">IF($C$10="OPEN","Which keys insert cells or rows?  (from S4-1 Construction Crew)","LOCKED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$101:$I$101),"✔ CLEAR","✘ TRY AGAIN"))),"✘ TRY AGAIN"),"LOCKED")</f>
        <v>LOCKED</v>
      </c>
      <c r="E20" s="22"/>
      <c r="F20" s="23" cm="1" t="str">
        <f t="array" ref="F20">IF(E20="Show hint",Key!$B$101,"")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1018</v>
      </c>
      <c r="B21" s="30" cm="1" t="str">
        <f t="array" ref="B21">IF($C$10="OPEN","Which keys delete the selected cells or rows?  (from S4-1 Construction Crew)","LOCKED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$102:$E$102),"✔ CLEAR","✘ TRY AGAIN"))),"✘ TRY AGAIN"),"LOCKED")</f>
        <v>LOCKED</v>
      </c>
      <c r="E21" s="22"/>
      <c r="F21" s="23" cm="1" t="str">
        <f t="array" ref="F21">IF(E21="Show hint",Key!$B$102,"")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1019</v>
      </c>
      <c r="B23" s="4"/>
      <c r="C23" s="4"/>
      <c r="D23" s="4"/>
      <c r="E23" s="4"/>
      <c r="F23" s="4"/>
      <c r="G23" s="4"/>
    </row>
    <row r="24" spans="1:7">
      <c r="B24" s="11" t="s">
        <v>1020</v>
      </c>
    </row>
    <row r="25" spans="1:7">
      <c r="A25" s="6" t="s">
        <v>19</v>
      </c>
      <c r="B25" s="6" t="s">
        <v>35</v>
      </c>
      <c r="C25" s="6" t="s">
        <v>36</v>
      </c>
      <c r="D25" s="6" t="s">
        <v>37</v>
      </c>
      <c r="E25" s="6" t="s">
        <v>38</v>
      </c>
      <c r="F25" s="6" t="s">
        <v>1</v>
      </c>
      <c r="G25" s="6" t="s">
        <v>39</v>
      </c>
    </row>
    <row r="26" spans="1:7" ht="35.5" customHeight="1">
      <c r="A26" s="18" t="s">
        <v>1023</v>
      </c>
      <c r="B26" s="30" cm="1" t="str">
        <f t="array" ref="B26">IF($C$10="OPEN","Filter the table at B5 to show only West (Ctrl+Shift+L, then Alt+↓ on Region).","LOCKED · earn ★ on every stage to open the Boss gate")</f>
        <v>LOCKED · earn ★ on every stage to open the Boss gate</v>
      </c>
      <c r="C26" s="11" t="s">
        <v>1024</v>
      </c>
      <c r="D26" s="21" cm="1" t="str">
        <f t="array" ref="D26">IF($C$10="OPEN",IF(IFERROR(AND(SUBTOTAL(103,'Boss Arena'!$C$6:$C$25)=5,SUMPRODUCT(SUBTOTAL(103,OFFSET('Boss Arena'!$C$6,ROW('Boss Arena'!$C$6:$C$25)-ROW('Boss Arena'!$C$6),0))*('Boss Arena'!$C$6:$C$25&lt;&gt;"West"))=0),FALSE),"✔ CLEAR","· not yet"),"LOCKED")</f>
        <v>LOCKED</v>
      </c>
      <c r="E26" s="22"/>
      <c r="F26" s="23" cm="1" t="str">
        <f t="array" ref="F26">IF(E26="Show hint",Key!$B$103,"")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1027</v>
      </c>
      <c r="B27" s="30" cm="1" t="str">
        <f t="array" ref="B27">IF($C$10="OPEN","Sort the table at B30 by Player name A→Z: click a name, then Alt, A, S, A.","LOCKED · earn ★ on every stage to open the Boss gate")</f>
        <v>LOCKED · earn ★ on every stage to open the Boss gate</v>
      </c>
      <c r="C27" s="11" t="s">
        <v>1028</v>
      </c>
      <c r="D27" s="21" cm="1" t="str">
        <f t="array" ref="D27">IF($C$10="OPEN",IF(IFERROR(AND(SUMPRODUCT(--('Boss Arena'!$B$31:$B$39&gt;'Boss Arena'!$B$32:$B$40))=0,SUMPRODUCT(--(_xlfn.XLOOKUP('Boss Arena'!$B$31:$B$40,{"Ann","Bo","Cy","Di","Ed","Flo","Gil","Hu","Ida","Jay"},{40,90,70,10,55,85,25,65,95,35})='Boss Arena'!$C$31:$C$40))=10),FALSE),"✔ CLEAR","· not yet"),"LOCKED")</f>
        <v>LOCKED</v>
      </c>
      <c r="E27" s="22"/>
      <c r="F27" s="23" cm="1" t="str">
        <f t="array" ref="F27">IF(E27="Show hint",Key!$B$104,"")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1031</v>
      </c>
      <c r="B28" s="30" cm="1" t="str">
        <f t="array" ref="B28">IF($C$10="OPEN","Use Ctrl+F to find Zircon. Type its Stock (the cell to its right).","LOCKED · earn ★ on every stage to open the Boss gate")</f>
        <v>LOCKED · earn ★ on every stage to open the Boss gate</v>
      </c>
      <c r="C28" s="20"/>
      <c r="D28" s="21" cm="1" t="str">
        <f t="array" ref="D28">IF($C$10="OPEN",IFERROR(_xlfn.LET(_xlpm.a,Boss!$C$28,IF(TRIM(_xlpm.a&amp;"")="","",IF(ABS(IF(ISNUMBER(_xlpm.a),_xlpm.a,VALUE(_xlpm.a&amp;""))-Key!$C$105)&lt;=1E-9*MAX(1,ABS(Key!$C$105)),"✔ CLEAR","✘ TRY AGAIN"))),"✘ TRY AGAIN"),"LOCKED")</f>
        <v>LOCKED</v>
      </c>
      <c r="E28" s="22"/>
      <c r="F28" s="23" cm="1" t="str">
        <f t="array" ref="F28">IF(E28="Show hint",Key!$B$105,"")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1034</v>
      </c>
      <c r="B29" s="30" cm="1" t="str">
        <f t="array" ref="B29">IF($C$10="OPEN","Use Ctrl+H to replace every TBD in the Status column with Pending (Replace All).","LOCKED · earn ★ on every stage to open the Boss gate")</f>
        <v>LOCKED · earn ★ on every stage to open the Boss gate</v>
      </c>
      <c r="C29" s="11" t="s">
        <v>1035</v>
      </c>
      <c r="D29" s="21" cm="1" t="str">
        <f t="array" ref="D29">IF($C$10="OPEN",IF(IFERROR(AND(COUNTIF('Boss Arena'!$D$46:$D$105,"TBD")=0,COUNTIF('Boss Arena'!$D$46:$D$105,"Pending")=9),FALSE),"✔ CLEAR","· not yet"),"LOCKED")</f>
        <v>LOCKED</v>
      </c>
      <c r="E29" s="22"/>
      <c r="F29" s="23" cm="1" t="str">
        <f t="array" ref="F29">IF(E29="Show hint",Key!$B$106,"")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1038</v>
      </c>
      <c r="B30" s="30" cm="1" t="str">
        <f t="array" ref="B30">IF($C$10="OPEN","Hide both HIDDEN rows in the HIDE LIST (Shift+Space, then Ctrl+9). Press F9.","LOCKED · earn ★ on every stage to open the Boss gate")</f>
        <v>LOCKED · earn ★ on every stage to open the Boss gate</v>
      </c>
      <c r="C30" s="11" t="s">
        <v>1039</v>
      </c>
      <c r="D30" s="21" cm="1" t="str">
        <f t="array" ref="D30">IF($C$10="OPEN",IF(IFERROR(AND(SUMPRODUCT(SUBTOTAL(103,OFFSET('Boss Arena'!$B$111,ROW('Boss Arena'!$B$111:$B$118)-ROW('Boss Arena'!$B$111),0))*('Boss Arena'!$B$111:$B$118="HIDDEN"))=0,SUBTOTAL(103,'Boss Arena'!$B$111:$B$118)=6),FALSE),"✔ CLEAR","· not yet · press F9"),"LOCKED")</f>
        <v>LOCKED</v>
      </c>
      <c r="E30" s="22"/>
      <c r="F30" s="23" cm="1" t="str">
        <f t="array" ref="F30">IF(E30="Show hint",Key!$B$107,"")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1042</v>
      </c>
      <c r="B31" s="30" cm="1" t="str">
        <f t="array" ref="B31">IF($C$10="OPEN","Insert two blank rows above INSERT ABOVE (Shift+Space, Shift+↓, Ctrl+Shift++).","LOCKED · earn ★ on every stage to open the Boss gate")</f>
        <v>LOCKED · earn ★ on every stage to open the Boss gate</v>
      </c>
      <c r="C31" s="11" t="s">
        <v>1043</v>
      </c>
      <c r="D31" s="21" cm="1" t="str">
        <f t="array" ref="D31">IF($C$10="OPEN",IF(IFERROR(MATCH("INSERT ABOVE",'Boss Arena'!$B:$B,0)-MATCH("ROW ABOVE",'Boss Arena'!$B:$B,0)=3,FALSE),"✔ CLEAR","· not yet"),"LOCKED")</f>
        <v>LOCKED</v>
      </c>
      <c r="E31" s="22"/>
      <c r="F31" s="23" cm="1" t="str">
        <f t="array" ref="F31">IF(E31="Show hint",Key!$B$108,"")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1046</v>
      </c>
      <c r="B32" s="30" cm="1" t="str">
        <f t="array" ref="B32">IF($C$10="OPEN","Delete the three REMOVE rows in LIST: select each with Shift+Space and press Ctrl+-.","LOCKED · earn ★ on every stage to open the Boss gate")</f>
        <v>LOCKED · earn ★ on every stage to open the Boss gate</v>
      </c>
      <c r="C32" s="11" t="s">
        <v>1047</v>
      </c>
      <c r="D32" s="21" cm="1" t="str">
        <f t="array" ref="D32">IF($C$10="OPEN",IF(IFERROR(AND(COUNTIF('Boss Arena'!$B:$B,"REMOVE")=0,COUNTIF('Boss Arena'!$B:$B,"KEEP")=5),FALSE),"✔ CLEAR","· not yet"),"LOCKED")</f>
        <v>LOCKED</v>
      </c>
      <c r="E32" s="22"/>
      <c r="F32" s="23" cm="1" t="str">
        <f t="array" ref="F32">IF(E32="Show hint",Key!$B$109,"")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1049</v>
      </c>
      <c r="B33" s="30" cm="1" t="str">
        <f t="array" ref="B33">IF($C$10="OPEN","Insert a new worksheet with Shift+F11, come back and press F9.","LOCKED · earn ★ on every stage to open the Boss gate")</f>
        <v>LOCKED · earn ★ on every stage to open the Boss gate</v>
      </c>
      <c r="C33" s="11" t="s">
        <v>1050</v>
      </c>
      <c r="D33" s="21" cm="1" t="str">
        <f t="array" ref="D33">IF($C$10="OPEN",IF(IFERROR(_xlfn.SHEETS()&gt;14,FALSE),"✔ CLEAR","· not yet · press F9"),"LOCKED")</f>
        <v>LOCKED</v>
      </c>
      <c r="E33" s="22"/>
      <c r="F33" s="23" cm="1" t="str">
        <f t="array" ref="F33">IF(E33="Show hint",Key!$B$110,"")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7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allowBlank="1" showInputMessage="1" showErrorMessage="1" promptTitle="Type what you found" prompt="Do the move in the arena, then type the word or number you found here." sqref="C28"/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C5" tooltip="Go to Boss Arena, cell C5" display="▶ ARENA B1 (cell C5)"/>
    <hyperlink ref="C27" location="'Boss Arena'!B31" tooltip="Go to Boss Arena, cell B31" display="▶ ARENA B2 (cell B31)"/>
    <hyperlink ref="C29" location="'Boss Arena'!D46" tooltip="Go to Boss Arena, cell D46" display="▶ ARENA B4 (cell D46)"/>
    <hyperlink ref="C30" location="'Boss Arena'!B112" tooltip="Go to Boss Arena, cell B112" display="▶ ARENA B5 (cell B112)"/>
    <hyperlink ref="C31" location="'Boss Arena'!B123" tooltip="Go to Boss Arena, cell B123" display="▶ ARENA B6 (cell B123)"/>
    <hyperlink ref="C32" location="'Boss Arena'!B129" tooltip="Go to Boss Arena, cell B129" display="▶ ARENA B7 (cell B129)"/>
    <hyperlink ref="C33" location="'Boss Arena'!B5" tooltip="Go to Boss Arena, cell B5" display="▶ ARENA B8 (cell B5)"/>
  </hyperlink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cols>
    <col min="1" max="1" width="14.7109375" customWidth="1"/>
    <col min="2" max="2" width="16.7109375" customWidth="1"/>
    <col min="3" max="26" width="13.7109375" customWidth="1"/>
  </cols>
  <sheetData>
    <row r="1" spans="1:5">
      <c r="A1" s="1" t="s">
        <v>924</v>
      </c>
    </row>
    <row r="2" spans="1:5">
      <c r="A2" s="3" t="s">
        <v>5</v>
      </c>
    </row>
    <row r="3" spans="1:5">
      <c r="A3" s="25" t="s">
        <v>6</v>
      </c>
      <c r="B3" s="26" t="s">
        <v>925</v>
      </c>
      <c r="D3" s="11" t="s">
        <v>926</v>
      </c>
    </row>
    <row r="5" spans="1:5">
      <c r="B5" s="27" t="s">
        <v>729</v>
      </c>
      <c r="C5" s="27" t="s">
        <v>730</v>
      </c>
      <c r="D5" s="27" t="s">
        <v>731</v>
      </c>
      <c r="E5" s="27" t="s">
        <v>732</v>
      </c>
    </row>
    <row r="6" spans="1:5">
      <c r="B6" s="5" t="s">
        <v>733</v>
      </c>
      <c r="C6" s="5" t="s">
        <v>734</v>
      </c>
      <c r="D6" s="5" t="s">
        <v>735</v>
      </c>
      <c r="E6" s="5">
        <v>40</v>
      </c>
    </row>
    <row r="7" spans="1:5">
      <c r="B7" s="5" t="s">
        <v>736</v>
      </c>
      <c r="C7" s="5" t="s">
        <v>737</v>
      </c>
      <c r="D7" s="5" t="s">
        <v>738</v>
      </c>
      <c r="E7" s="5">
        <v>15</v>
      </c>
    </row>
    <row r="8" spans="1:5">
      <c r="B8" s="5" t="s">
        <v>739</v>
      </c>
      <c r="C8" s="5" t="s">
        <v>740</v>
      </c>
      <c r="D8" s="5" t="s">
        <v>741</v>
      </c>
      <c r="E8" s="5">
        <v>55</v>
      </c>
    </row>
    <row r="9" spans="1:5">
      <c r="B9" s="5" t="s">
        <v>742</v>
      </c>
      <c r="C9" s="5" t="s">
        <v>734</v>
      </c>
      <c r="D9" s="5" t="s">
        <v>735</v>
      </c>
      <c r="E9" s="5">
        <v>20</v>
      </c>
    </row>
    <row r="10" spans="1:5">
      <c r="B10" s="5" t="s">
        <v>743</v>
      </c>
      <c r="C10" s="5" t="s">
        <v>744</v>
      </c>
      <c r="D10" s="5" t="s">
        <v>745</v>
      </c>
      <c r="E10" s="5">
        <v>60</v>
      </c>
    </row>
    <row r="11" spans="1:5">
      <c r="B11" s="5" t="s">
        <v>746</v>
      </c>
      <c r="C11" s="5" t="s">
        <v>737</v>
      </c>
      <c r="D11" s="5" t="s">
        <v>738</v>
      </c>
      <c r="E11" s="5">
        <v>35</v>
      </c>
    </row>
    <row r="12" spans="1:5">
      <c r="B12" s="5" t="s">
        <v>747</v>
      </c>
      <c r="C12" s="5" t="s">
        <v>734</v>
      </c>
      <c r="D12" s="5" t="s">
        <v>741</v>
      </c>
      <c r="E12" s="5">
        <v>25</v>
      </c>
    </row>
    <row r="13" spans="1:5">
      <c r="B13" s="5" t="s">
        <v>748</v>
      </c>
      <c r="C13" s="5" t="s">
        <v>740</v>
      </c>
      <c r="D13" s="5" t="s">
        <v>745</v>
      </c>
      <c r="E13" s="5">
        <v>45</v>
      </c>
    </row>
    <row r="14" spans="1:5">
      <c r="B14" s="5" t="s">
        <v>749</v>
      </c>
      <c r="C14" s="5" t="s">
        <v>737</v>
      </c>
      <c r="D14" s="5" t="s">
        <v>735</v>
      </c>
      <c r="E14" s="5">
        <v>10</v>
      </c>
    </row>
    <row r="15" spans="1:5">
      <c r="B15" s="5" t="s">
        <v>750</v>
      </c>
      <c r="C15" s="5" t="s">
        <v>734</v>
      </c>
      <c r="D15" s="5" t="s">
        <v>738</v>
      </c>
      <c r="E15" s="5">
        <v>70</v>
      </c>
    </row>
    <row r="16" spans="1:5">
      <c r="B16" s="5" t="s">
        <v>751</v>
      </c>
      <c r="C16" s="5" t="s">
        <v>744</v>
      </c>
      <c r="D16" s="5" t="s">
        <v>741</v>
      </c>
      <c r="E16" s="5">
        <v>30</v>
      </c>
    </row>
    <row r="17" spans="2:5">
      <c r="B17" s="5" t="s">
        <v>752</v>
      </c>
      <c r="C17" s="5" t="s">
        <v>740</v>
      </c>
      <c r="D17" s="5" t="s">
        <v>735</v>
      </c>
      <c r="E17" s="5">
        <v>50</v>
      </c>
    </row>
    <row r="18" spans="2:5">
      <c r="B18" s="5" t="s">
        <v>753</v>
      </c>
      <c r="C18" s="5" t="s">
        <v>734</v>
      </c>
      <c r="D18" s="5" t="s">
        <v>745</v>
      </c>
      <c r="E18" s="5">
        <v>65</v>
      </c>
    </row>
    <row r="19" spans="2:5">
      <c r="B19" s="5" t="s">
        <v>754</v>
      </c>
      <c r="C19" s="5" t="s">
        <v>737</v>
      </c>
      <c r="D19" s="5" t="s">
        <v>741</v>
      </c>
      <c r="E19" s="5">
        <v>20</v>
      </c>
    </row>
    <row r="20" spans="2:5">
      <c r="B20" s="5" t="s">
        <v>755</v>
      </c>
      <c r="C20" s="5" t="s">
        <v>744</v>
      </c>
      <c r="D20" s="5" t="s">
        <v>738</v>
      </c>
      <c r="E20" s="5">
        <v>15</v>
      </c>
    </row>
    <row r="21" spans="2:5">
      <c r="B21" s="5" t="s">
        <v>756</v>
      </c>
      <c r="C21" s="5" t="s">
        <v>734</v>
      </c>
      <c r="D21" s="5" t="s">
        <v>735</v>
      </c>
      <c r="E21" s="5">
        <v>50</v>
      </c>
    </row>
    <row r="22" spans="2:5">
      <c r="B22" s="5" t="s">
        <v>757</v>
      </c>
      <c r="C22" s="5" t="s">
        <v>740</v>
      </c>
      <c r="D22" s="5" t="s">
        <v>738</v>
      </c>
      <c r="E22" s="5">
        <v>25</v>
      </c>
    </row>
    <row r="23" spans="2:5">
      <c r="B23" s="5" t="s">
        <v>758</v>
      </c>
      <c r="C23" s="5" t="s">
        <v>737</v>
      </c>
      <c r="D23" s="5" t="s">
        <v>745</v>
      </c>
      <c r="E23" s="5">
        <v>40</v>
      </c>
    </row>
    <row r="24" spans="2:5">
      <c r="B24" s="5" t="s">
        <v>759</v>
      </c>
      <c r="C24" s="5" t="s">
        <v>744</v>
      </c>
      <c r="D24" s="5" t="s">
        <v>735</v>
      </c>
      <c r="E24" s="5">
        <v>35</v>
      </c>
    </row>
    <row r="25" spans="2:5">
      <c r="B25" s="5" t="s">
        <v>760</v>
      </c>
      <c r="C25" s="5" t="s">
        <v>734</v>
      </c>
      <c r="D25" s="5" t="s">
        <v>741</v>
      </c>
      <c r="E25" s="5">
        <v>55</v>
      </c>
    </row>
    <row r="30" spans="2:5">
      <c r="B30" s="27" t="s">
        <v>761</v>
      </c>
      <c r="C30" s="27" t="s">
        <v>762</v>
      </c>
      <c r="D30" s="27" t="s">
        <v>763</v>
      </c>
    </row>
    <row r="31" spans="2:5">
      <c r="B31" s="5" t="s">
        <v>775</v>
      </c>
      <c r="C31" s="5">
        <v>95</v>
      </c>
      <c r="D31" s="5" t="s">
        <v>767</v>
      </c>
    </row>
    <row r="32" spans="2:5">
      <c r="B32" s="5" t="s">
        <v>766</v>
      </c>
      <c r="C32" s="5">
        <v>90</v>
      </c>
      <c r="D32" s="5" t="s">
        <v>767</v>
      </c>
    </row>
    <row r="33" spans="2:4">
      <c r="B33" s="5" t="s">
        <v>773</v>
      </c>
      <c r="C33" s="5">
        <v>25</v>
      </c>
      <c r="D33" s="5" t="s">
        <v>770</v>
      </c>
    </row>
    <row r="34" spans="2:4">
      <c r="B34" s="5" t="s">
        <v>764</v>
      </c>
      <c r="C34" s="5">
        <v>40</v>
      </c>
      <c r="D34" s="5" t="s">
        <v>765</v>
      </c>
    </row>
    <row r="35" spans="2:4">
      <c r="B35" s="5" t="s">
        <v>776</v>
      </c>
      <c r="C35" s="5">
        <v>35</v>
      </c>
      <c r="D35" s="5" t="s">
        <v>770</v>
      </c>
    </row>
    <row r="36" spans="2:4">
      <c r="B36" s="5" t="s">
        <v>768</v>
      </c>
      <c r="C36" s="5">
        <v>70</v>
      </c>
      <c r="D36" s="5" t="s">
        <v>767</v>
      </c>
    </row>
    <row r="37" spans="2:4">
      <c r="B37" s="5" t="s">
        <v>774</v>
      </c>
      <c r="C37" s="5">
        <v>65</v>
      </c>
      <c r="D37" s="5" t="s">
        <v>765</v>
      </c>
    </row>
    <row r="38" spans="2:4">
      <c r="B38" s="5" t="s">
        <v>771</v>
      </c>
      <c r="C38" s="5">
        <v>55</v>
      </c>
      <c r="D38" s="5" t="s">
        <v>765</v>
      </c>
    </row>
    <row r="39" spans="2:4">
      <c r="B39" s="5" t="s">
        <v>772</v>
      </c>
      <c r="C39" s="5">
        <v>85</v>
      </c>
      <c r="D39" s="5" t="s">
        <v>767</v>
      </c>
    </row>
    <row r="40" spans="2:4">
      <c r="B40" s="5" t="s">
        <v>769</v>
      </c>
      <c r="C40" s="5">
        <v>10</v>
      </c>
      <c r="D40" s="5" t="s">
        <v>770</v>
      </c>
    </row>
    <row r="45" spans="2:4">
      <c r="B45" s="27" t="s">
        <v>927</v>
      </c>
      <c r="C45" s="27" t="s">
        <v>344</v>
      </c>
      <c r="D45" s="27" t="s">
        <v>928</v>
      </c>
    </row>
    <row r="46" spans="2:4">
      <c r="B46" s="5" t="s">
        <v>929</v>
      </c>
      <c r="C46" s="5">
        <v>3</v>
      </c>
      <c r="D46" s="5" t="s">
        <v>930</v>
      </c>
    </row>
    <row r="47" spans="2:4">
      <c r="B47" s="5" t="s">
        <v>931</v>
      </c>
      <c r="C47" s="5">
        <v>20</v>
      </c>
      <c r="D47" s="5" t="s">
        <v>932</v>
      </c>
    </row>
    <row r="48" spans="2:4">
      <c r="B48" s="5" t="s">
        <v>933</v>
      </c>
      <c r="C48" s="5">
        <v>37</v>
      </c>
      <c r="D48" s="5" t="s">
        <v>930</v>
      </c>
    </row>
    <row r="49" spans="2:4">
      <c r="B49" s="5" t="s">
        <v>934</v>
      </c>
      <c r="C49" s="5">
        <v>54</v>
      </c>
      <c r="D49" s="5" t="s">
        <v>935</v>
      </c>
    </row>
    <row r="50" spans="2:4">
      <c r="B50" s="5" t="s">
        <v>936</v>
      </c>
      <c r="C50" s="5">
        <v>71</v>
      </c>
      <c r="D50" s="5" t="s">
        <v>930</v>
      </c>
    </row>
    <row r="51" spans="2:4">
      <c r="B51" s="5" t="s">
        <v>937</v>
      </c>
      <c r="C51" s="5">
        <v>18</v>
      </c>
      <c r="D51" s="5" t="s">
        <v>932</v>
      </c>
    </row>
    <row r="52" spans="2:4">
      <c r="B52" s="5" t="s">
        <v>938</v>
      </c>
      <c r="C52" s="5">
        <v>35</v>
      </c>
      <c r="D52" s="5" t="s">
        <v>930</v>
      </c>
    </row>
    <row r="53" spans="2:4">
      <c r="B53" s="5" t="s">
        <v>939</v>
      </c>
      <c r="C53" s="5">
        <v>52</v>
      </c>
      <c r="D53" s="5" t="s">
        <v>932</v>
      </c>
    </row>
    <row r="54" spans="2:4">
      <c r="B54" s="5" t="s">
        <v>940</v>
      </c>
      <c r="C54" s="5">
        <v>69</v>
      </c>
      <c r="D54" s="5" t="s">
        <v>930</v>
      </c>
    </row>
    <row r="55" spans="2:4">
      <c r="B55" s="5" t="s">
        <v>941</v>
      </c>
      <c r="C55" s="5">
        <v>16</v>
      </c>
      <c r="D55" s="5" t="s">
        <v>932</v>
      </c>
    </row>
    <row r="56" spans="2:4">
      <c r="B56" s="5" t="s">
        <v>942</v>
      </c>
      <c r="C56" s="5">
        <v>33</v>
      </c>
      <c r="D56" s="5" t="s">
        <v>935</v>
      </c>
    </row>
    <row r="57" spans="2:4">
      <c r="B57" s="5" t="s">
        <v>943</v>
      </c>
      <c r="C57" s="5">
        <v>50</v>
      </c>
      <c r="D57" s="5" t="s">
        <v>932</v>
      </c>
    </row>
    <row r="58" spans="2:4">
      <c r="B58" s="5" t="s">
        <v>944</v>
      </c>
      <c r="C58" s="5">
        <v>67</v>
      </c>
      <c r="D58" s="5" t="s">
        <v>930</v>
      </c>
    </row>
    <row r="59" spans="2:4">
      <c r="B59" s="5" t="s">
        <v>945</v>
      </c>
      <c r="C59" s="5">
        <v>14</v>
      </c>
      <c r="D59" s="5" t="s">
        <v>932</v>
      </c>
    </row>
    <row r="60" spans="2:4">
      <c r="B60" s="5" t="s">
        <v>946</v>
      </c>
      <c r="C60" s="5">
        <v>31</v>
      </c>
      <c r="D60" s="5" t="s">
        <v>930</v>
      </c>
    </row>
    <row r="61" spans="2:4">
      <c r="B61" s="5" t="s">
        <v>947</v>
      </c>
      <c r="C61" s="5">
        <v>48</v>
      </c>
      <c r="D61" s="5" t="s">
        <v>932</v>
      </c>
    </row>
    <row r="62" spans="2:4">
      <c r="B62" s="5" t="s">
        <v>948</v>
      </c>
      <c r="C62" s="5">
        <v>65</v>
      </c>
      <c r="D62" s="5" t="s">
        <v>930</v>
      </c>
    </row>
    <row r="63" spans="2:4">
      <c r="B63" s="5" t="s">
        <v>949</v>
      </c>
      <c r="C63" s="5">
        <v>12</v>
      </c>
      <c r="D63" s="5" t="s">
        <v>935</v>
      </c>
    </row>
    <row r="64" spans="2:4">
      <c r="B64" s="5" t="s">
        <v>950</v>
      </c>
      <c r="C64" s="5">
        <v>29</v>
      </c>
      <c r="D64" s="5" t="s">
        <v>930</v>
      </c>
    </row>
    <row r="65" spans="2:4">
      <c r="B65" s="5" t="s">
        <v>951</v>
      </c>
      <c r="C65" s="5">
        <v>46</v>
      </c>
      <c r="D65" s="5" t="s">
        <v>932</v>
      </c>
    </row>
    <row r="66" spans="2:4">
      <c r="B66" s="5" t="s">
        <v>952</v>
      </c>
      <c r="C66" s="5">
        <v>63</v>
      </c>
      <c r="D66" s="5" t="s">
        <v>930</v>
      </c>
    </row>
    <row r="67" spans="2:4">
      <c r="B67" s="5" t="s">
        <v>953</v>
      </c>
      <c r="C67" s="5">
        <v>10</v>
      </c>
      <c r="D67" s="5" t="s">
        <v>932</v>
      </c>
    </row>
    <row r="68" spans="2:4">
      <c r="B68" s="5" t="s">
        <v>954</v>
      </c>
      <c r="C68" s="5">
        <v>27</v>
      </c>
      <c r="D68" s="5" t="s">
        <v>930</v>
      </c>
    </row>
    <row r="69" spans="2:4">
      <c r="B69" s="5" t="s">
        <v>955</v>
      </c>
      <c r="C69" s="5">
        <v>44</v>
      </c>
      <c r="D69" s="5" t="s">
        <v>932</v>
      </c>
    </row>
    <row r="70" spans="2:4">
      <c r="B70" s="5" t="s">
        <v>956</v>
      </c>
      <c r="C70" s="5">
        <v>61</v>
      </c>
      <c r="D70" s="5" t="s">
        <v>935</v>
      </c>
    </row>
    <row r="71" spans="2:4">
      <c r="B71" s="5" t="s">
        <v>957</v>
      </c>
      <c r="C71" s="5">
        <v>8</v>
      </c>
      <c r="D71" s="5" t="s">
        <v>932</v>
      </c>
    </row>
    <row r="72" spans="2:4">
      <c r="B72" s="5" t="s">
        <v>958</v>
      </c>
      <c r="C72" s="5">
        <v>25</v>
      </c>
      <c r="D72" s="5" t="s">
        <v>930</v>
      </c>
    </row>
    <row r="73" spans="2:4">
      <c r="B73" s="5" t="s">
        <v>959</v>
      </c>
      <c r="C73" s="5">
        <v>42</v>
      </c>
      <c r="D73" s="5" t="s">
        <v>932</v>
      </c>
    </row>
    <row r="74" spans="2:4">
      <c r="B74" s="5" t="s">
        <v>960</v>
      </c>
      <c r="C74" s="5">
        <v>59</v>
      </c>
      <c r="D74" s="5" t="s">
        <v>930</v>
      </c>
    </row>
    <row r="75" spans="2:4">
      <c r="B75" s="5" t="s">
        <v>961</v>
      </c>
      <c r="C75" s="5">
        <v>6</v>
      </c>
      <c r="D75" s="5" t="s">
        <v>932</v>
      </c>
    </row>
    <row r="76" spans="2:4">
      <c r="B76" s="5" t="s">
        <v>962</v>
      </c>
      <c r="C76" s="5">
        <v>23</v>
      </c>
      <c r="D76" s="5" t="s">
        <v>930</v>
      </c>
    </row>
    <row r="77" spans="2:4">
      <c r="B77" s="5" t="s">
        <v>963</v>
      </c>
      <c r="C77" s="5">
        <v>40</v>
      </c>
      <c r="D77" s="5" t="s">
        <v>935</v>
      </c>
    </row>
    <row r="78" spans="2:4">
      <c r="B78" s="5" t="s">
        <v>964</v>
      </c>
      <c r="C78" s="5">
        <v>57</v>
      </c>
      <c r="D78" s="5" t="s">
        <v>930</v>
      </c>
    </row>
    <row r="79" spans="2:4">
      <c r="B79" s="5" t="s">
        <v>965</v>
      </c>
      <c r="C79" s="5">
        <v>4</v>
      </c>
      <c r="D79" s="5" t="s">
        <v>932</v>
      </c>
    </row>
    <row r="80" spans="2:4">
      <c r="B80" s="5" t="s">
        <v>966</v>
      </c>
      <c r="C80" s="5">
        <v>21</v>
      </c>
      <c r="D80" s="5" t="s">
        <v>930</v>
      </c>
    </row>
    <row r="81" spans="2:4">
      <c r="B81" s="5" t="s">
        <v>967</v>
      </c>
      <c r="C81" s="5">
        <v>38</v>
      </c>
      <c r="D81" s="5" t="s">
        <v>932</v>
      </c>
    </row>
    <row r="82" spans="2:4">
      <c r="B82" s="5" t="s">
        <v>968</v>
      </c>
      <c r="C82" s="5">
        <v>55</v>
      </c>
      <c r="D82" s="5" t="s">
        <v>930</v>
      </c>
    </row>
    <row r="83" spans="2:4">
      <c r="B83" s="5" t="s">
        <v>969</v>
      </c>
      <c r="C83" s="5">
        <v>72</v>
      </c>
      <c r="D83" s="5" t="s">
        <v>932</v>
      </c>
    </row>
    <row r="84" spans="2:4">
      <c r="B84" s="5" t="s">
        <v>970</v>
      </c>
      <c r="C84" s="5">
        <v>19</v>
      </c>
      <c r="D84" s="5" t="s">
        <v>935</v>
      </c>
    </row>
    <row r="85" spans="2:4">
      <c r="B85" s="5" t="s">
        <v>971</v>
      </c>
      <c r="C85" s="5">
        <v>36</v>
      </c>
      <c r="D85" s="5" t="s">
        <v>932</v>
      </c>
    </row>
    <row r="86" spans="2:4">
      <c r="B86" s="5" t="s">
        <v>972</v>
      </c>
      <c r="C86" s="5">
        <v>53</v>
      </c>
      <c r="D86" s="5" t="s">
        <v>930</v>
      </c>
    </row>
    <row r="87" spans="2:4">
      <c r="B87" s="5" t="s">
        <v>973</v>
      </c>
      <c r="C87" s="5">
        <v>70</v>
      </c>
      <c r="D87" s="5" t="s">
        <v>932</v>
      </c>
    </row>
    <row r="88" spans="2:4">
      <c r="B88" s="5" t="s">
        <v>974</v>
      </c>
      <c r="C88" s="5">
        <v>17</v>
      </c>
      <c r="D88" s="5" t="s">
        <v>930</v>
      </c>
    </row>
    <row r="89" spans="2:4">
      <c r="B89" s="5" t="s">
        <v>975</v>
      </c>
      <c r="C89" s="5">
        <v>34</v>
      </c>
      <c r="D89" s="5" t="s">
        <v>932</v>
      </c>
    </row>
    <row r="90" spans="2:4">
      <c r="B90" s="5" t="s">
        <v>976</v>
      </c>
      <c r="C90" s="5">
        <v>51</v>
      </c>
      <c r="D90" s="5" t="s">
        <v>930</v>
      </c>
    </row>
    <row r="91" spans="2:4">
      <c r="B91" s="5" t="s">
        <v>977</v>
      </c>
      <c r="C91" s="5">
        <v>68</v>
      </c>
      <c r="D91" s="5" t="s">
        <v>935</v>
      </c>
    </row>
    <row r="92" spans="2:4">
      <c r="B92" s="5" t="s">
        <v>978</v>
      </c>
      <c r="C92" s="5">
        <v>15</v>
      </c>
      <c r="D92" s="5" t="s">
        <v>930</v>
      </c>
    </row>
    <row r="93" spans="2:4">
      <c r="B93" s="5" t="s">
        <v>979</v>
      </c>
      <c r="C93" s="5">
        <v>32</v>
      </c>
      <c r="D93" s="5" t="s">
        <v>932</v>
      </c>
    </row>
    <row r="94" spans="2:4">
      <c r="B94" s="5" t="s">
        <v>980</v>
      </c>
      <c r="C94" s="5">
        <v>49</v>
      </c>
      <c r="D94" s="5" t="s">
        <v>930</v>
      </c>
    </row>
    <row r="95" spans="2:4">
      <c r="B95" s="5" t="s">
        <v>981</v>
      </c>
      <c r="C95" s="5">
        <v>66</v>
      </c>
      <c r="D95" s="5" t="s">
        <v>932</v>
      </c>
    </row>
    <row r="96" spans="2:4">
      <c r="B96" s="5" t="s">
        <v>982</v>
      </c>
      <c r="C96" s="5">
        <v>13</v>
      </c>
      <c r="D96" s="5" t="s">
        <v>930</v>
      </c>
    </row>
    <row r="97" spans="2:4">
      <c r="B97" s="5" t="s">
        <v>983</v>
      </c>
      <c r="C97" s="5">
        <v>30</v>
      </c>
      <c r="D97" s="5" t="s">
        <v>932</v>
      </c>
    </row>
    <row r="98" spans="2:4">
      <c r="B98" s="5" t="s">
        <v>984</v>
      </c>
      <c r="C98" s="5">
        <v>47</v>
      </c>
      <c r="D98" s="5" t="s">
        <v>935</v>
      </c>
    </row>
    <row r="99" spans="2:4">
      <c r="B99" s="5" t="s">
        <v>985</v>
      </c>
      <c r="C99" s="5">
        <v>64</v>
      </c>
      <c r="D99" s="5" t="s">
        <v>932</v>
      </c>
    </row>
    <row r="100" spans="2:4">
      <c r="B100" s="5" t="s">
        <v>986</v>
      </c>
      <c r="C100" s="5">
        <v>11</v>
      </c>
      <c r="D100" s="5" t="s">
        <v>930</v>
      </c>
    </row>
    <row r="101" spans="2:4">
      <c r="B101" s="5" t="s">
        <v>987</v>
      </c>
      <c r="C101" s="5">
        <v>28</v>
      </c>
      <c r="D101" s="5" t="s">
        <v>932</v>
      </c>
    </row>
    <row r="102" spans="2:4">
      <c r="B102" s="5" t="s">
        <v>988</v>
      </c>
      <c r="C102" s="5">
        <v>45</v>
      </c>
      <c r="D102" s="5" t="s">
        <v>930</v>
      </c>
    </row>
    <row r="103" spans="2:4">
      <c r="B103" s="5" t="s">
        <v>989</v>
      </c>
      <c r="C103" s="5">
        <v>62</v>
      </c>
      <c r="D103" s="5" t="s">
        <v>932</v>
      </c>
    </row>
    <row r="104" spans="2:4">
      <c r="B104" s="5" t="s">
        <v>990</v>
      </c>
      <c r="C104" s="5">
        <v>9</v>
      </c>
      <c r="D104" s="5" t="s">
        <v>930</v>
      </c>
    </row>
    <row r="105" spans="2:4">
      <c r="B105" s="5" t="s">
        <v>991</v>
      </c>
      <c r="C105" s="5">
        <v>26</v>
      </c>
      <c r="D105" s="5" t="s">
        <v>935</v>
      </c>
    </row>
    <row r="110" spans="2:4">
      <c r="B110" s="7" t="s">
        <v>992</v>
      </c>
    </row>
    <row r="111" spans="2:4">
      <c r="B111" s="5" t="s">
        <v>993</v>
      </c>
    </row>
    <row r="112" spans="2:4">
      <c r="B112" s="5" t="s">
        <v>994</v>
      </c>
    </row>
    <row r="113" spans="2:2">
      <c r="B113" s="5" t="s">
        <v>993</v>
      </c>
    </row>
    <row r="114" spans="2:2">
      <c r="B114" s="5" t="s">
        <v>993</v>
      </c>
    </row>
    <row r="115" spans="2:2">
      <c r="B115" s="5" t="s">
        <v>994</v>
      </c>
    </row>
    <row r="116" spans="2:2">
      <c r="B116" s="5" t="s">
        <v>993</v>
      </c>
    </row>
    <row r="117" spans="2:2">
      <c r="B117" s="5" t="s">
        <v>993</v>
      </c>
    </row>
    <row r="118" spans="2:2">
      <c r="B118" s="5" t="s">
        <v>993</v>
      </c>
    </row>
    <row r="122" spans="2:2">
      <c r="B122" s="7" t="s">
        <v>13</v>
      </c>
    </row>
    <row r="123" spans="2:2">
      <c r="B123" s="7" t="s">
        <v>14</v>
      </c>
    </row>
    <row r="127" spans="2:2">
      <c r="B127" s="7" t="s">
        <v>15</v>
      </c>
    </row>
    <row r="128" spans="2:2">
      <c r="B128" s="5" t="s">
        <v>16</v>
      </c>
    </row>
    <row r="129" spans="2:2">
      <c r="B129" s="5" t="s">
        <v>995</v>
      </c>
    </row>
    <row r="130" spans="2:2">
      <c r="B130" s="5" t="s">
        <v>16</v>
      </c>
    </row>
    <row r="131" spans="2:2">
      <c r="B131" s="5" t="s">
        <v>995</v>
      </c>
    </row>
    <row r="132" spans="2:2">
      <c r="B132" s="5" t="s">
        <v>16</v>
      </c>
    </row>
    <row r="133" spans="2:2">
      <c r="B133" s="5" t="s">
        <v>995</v>
      </c>
    </row>
    <row r="134" spans="2:2">
      <c r="B134" s="5" t="s">
        <v>16</v>
      </c>
    </row>
    <row r="135" spans="2:2">
      <c r="B135" s="5" t="s">
        <v>16</v>
      </c>
    </row>
  </sheetData>
  <hyperlinks>
    <hyperlink ref="D3" location="Boss!A1" display="◀ Back to Boss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1087</v>
      </c>
      <c r="B1" s="2"/>
      <c r="C1" s="2"/>
      <c r="D1" s="2"/>
    </row>
    <row r="2" spans="1:4">
      <c r="A2" s="3" t="s">
        <v>1088</v>
      </c>
    </row>
    <row r="4" spans="1:4">
      <c r="A4" s="6" t="s">
        <v>1062</v>
      </c>
      <c r="B4" s="6" t="s">
        <v>21</v>
      </c>
      <c r="C4" s="6" t="s">
        <v>1089</v>
      </c>
      <c r="D4" s="6" t="s">
        <v>1090</v>
      </c>
    </row>
    <row r="5" spans="1:4" ht="35.5" customHeight="1">
      <c r="A5" s="18" t="s">
        <v>1066</v>
      </c>
      <c r="B5" s="19" t="s">
        <v>24</v>
      </c>
      <c r="C5" s="8" t="s">
        <v>1091</v>
      </c>
      <c r="D5" s="8" t="s">
        <v>1092</v>
      </c>
    </row>
    <row r="6" spans="1:4" ht="35.5" customHeight="1">
      <c r="A6" s="18" t="s">
        <v>1066</v>
      </c>
      <c r="B6" s="19" t="s">
        <v>27</v>
      </c>
      <c r="C6" s="8" t="s">
        <v>1093</v>
      </c>
      <c r="D6" s="8" t="s">
        <v>1094</v>
      </c>
    </row>
    <row r="7" spans="1:4" ht="19.75" customHeight="1">
      <c r="A7" s="18" t="s">
        <v>1066</v>
      </c>
      <c r="B7" s="19" t="s">
        <v>30</v>
      </c>
      <c r="C7" s="8" t="s">
        <v>1095</v>
      </c>
      <c r="D7" s="8" t="s">
        <v>1096</v>
      </c>
    </row>
    <row r="8" spans="1:4" ht="19.75" customHeight="1">
      <c r="A8" s="18" t="s">
        <v>1066</v>
      </c>
      <c r="B8" s="19" t="s">
        <v>33</v>
      </c>
      <c r="C8" s="8" t="s">
        <v>1097</v>
      </c>
      <c r="D8" s="8" t="s">
        <v>1098</v>
      </c>
    </row>
    <row r="9" spans="1:4" ht="19.75" customHeight="1">
      <c r="A9" s="18" t="s">
        <v>1069</v>
      </c>
      <c r="B9" s="19" t="s">
        <v>180</v>
      </c>
      <c r="C9" s="8" t="s">
        <v>1099</v>
      </c>
      <c r="D9" s="8" t="s">
        <v>1100</v>
      </c>
    </row>
    <row r="10" spans="1:4" ht="35.5" customHeight="1">
      <c r="A10" s="18" t="s">
        <v>1069</v>
      </c>
      <c r="B10" s="19" t="s">
        <v>182</v>
      </c>
      <c r="C10" s="8" t="s">
        <v>1101</v>
      </c>
      <c r="D10" s="8" t="s">
        <v>1102</v>
      </c>
    </row>
    <row r="11" spans="1:4" ht="19.75" customHeight="1">
      <c r="A11" s="18" t="s">
        <v>1069</v>
      </c>
      <c r="B11" s="19" t="s">
        <v>112</v>
      </c>
      <c r="C11" s="8" t="s">
        <v>1103</v>
      </c>
      <c r="D11" s="8" t="s">
        <v>1104</v>
      </c>
    </row>
    <row r="12" spans="1:4" ht="35.5" customHeight="1">
      <c r="A12" s="18" t="s">
        <v>1069</v>
      </c>
      <c r="B12" s="19" t="s">
        <v>113</v>
      </c>
      <c r="C12" s="8" t="s">
        <v>1105</v>
      </c>
      <c r="D12" s="8" t="s">
        <v>1106</v>
      </c>
    </row>
    <row r="13" spans="1:4" ht="19.75" customHeight="1">
      <c r="A13" s="18" t="s">
        <v>1069</v>
      </c>
      <c r="B13" s="19" t="s">
        <v>187</v>
      </c>
      <c r="C13" s="8" t="s">
        <v>1107</v>
      </c>
      <c r="D13" s="8" t="s">
        <v>1108</v>
      </c>
    </row>
    <row r="14" spans="1:4" ht="35.5" customHeight="1">
      <c r="A14" s="18" t="s">
        <v>1069</v>
      </c>
      <c r="B14" s="19" t="s">
        <v>190</v>
      </c>
      <c r="C14" s="8" t="s">
        <v>1109</v>
      </c>
      <c r="D14" s="8" t="s">
        <v>1110</v>
      </c>
    </row>
    <row r="15" spans="1:4" ht="19.75" customHeight="1">
      <c r="A15" s="18" t="s">
        <v>1069</v>
      </c>
      <c r="B15" s="19" t="s">
        <v>128</v>
      </c>
      <c r="C15" s="8" t="s">
        <v>1111</v>
      </c>
      <c r="D15" s="8" t="s">
        <v>1112</v>
      </c>
    </row>
    <row r="16" spans="1:4" ht="19.75" customHeight="1">
      <c r="A16" s="18" t="s">
        <v>1069</v>
      </c>
      <c r="B16" s="19" t="s">
        <v>195</v>
      </c>
      <c r="C16" s="8" t="s">
        <v>1113</v>
      </c>
      <c r="D16" s="8" t="s">
        <v>1114</v>
      </c>
    </row>
    <row r="17" spans="1:4" ht="35.5" customHeight="1">
      <c r="A17" s="18" t="s">
        <v>1072</v>
      </c>
      <c r="B17" s="19" t="s">
        <v>267</v>
      </c>
      <c r="C17" s="8" t="s">
        <v>1115</v>
      </c>
      <c r="D17" s="8" t="s">
        <v>1116</v>
      </c>
    </row>
    <row r="18" spans="1:4" ht="19.75" customHeight="1">
      <c r="A18" s="18" t="s">
        <v>1072</v>
      </c>
      <c r="B18" s="19" t="s">
        <v>123</v>
      </c>
      <c r="C18" s="8" t="s">
        <v>1117</v>
      </c>
      <c r="D18" s="8" t="s">
        <v>1118</v>
      </c>
    </row>
    <row r="19" spans="1:4" ht="35.5" customHeight="1">
      <c r="A19" s="18" t="s">
        <v>1075</v>
      </c>
      <c r="B19" s="19" t="s">
        <v>786</v>
      </c>
      <c r="C19" s="8" t="s">
        <v>1119</v>
      </c>
      <c r="D19" s="8" t="s">
        <v>1120</v>
      </c>
    </row>
    <row r="20" spans="1:4" ht="35.5" customHeight="1">
      <c r="A20" s="18" t="s">
        <v>1075</v>
      </c>
      <c r="B20" s="19" t="s">
        <v>130</v>
      </c>
      <c r="C20" s="8" t="s">
        <v>1121</v>
      </c>
      <c r="D20" s="8" t="s">
        <v>1122</v>
      </c>
    </row>
    <row r="21" spans="1:4" ht="35.5" customHeight="1">
      <c r="A21" s="18" t="s">
        <v>1075</v>
      </c>
      <c r="B21" s="19" t="s">
        <v>129</v>
      </c>
      <c r="C21" s="8" t="s">
        <v>1123</v>
      </c>
      <c r="D21" s="8" t="s">
        <v>1124</v>
      </c>
    </row>
    <row r="22" spans="1:4" ht="35.5" customHeight="1">
      <c r="A22" s="18" t="s">
        <v>1075</v>
      </c>
      <c r="B22" s="19" t="s">
        <v>122</v>
      </c>
      <c r="C22" s="8" t="s">
        <v>1125</v>
      </c>
      <c r="D22" s="8" t="s">
        <v>1126</v>
      </c>
    </row>
    <row r="23" spans="1:4" ht="35.5" customHeight="1">
      <c r="A23" s="18" t="s">
        <v>1075</v>
      </c>
      <c r="B23" s="19" t="s">
        <v>111</v>
      </c>
      <c r="C23" s="8" t="s">
        <v>1127</v>
      </c>
      <c r="D23" s="8" t="s">
        <v>1128</v>
      </c>
    </row>
    <row r="24" spans="1:4" ht="35.5" customHeight="1">
      <c r="A24" s="18" t="s">
        <v>1075</v>
      </c>
      <c r="B24" s="19" t="s">
        <v>260</v>
      </c>
      <c r="C24" s="8" t="s">
        <v>1129</v>
      </c>
      <c r="D24" s="8" t="s">
        <v>1130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11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E1" t="s">
        <v>3</v>
      </c>
    </row>
    <row r="2" spans="1:10">
      <c r="A2" t="s">
        <v>40</v>
      </c>
      <c r="B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</row>
    <row r="3" spans="1:10">
      <c r="A3" t="s">
        <v>50</v>
      </c>
      <c r="B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</row>
    <row r="4" spans="1:10">
      <c r="A4" t="s">
        <v>60</v>
      </c>
      <c r="B4" t="s">
        <v>61</v>
      </c>
      <c r="E4" t="s">
        <v>62</v>
      </c>
    </row>
    <row r="5" spans="1:10">
      <c r="A5" t="s">
        <v>65</v>
      </c>
      <c r="B5" t="s">
        <v>66</v>
      </c>
      <c r="E5" t="s">
        <v>67</v>
      </c>
    </row>
    <row r="6" spans="1:10">
      <c r="A6" t="s">
        <v>70</v>
      </c>
      <c r="B6" t="s">
        <v>71</v>
      </c>
      <c r="E6" t="s">
        <v>72</v>
      </c>
    </row>
    <row r="7" spans="1:10">
      <c r="A7" t="s">
        <v>75</v>
      </c>
      <c r="B7" t="s">
        <v>76</v>
      </c>
      <c r="E7" t="s">
        <v>77</v>
      </c>
    </row>
    <row r="8" spans="1:10">
      <c r="A8" t="s">
        <v>80</v>
      </c>
      <c r="B8" t="s">
        <v>81</v>
      </c>
      <c r="E8" t="s">
        <v>82</v>
      </c>
      <c r="F8" t="s">
        <v>83</v>
      </c>
      <c r="G8" t="s">
        <v>84</v>
      </c>
      <c r="H8" t="s">
        <v>85</v>
      </c>
    </row>
    <row r="9" spans="1:10">
      <c r="A9" t="s">
        <v>88</v>
      </c>
      <c r="B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</row>
    <row r="10" spans="1:10">
      <c r="A10" t="s">
        <v>98</v>
      </c>
      <c r="B10" t="s">
        <v>99</v>
      </c>
      <c r="E10" t="s">
        <v>100</v>
      </c>
    </row>
    <row r="11" spans="1:10">
      <c r="A11" t="s">
        <v>103</v>
      </c>
      <c r="B11" t="s">
        <v>104</v>
      </c>
      <c r="E11" t="s">
        <v>105</v>
      </c>
    </row>
    <row r="12" spans="1:10">
      <c r="A12" t="s">
        <v>109</v>
      </c>
      <c r="B12" t="s">
        <v>110</v>
      </c>
      <c r="C12" t="s">
        <v>24</v>
      </c>
      <c r="E12" t="s">
        <v>24</v>
      </c>
      <c r="F12" t="s">
        <v>111</v>
      </c>
      <c r="G12" t="s">
        <v>112</v>
      </c>
      <c r="H12" t="s">
        <v>113</v>
      </c>
    </row>
    <row r="13" spans="1:10">
      <c r="A13" t="s">
        <v>116</v>
      </c>
      <c r="B13" t="s">
        <v>117</v>
      </c>
      <c r="C13" t="s">
        <v>27</v>
      </c>
      <c r="E13" t="s">
        <v>24</v>
      </c>
      <c r="F13" t="s">
        <v>111</v>
      </c>
      <c r="G13" t="s">
        <v>27</v>
      </c>
      <c r="H13" t="s">
        <v>33</v>
      </c>
    </row>
    <row r="14" spans="1:10">
      <c r="A14" t="s">
        <v>120</v>
      </c>
      <c r="B14" t="s">
        <v>121</v>
      </c>
      <c r="C14" t="s">
        <v>30</v>
      </c>
      <c r="E14" t="s">
        <v>122</v>
      </c>
      <c r="F14" t="s">
        <v>123</v>
      </c>
      <c r="G14" t="s">
        <v>30</v>
      </c>
      <c r="H14" t="s">
        <v>112</v>
      </c>
    </row>
    <row r="15" spans="1:10">
      <c r="A15" t="s">
        <v>126</v>
      </c>
      <c r="B15" t="s">
        <v>127</v>
      </c>
      <c r="C15" t="s">
        <v>33</v>
      </c>
      <c r="E15" t="s">
        <v>128</v>
      </c>
      <c r="F15" t="s">
        <v>129</v>
      </c>
      <c r="G15" t="s">
        <v>130</v>
      </c>
      <c r="H15" t="s">
        <v>33</v>
      </c>
    </row>
    <row r="16" spans="1:10">
      <c r="A16" t="s">
        <v>135</v>
      </c>
      <c r="B16" t="s">
        <v>110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</row>
    <row r="17" spans="1:10">
      <c r="A17" t="s">
        <v>142</v>
      </c>
      <c r="B17" t="s">
        <v>117</v>
      </c>
      <c r="E17" t="s">
        <v>143</v>
      </c>
    </row>
    <row r="18" spans="1:10">
      <c r="A18" t="s">
        <v>145</v>
      </c>
      <c r="B18" t="s">
        <v>121</v>
      </c>
      <c r="E18" t="s">
        <v>146</v>
      </c>
    </row>
    <row r="19" spans="1:10">
      <c r="A19" t="s">
        <v>148</v>
      </c>
      <c r="B19" t="s">
        <v>127</v>
      </c>
      <c r="E19" t="s">
        <v>149</v>
      </c>
    </row>
    <row r="20" spans="1:10">
      <c r="A20" t="s">
        <v>151</v>
      </c>
      <c r="B20" t="s">
        <v>152</v>
      </c>
    </row>
    <row r="21" spans="1:10">
      <c r="A21" t="s">
        <v>156</v>
      </c>
      <c r="B21" t="s">
        <v>157</v>
      </c>
    </row>
    <row r="22" spans="1:10">
      <c r="A22" t="s">
        <v>161</v>
      </c>
      <c r="B22" t="s">
        <v>162</v>
      </c>
    </row>
    <row r="23" spans="1:10">
      <c r="A23" t="s">
        <v>166</v>
      </c>
      <c r="B23" t="s">
        <v>167</v>
      </c>
    </row>
    <row r="24" spans="1:10">
      <c r="A24" t="s">
        <v>196</v>
      </c>
      <c r="B24" t="s">
        <v>110</v>
      </c>
      <c r="E24" t="s">
        <v>136</v>
      </c>
      <c r="F24" t="s">
        <v>137</v>
      </c>
      <c r="G24" t="s">
        <v>138</v>
      </c>
      <c r="H24" t="s">
        <v>139</v>
      </c>
      <c r="I24" t="s">
        <v>140</v>
      </c>
    </row>
    <row r="25" spans="1:10">
      <c r="A25" t="s">
        <v>198</v>
      </c>
      <c r="B25" t="s">
        <v>117</v>
      </c>
      <c r="E25" t="s">
        <v>143</v>
      </c>
    </row>
    <row r="26" spans="1:10">
      <c r="A26" t="s">
        <v>200</v>
      </c>
      <c r="B26" t="s">
        <v>121</v>
      </c>
      <c r="E26" t="s">
        <v>146</v>
      </c>
    </row>
    <row r="27" spans="1:10">
      <c r="A27" t="s">
        <v>202</v>
      </c>
      <c r="B27" t="s">
        <v>127</v>
      </c>
      <c r="E27" t="s">
        <v>149</v>
      </c>
    </row>
    <row r="28" spans="1:10">
      <c r="A28" t="s">
        <v>204</v>
      </c>
      <c r="B28" t="s">
        <v>205</v>
      </c>
      <c r="E28" t="s">
        <v>206</v>
      </c>
      <c r="F28" t="s">
        <v>207</v>
      </c>
      <c r="G28" t="s">
        <v>208</v>
      </c>
      <c r="H28" t="s">
        <v>209</v>
      </c>
      <c r="I28" t="s">
        <v>210</v>
      </c>
      <c r="J28" t="s">
        <v>211</v>
      </c>
    </row>
    <row r="29" spans="1:10">
      <c r="A29" t="s">
        <v>213</v>
      </c>
      <c r="B29" t="s">
        <v>214</v>
      </c>
      <c r="E29" t="s">
        <v>215</v>
      </c>
      <c r="F29" t="s">
        <v>216</v>
      </c>
      <c r="G29" t="s">
        <v>217</v>
      </c>
      <c r="H29" t="s">
        <v>218</v>
      </c>
      <c r="I29" t="s">
        <v>219</v>
      </c>
      <c r="J29" t="s">
        <v>220</v>
      </c>
    </row>
    <row r="30" spans="1:10">
      <c r="A30" t="s">
        <v>222</v>
      </c>
      <c r="B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</row>
    <row r="31" spans="1:10">
      <c r="A31" t="s">
        <v>231</v>
      </c>
      <c r="B31" t="s">
        <v>232</v>
      </c>
      <c r="E31" t="s">
        <v>233</v>
      </c>
      <c r="F31" t="s">
        <v>234</v>
      </c>
      <c r="G31" t="s">
        <v>235</v>
      </c>
      <c r="H31" t="s">
        <v>236</v>
      </c>
      <c r="I31" t="s">
        <v>237</v>
      </c>
      <c r="J31" t="s">
        <v>238</v>
      </c>
    </row>
    <row r="32" spans="1:10">
      <c r="A32" t="s">
        <v>240</v>
      </c>
      <c r="B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246</v>
      </c>
      <c r="J32" t="s">
        <v>247</v>
      </c>
    </row>
    <row r="33" spans="1:20">
      <c r="A33" t="s">
        <v>249</v>
      </c>
      <c r="B33" t="s">
        <v>250</v>
      </c>
      <c r="E33" t="s">
        <v>251</v>
      </c>
      <c r="F33" t="s">
        <v>252</v>
      </c>
      <c r="G33" t="s">
        <v>253</v>
      </c>
      <c r="H33" t="s">
        <v>254</v>
      </c>
      <c r="I33" t="s">
        <v>255</v>
      </c>
      <c r="J33" t="s">
        <v>256</v>
      </c>
    </row>
    <row r="34" spans="1:20">
      <c r="A34" t="s">
        <v>258</v>
      </c>
      <c r="B34" t="s">
        <v>259</v>
      </c>
      <c r="C34" t="s">
        <v>180</v>
      </c>
      <c r="E34" t="s">
        <v>112</v>
      </c>
      <c r="F34" t="s">
        <v>113</v>
      </c>
      <c r="G34" t="s">
        <v>260</v>
      </c>
      <c r="H34" t="s">
        <v>180</v>
      </c>
    </row>
    <row r="35" spans="1:20">
      <c r="A35" t="s">
        <v>262</v>
      </c>
      <c r="B35" t="s">
        <v>263</v>
      </c>
      <c r="C35" t="s">
        <v>182</v>
      </c>
      <c r="E35" t="s">
        <v>182</v>
      </c>
      <c r="F35" t="s">
        <v>187</v>
      </c>
      <c r="G35" t="s">
        <v>33</v>
      </c>
      <c r="H35" t="s">
        <v>128</v>
      </c>
    </row>
    <row r="36" spans="1:20">
      <c r="A36" t="s">
        <v>265</v>
      </c>
      <c r="B36" t="s">
        <v>266</v>
      </c>
      <c r="C36" t="s">
        <v>112</v>
      </c>
      <c r="E36" t="s">
        <v>267</v>
      </c>
      <c r="F36" t="s">
        <v>182</v>
      </c>
      <c r="G36" t="s">
        <v>27</v>
      </c>
      <c r="H36" t="s">
        <v>112</v>
      </c>
    </row>
    <row r="37" spans="1:20">
      <c r="A37" t="s">
        <v>269</v>
      </c>
      <c r="B37" t="s">
        <v>270</v>
      </c>
      <c r="C37" t="s">
        <v>113</v>
      </c>
      <c r="E37" t="s">
        <v>113</v>
      </c>
      <c r="F37" t="s">
        <v>24</v>
      </c>
      <c r="G37" t="s">
        <v>33</v>
      </c>
      <c r="H37" t="s">
        <v>128</v>
      </c>
    </row>
    <row r="38" spans="1:20">
      <c r="A38" t="s">
        <v>272</v>
      </c>
      <c r="B38" t="s">
        <v>273</v>
      </c>
      <c r="C38" t="s">
        <v>187</v>
      </c>
      <c r="E38" t="s">
        <v>33</v>
      </c>
      <c r="F38" t="s">
        <v>187</v>
      </c>
      <c r="G38" t="s">
        <v>260</v>
      </c>
      <c r="H38" t="s">
        <v>128</v>
      </c>
    </row>
    <row r="39" spans="1:20">
      <c r="A39" t="s">
        <v>276</v>
      </c>
      <c r="B39" t="s">
        <v>277</v>
      </c>
      <c r="C39" t="s">
        <v>190</v>
      </c>
      <c r="E39" t="s">
        <v>130</v>
      </c>
      <c r="F39" t="s">
        <v>190</v>
      </c>
      <c r="G39" t="s">
        <v>33</v>
      </c>
      <c r="H39" t="s">
        <v>129</v>
      </c>
    </row>
    <row r="40" spans="1:20">
      <c r="A40" t="s">
        <v>280</v>
      </c>
      <c r="B40" t="s">
        <v>281</v>
      </c>
      <c r="C40" t="s">
        <v>128</v>
      </c>
      <c r="E40" t="s">
        <v>128</v>
      </c>
      <c r="F40" t="s">
        <v>112</v>
      </c>
      <c r="G40" t="s">
        <v>267</v>
      </c>
      <c r="H40" t="s">
        <v>113</v>
      </c>
    </row>
    <row r="41" spans="1:20">
      <c r="A41" t="s">
        <v>284</v>
      </c>
      <c r="B41" t="s">
        <v>285</v>
      </c>
      <c r="C41" t="s">
        <v>195</v>
      </c>
      <c r="E41" t="s">
        <v>112</v>
      </c>
      <c r="F41" t="s">
        <v>182</v>
      </c>
      <c r="G41" t="s">
        <v>195</v>
      </c>
      <c r="H41" t="s">
        <v>128</v>
      </c>
    </row>
    <row r="42" spans="1:20">
      <c r="A42" t="s">
        <v>289</v>
      </c>
      <c r="B42" t="s">
        <v>259</v>
      </c>
      <c r="E42" t="s">
        <v>290</v>
      </c>
      <c r="F42" t="s">
        <v>291</v>
      </c>
      <c r="G42" t="s">
        <v>292</v>
      </c>
    </row>
    <row r="43" spans="1:20">
      <c r="A43" t="s">
        <v>293</v>
      </c>
      <c r="B43" t="s">
        <v>263</v>
      </c>
      <c r="E43" t="s">
        <v>294</v>
      </c>
      <c r="F43" t="s">
        <v>295</v>
      </c>
      <c r="G43" t="s">
        <v>296</v>
      </c>
      <c r="H43" t="s">
        <v>297</v>
      </c>
      <c r="I43" t="s">
        <v>298</v>
      </c>
      <c r="J43" t="s">
        <v>299</v>
      </c>
      <c r="K43" t="s">
        <v>300</v>
      </c>
      <c r="L43" t="s">
        <v>301</v>
      </c>
      <c r="M43" t="s">
        <v>302</v>
      </c>
      <c r="N43" t="s">
        <v>303</v>
      </c>
      <c r="O43" t="s">
        <v>304</v>
      </c>
      <c r="P43" t="s">
        <v>305</v>
      </c>
      <c r="Q43" t="s">
        <v>306</v>
      </c>
      <c r="R43" t="s">
        <v>307</v>
      </c>
      <c r="S43" t="s">
        <v>308</v>
      </c>
      <c r="T43" t="s">
        <v>309</v>
      </c>
    </row>
    <row r="44" spans="1:20">
      <c r="A44" t="s">
        <v>310</v>
      </c>
      <c r="B44" t="s">
        <v>266</v>
      </c>
      <c r="E44" t="s">
        <v>311</v>
      </c>
    </row>
    <row r="45" spans="1:20">
      <c r="A45" t="s">
        <v>312</v>
      </c>
      <c r="B45" t="s">
        <v>270</v>
      </c>
      <c r="E45" t="s">
        <v>113</v>
      </c>
    </row>
    <row r="46" spans="1:20">
      <c r="A46" t="s">
        <v>313</v>
      </c>
      <c r="B46" t="s">
        <v>273</v>
      </c>
      <c r="E46" t="s">
        <v>314</v>
      </c>
    </row>
    <row r="47" spans="1:20">
      <c r="A47" t="s">
        <v>315</v>
      </c>
      <c r="B47" t="s">
        <v>277</v>
      </c>
      <c r="E47" t="s">
        <v>316</v>
      </c>
    </row>
    <row r="48" spans="1:20">
      <c r="A48" t="s">
        <v>317</v>
      </c>
      <c r="B48" t="s">
        <v>281</v>
      </c>
      <c r="E48" t="s">
        <v>318</v>
      </c>
    </row>
    <row r="49" spans="1:20">
      <c r="A49" t="s">
        <v>319</v>
      </c>
      <c r="B49" t="s">
        <v>285</v>
      </c>
      <c r="E49" t="s">
        <v>320</v>
      </c>
    </row>
    <row r="50" spans="1:20">
      <c r="A50" t="s">
        <v>321</v>
      </c>
      <c r="B50" t="s">
        <v>322</v>
      </c>
    </row>
    <row r="51" spans="1:20">
      <c r="A51" t="s">
        <v>326</v>
      </c>
      <c r="B51" t="s">
        <v>327</v>
      </c>
    </row>
    <row r="52" spans="1:20">
      <c r="A52" t="s">
        <v>331</v>
      </c>
      <c r="B52" t="s">
        <v>332</v>
      </c>
      <c r="E52" t="s">
        <v>333</v>
      </c>
    </row>
    <row r="53" spans="1:20">
      <c r="A53" t="s">
        <v>669</v>
      </c>
      <c r="B53" t="s">
        <v>259</v>
      </c>
      <c r="E53" t="s">
        <v>290</v>
      </c>
      <c r="F53" t="s">
        <v>291</v>
      </c>
      <c r="G53" t="s">
        <v>292</v>
      </c>
    </row>
    <row r="54" spans="1:20">
      <c r="A54" t="s">
        <v>671</v>
      </c>
      <c r="B54" t="s">
        <v>263</v>
      </c>
      <c r="E54" t="s">
        <v>294</v>
      </c>
      <c r="F54" t="s">
        <v>295</v>
      </c>
      <c r="G54" t="s">
        <v>296</v>
      </c>
      <c r="H54" t="s">
        <v>297</v>
      </c>
      <c r="I54" t="s">
        <v>298</v>
      </c>
      <c r="J54" t="s">
        <v>299</v>
      </c>
      <c r="K54" t="s">
        <v>300</v>
      </c>
      <c r="L54" t="s">
        <v>301</v>
      </c>
      <c r="M54" t="s">
        <v>302</v>
      </c>
      <c r="N54" t="s">
        <v>303</v>
      </c>
      <c r="O54" t="s">
        <v>304</v>
      </c>
      <c r="P54" t="s">
        <v>305</v>
      </c>
      <c r="Q54" t="s">
        <v>306</v>
      </c>
      <c r="R54" t="s">
        <v>307</v>
      </c>
      <c r="S54" t="s">
        <v>308</v>
      </c>
      <c r="T54" t="s">
        <v>309</v>
      </c>
    </row>
    <row r="55" spans="1:20">
      <c r="A55" t="s">
        <v>673</v>
      </c>
      <c r="B55" t="s">
        <v>266</v>
      </c>
      <c r="E55" t="s">
        <v>311</v>
      </c>
    </row>
    <row r="56" spans="1:20">
      <c r="A56" t="s">
        <v>675</v>
      </c>
      <c r="B56" t="s">
        <v>270</v>
      </c>
      <c r="E56" t="s">
        <v>113</v>
      </c>
    </row>
    <row r="57" spans="1:20">
      <c r="A57" t="s">
        <v>677</v>
      </c>
      <c r="B57" t="s">
        <v>273</v>
      </c>
      <c r="E57" t="s">
        <v>314</v>
      </c>
    </row>
    <row r="58" spans="1:20">
      <c r="A58" t="s">
        <v>679</v>
      </c>
      <c r="B58" t="s">
        <v>277</v>
      </c>
      <c r="E58" t="s">
        <v>316</v>
      </c>
    </row>
    <row r="59" spans="1:20">
      <c r="A59" t="s">
        <v>681</v>
      </c>
      <c r="B59" t="s">
        <v>281</v>
      </c>
      <c r="E59" t="s">
        <v>318</v>
      </c>
    </row>
    <row r="60" spans="1:20">
      <c r="A60" t="s">
        <v>683</v>
      </c>
      <c r="B60" t="s">
        <v>285</v>
      </c>
      <c r="E60" t="s">
        <v>320</v>
      </c>
    </row>
    <row r="61" spans="1:20">
      <c r="A61" t="s">
        <v>685</v>
      </c>
      <c r="B61" t="s">
        <v>686</v>
      </c>
      <c r="E61" t="s">
        <v>687</v>
      </c>
      <c r="F61" t="s">
        <v>688</v>
      </c>
      <c r="G61" t="s">
        <v>689</v>
      </c>
      <c r="H61" t="s">
        <v>690</v>
      </c>
      <c r="I61" t="s">
        <v>691</v>
      </c>
      <c r="J61" t="s">
        <v>692</v>
      </c>
    </row>
    <row r="62" spans="1:20">
      <c r="A62" t="s">
        <v>694</v>
      </c>
      <c r="B62" t="s">
        <v>695</v>
      </c>
      <c r="E62" t="s">
        <v>696</v>
      </c>
      <c r="F62" t="s">
        <v>697</v>
      </c>
      <c r="G62" t="s">
        <v>698</v>
      </c>
      <c r="H62" t="s">
        <v>699</v>
      </c>
      <c r="I62" t="s">
        <v>700</v>
      </c>
      <c r="J62" t="s">
        <v>701</v>
      </c>
    </row>
    <row r="63" spans="1:20">
      <c r="A63" t="s">
        <v>703</v>
      </c>
      <c r="B63" t="s">
        <v>704</v>
      </c>
      <c r="C63" t="s">
        <v>267</v>
      </c>
      <c r="E63" t="s">
        <v>267</v>
      </c>
      <c r="F63" t="s">
        <v>123</v>
      </c>
      <c r="G63" t="s">
        <v>112</v>
      </c>
      <c r="H63" t="s">
        <v>129</v>
      </c>
    </row>
    <row r="64" spans="1:20">
      <c r="A64" t="s">
        <v>706</v>
      </c>
      <c r="B64" t="s">
        <v>707</v>
      </c>
      <c r="C64" t="s">
        <v>123</v>
      </c>
      <c r="E64" t="s">
        <v>187</v>
      </c>
      <c r="F64" t="s">
        <v>123</v>
      </c>
      <c r="G64" t="s">
        <v>33</v>
      </c>
      <c r="H64" t="s">
        <v>112</v>
      </c>
    </row>
    <row r="65" spans="1:10">
      <c r="A65" t="s">
        <v>710</v>
      </c>
      <c r="B65" t="s">
        <v>704</v>
      </c>
      <c r="E65" t="s">
        <v>711</v>
      </c>
    </row>
    <row r="66" spans="1:10">
      <c r="A66" t="s">
        <v>712</v>
      </c>
      <c r="B66" t="s">
        <v>707</v>
      </c>
      <c r="E66" t="s">
        <v>713</v>
      </c>
    </row>
    <row r="67" spans="1:10">
      <c r="A67" t="s">
        <v>714</v>
      </c>
      <c r="B67" t="s">
        <v>715</v>
      </c>
      <c r="C67">
        <v>85</v>
      </c>
    </row>
    <row r="68" spans="1:10">
      <c r="A68" t="s">
        <v>717</v>
      </c>
      <c r="B68" t="s">
        <v>718</v>
      </c>
    </row>
    <row r="69" spans="1:10">
      <c r="A69" t="s">
        <v>721</v>
      </c>
      <c r="B69" t="s">
        <v>722</v>
      </c>
      <c r="C69">
        <v>60</v>
      </c>
    </row>
    <row r="70" spans="1:10">
      <c r="A70" t="s">
        <v>792</v>
      </c>
      <c r="B70" t="s">
        <v>704</v>
      </c>
      <c r="E70" t="s">
        <v>711</v>
      </c>
    </row>
    <row r="71" spans="1:10">
      <c r="A71" t="s">
        <v>794</v>
      </c>
      <c r="B71" t="s">
        <v>707</v>
      </c>
      <c r="E71" t="s">
        <v>713</v>
      </c>
    </row>
    <row r="72" spans="1:10">
      <c r="A72" t="s">
        <v>796</v>
      </c>
      <c r="B72" t="s">
        <v>797</v>
      </c>
      <c r="E72" t="s">
        <v>798</v>
      </c>
      <c r="F72" t="s">
        <v>799</v>
      </c>
    </row>
    <row r="73" spans="1:10">
      <c r="A73" t="s">
        <v>801</v>
      </c>
      <c r="B73" t="s">
        <v>802</v>
      </c>
      <c r="E73" t="s">
        <v>25</v>
      </c>
      <c r="F73" t="s">
        <v>803</v>
      </c>
    </row>
    <row r="74" spans="1:10">
      <c r="A74" t="s">
        <v>805</v>
      </c>
      <c r="B74" t="s">
        <v>806</v>
      </c>
      <c r="E74" t="s">
        <v>25</v>
      </c>
      <c r="F74" t="s">
        <v>803</v>
      </c>
    </row>
    <row r="75" spans="1:10">
      <c r="A75" t="s">
        <v>808</v>
      </c>
      <c r="B75" t="s">
        <v>809</v>
      </c>
      <c r="E75" t="s">
        <v>810</v>
      </c>
      <c r="F75" t="s">
        <v>811</v>
      </c>
      <c r="G75" t="s">
        <v>812</v>
      </c>
      <c r="H75" t="s">
        <v>813</v>
      </c>
      <c r="I75" t="s">
        <v>814</v>
      </c>
      <c r="J75" t="s">
        <v>815</v>
      </c>
    </row>
    <row r="76" spans="1:10">
      <c r="A76" t="s">
        <v>817</v>
      </c>
      <c r="B76" t="s">
        <v>818</v>
      </c>
      <c r="E76" t="s">
        <v>819</v>
      </c>
    </row>
    <row r="77" spans="1:10">
      <c r="A77" t="s">
        <v>821</v>
      </c>
      <c r="B77" t="s">
        <v>822</v>
      </c>
      <c r="E77" t="s">
        <v>823</v>
      </c>
      <c r="F77" t="s">
        <v>824</v>
      </c>
      <c r="G77" t="s">
        <v>825</v>
      </c>
      <c r="H77" t="s">
        <v>826</v>
      </c>
      <c r="I77" t="s">
        <v>827</v>
      </c>
      <c r="J77" t="s">
        <v>828</v>
      </c>
    </row>
    <row r="78" spans="1:10">
      <c r="A78" t="s">
        <v>830</v>
      </c>
      <c r="B78" t="s">
        <v>831</v>
      </c>
      <c r="E78" t="s">
        <v>832</v>
      </c>
      <c r="F78" t="s">
        <v>833</v>
      </c>
      <c r="G78" t="s">
        <v>834</v>
      </c>
      <c r="H78" t="s">
        <v>835</v>
      </c>
      <c r="I78" t="s">
        <v>836</v>
      </c>
      <c r="J78" t="s">
        <v>837</v>
      </c>
    </row>
    <row r="79" spans="1:10">
      <c r="A79" t="s">
        <v>839</v>
      </c>
      <c r="B79" t="s">
        <v>840</v>
      </c>
      <c r="E79" t="s">
        <v>841</v>
      </c>
      <c r="F79" t="s">
        <v>842</v>
      </c>
      <c r="G79" t="s">
        <v>843</v>
      </c>
      <c r="H79" t="s">
        <v>844</v>
      </c>
      <c r="I79" t="s">
        <v>845</v>
      </c>
      <c r="J79" t="s">
        <v>846</v>
      </c>
    </row>
    <row r="80" spans="1:10">
      <c r="A80" t="s">
        <v>848</v>
      </c>
      <c r="B80" t="s">
        <v>849</v>
      </c>
      <c r="C80" t="s">
        <v>786</v>
      </c>
      <c r="E80" t="s">
        <v>33</v>
      </c>
      <c r="F80" t="s">
        <v>267</v>
      </c>
      <c r="G80" t="s">
        <v>130</v>
      </c>
      <c r="H80" t="s">
        <v>786</v>
      </c>
    </row>
    <row r="81" spans="1:20">
      <c r="A81" t="s">
        <v>851</v>
      </c>
      <c r="B81" t="s">
        <v>852</v>
      </c>
      <c r="C81" t="s">
        <v>130</v>
      </c>
      <c r="E81" t="s">
        <v>195</v>
      </c>
      <c r="F81" t="s">
        <v>130</v>
      </c>
      <c r="G81" t="s">
        <v>190</v>
      </c>
      <c r="H81" t="s">
        <v>786</v>
      </c>
    </row>
    <row r="82" spans="1:20">
      <c r="A82" t="s">
        <v>854</v>
      </c>
      <c r="B82" t="s">
        <v>855</v>
      </c>
      <c r="C82" t="s">
        <v>129</v>
      </c>
      <c r="E82" t="s">
        <v>27</v>
      </c>
      <c r="F82" t="s">
        <v>187</v>
      </c>
      <c r="G82" t="s">
        <v>182</v>
      </c>
      <c r="H82" t="s">
        <v>129</v>
      </c>
    </row>
    <row r="83" spans="1:20">
      <c r="A83" t="s">
        <v>857</v>
      </c>
      <c r="B83" t="s">
        <v>858</v>
      </c>
      <c r="C83" t="s">
        <v>122</v>
      </c>
      <c r="E83" t="s">
        <v>112</v>
      </c>
      <c r="F83" t="s">
        <v>195</v>
      </c>
      <c r="G83" t="s">
        <v>786</v>
      </c>
      <c r="H83" t="s">
        <v>122</v>
      </c>
    </row>
    <row r="84" spans="1:20">
      <c r="A84" t="s">
        <v>860</v>
      </c>
      <c r="B84" t="s">
        <v>861</v>
      </c>
      <c r="C84" t="s">
        <v>111</v>
      </c>
      <c r="E84" t="s">
        <v>260</v>
      </c>
      <c r="F84" t="s">
        <v>111</v>
      </c>
      <c r="G84" t="s">
        <v>122</v>
      </c>
      <c r="H84" t="s">
        <v>123</v>
      </c>
    </row>
    <row r="85" spans="1:20">
      <c r="A85" t="s">
        <v>863</v>
      </c>
      <c r="B85" t="s">
        <v>864</v>
      </c>
      <c r="C85" t="s">
        <v>260</v>
      </c>
      <c r="E85" t="s">
        <v>190</v>
      </c>
      <c r="F85" t="s">
        <v>113</v>
      </c>
      <c r="G85" t="s">
        <v>260</v>
      </c>
      <c r="H85" t="s">
        <v>128</v>
      </c>
    </row>
    <row r="86" spans="1:20">
      <c r="A86" t="s">
        <v>867</v>
      </c>
      <c r="B86" t="s">
        <v>849</v>
      </c>
      <c r="E86" t="s">
        <v>868</v>
      </c>
      <c r="F86" t="s">
        <v>869</v>
      </c>
    </row>
    <row r="87" spans="1:20">
      <c r="A87" t="s">
        <v>870</v>
      </c>
      <c r="B87" t="s">
        <v>852</v>
      </c>
      <c r="E87" t="s">
        <v>67</v>
      </c>
    </row>
    <row r="88" spans="1:20">
      <c r="A88" t="s">
        <v>872</v>
      </c>
      <c r="B88" t="s">
        <v>855</v>
      </c>
      <c r="E88" t="s">
        <v>873</v>
      </c>
      <c r="F88" t="s">
        <v>874</v>
      </c>
    </row>
    <row r="89" spans="1:20">
      <c r="A89" t="s">
        <v>875</v>
      </c>
      <c r="B89" t="s">
        <v>858</v>
      </c>
      <c r="E89" t="s">
        <v>876</v>
      </c>
      <c r="F89" t="s">
        <v>877</v>
      </c>
      <c r="G89" t="s">
        <v>878</v>
      </c>
      <c r="H89" t="s">
        <v>879</v>
      </c>
      <c r="I89" t="s">
        <v>880</v>
      </c>
      <c r="J89" t="s">
        <v>881</v>
      </c>
      <c r="K89" t="s">
        <v>882</v>
      </c>
      <c r="L89" t="s">
        <v>883</v>
      </c>
      <c r="M89" t="s">
        <v>884</v>
      </c>
      <c r="N89" t="s">
        <v>885</v>
      </c>
      <c r="O89" t="s">
        <v>886</v>
      </c>
      <c r="P89" t="s">
        <v>887</v>
      </c>
      <c r="Q89" t="s">
        <v>888</v>
      </c>
      <c r="R89" t="s">
        <v>889</v>
      </c>
      <c r="S89" t="s">
        <v>890</v>
      </c>
      <c r="T89" t="s">
        <v>891</v>
      </c>
    </row>
    <row r="90" spans="1:20">
      <c r="A90" t="s">
        <v>892</v>
      </c>
      <c r="B90" t="s">
        <v>861</v>
      </c>
      <c r="E90" t="s">
        <v>893</v>
      </c>
      <c r="F90" t="s">
        <v>894</v>
      </c>
      <c r="G90" t="s">
        <v>895</v>
      </c>
      <c r="H90" t="s">
        <v>896</v>
      </c>
      <c r="I90" t="s">
        <v>897</v>
      </c>
      <c r="J90" t="s">
        <v>898</v>
      </c>
      <c r="K90" t="s">
        <v>899</v>
      </c>
      <c r="L90" t="s">
        <v>900</v>
      </c>
      <c r="M90" t="s">
        <v>901</v>
      </c>
      <c r="N90" t="s">
        <v>902</v>
      </c>
      <c r="O90" t="s">
        <v>903</v>
      </c>
      <c r="P90" t="s">
        <v>904</v>
      </c>
      <c r="Q90" t="s">
        <v>905</v>
      </c>
      <c r="R90" t="s">
        <v>906</v>
      </c>
      <c r="S90" t="s">
        <v>907</v>
      </c>
      <c r="T90" t="s">
        <v>908</v>
      </c>
    </row>
    <row r="91" spans="1:20">
      <c r="A91" t="s">
        <v>909</v>
      </c>
      <c r="B91" t="s">
        <v>864</v>
      </c>
      <c r="E91" t="s">
        <v>910</v>
      </c>
    </row>
    <row r="92" spans="1:20">
      <c r="A92" t="s">
        <v>911</v>
      </c>
      <c r="B92" t="s">
        <v>912</v>
      </c>
    </row>
    <row r="93" spans="1:20">
      <c r="A93" t="s">
        <v>915</v>
      </c>
      <c r="B93" t="s">
        <v>916</v>
      </c>
    </row>
    <row r="94" spans="1:20">
      <c r="A94" t="s">
        <v>919</v>
      </c>
      <c r="B94" t="s">
        <v>920</v>
      </c>
      <c r="E94" t="s">
        <v>333</v>
      </c>
    </row>
    <row r="95" spans="1:20">
      <c r="A95" t="s">
        <v>1003</v>
      </c>
      <c r="B95" t="s">
        <v>849</v>
      </c>
      <c r="E95" t="s">
        <v>868</v>
      </c>
      <c r="F95" t="s">
        <v>869</v>
      </c>
    </row>
    <row r="96" spans="1:20">
      <c r="A96" t="s">
        <v>1005</v>
      </c>
      <c r="B96" t="s">
        <v>852</v>
      </c>
      <c r="E96" t="s">
        <v>67</v>
      </c>
    </row>
    <row r="97" spans="1:20">
      <c r="A97" t="s">
        <v>1007</v>
      </c>
      <c r="B97" t="s">
        <v>855</v>
      </c>
      <c r="E97" t="s">
        <v>873</v>
      </c>
      <c r="F97" t="s">
        <v>874</v>
      </c>
    </row>
    <row r="98" spans="1:20">
      <c r="A98" t="s">
        <v>1009</v>
      </c>
      <c r="B98" t="s">
        <v>858</v>
      </c>
      <c r="E98" t="s">
        <v>876</v>
      </c>
      <c r="F98" t="s">
        <v>877</v>
      </c>
      <c r="G98" t="s">
        <v>878</v>
      </c>
      <c r="H98" t="s">
        <v>879</v>
      </c>
      <c r="I98" t="s">
        <v>880</v>
      </c>
      <c r="J98" t="s">
        <v>881</v>
      </c>
      <c r="K98" t="s">
        <v>882</v>
      </c>
      <c r="L98" t="s">
        <v>883</v>
      </c>
      <c r="M98" t="s">
        <v>884</v>
      </c>
      <c r="N98" t="s">
        <v>885</v>
      </c>
      <c r="O98" t="s">
        <v>886</v>
      </c>
      <c r="P98" t="s">
        <v>887</v>
      </c>
      <c r="Q98" t="s">
        <v>888</v>
      </c>
      <c r="R98" t="s">
        <v>889</v>
      </c>
      <c r="S98" t="s">
        <v>890</v>
      </c>
      <c r="T98" t="s">
        <v>891</v>
      </c>
    </row>
    <row r="99" spans="1:20">
      <c r="A99" t="s">
        <v>1011</v>
      </c>
      <c r="B99" t="s">
        <v>861</v>
      </c>
      <c r="E99" t="s">
        <v>893</v>
      </c>
      <c r="F99" t="s">
        <v>894</v>
      </c>
      <c r="G99" t="s">
        <v>895</v>
      </c>
      <c r="H99" t="s">
        <v>896</v>
      </c>
      <c r="I99" t="s">
        <v>897</v>
      </c>
      <c r="J99" t="s">
        <v>898</v>
      </c>
      <c r="K99" t="s">
        <v>899</v>
      </c>
      <c r="L99" t="s">
        <v>900</v>
      </c>
      <c r="M99" t="s">
        <v>901</v>
      </c>
      <c r="N99" t="s">
        <v>902</v>
      </c>
      <c r="O99" t="s">
        <v>903</v>
      </c>
      <c r="P99" t="s">
        <v>904</v>
      </c>
      <c r="Q99" t="s">
        <v>905</v>
      </c>
      <c r="R99" t="s">
        <v>906</v>
      </c>
      <c r="S99" t="s">
        <v>907</v>
      </c>
      <c r="T99" t="s">
        <v>908</v>
      </c>
    </row>
    <row r="100" spans="1:20">
      <c r="A100" t="s">
        <v>1013</v>
      </c>
      <c r="B100" t="s">
        <v>864</v>
      </c>
      <c r="E100" t="s">
        <v>910</v>
      </c>
    </row>
    <row r="101" spans="1:20">
      <c r="A101" t="s">
        <v>1015</v>
      </c>
      <c r="B101" t="s">
        <v>110</v>
      </c>
      <c r="E101" t="s">
        <v>136</v>
      </c>
      <c r="F101" t="s">
        <v>137</v>
      </c>
      <c r="G101" t="s">
        <v>138</v>
      </c>
      <c r="H101" t="s">
        <v>139</v>
      </c>
      <c r="I101" t="s">
        <v>140</v>
      </c>
    </row>
    <row r="102" spans="1:20">
      <c r="A102" t="s">
        <v>1017</v>
      </c>
      <c r="B102" t="s">
        <v>117</v>
      </c>
      <c r="E102" t="s">
        <v>143</v>
      </c>
    </row>
    <row r="103" spans="1:20">
      <c r="A103" t="s">
        <v>1021</v>
      </c>
      <c r="B103" t="s">
        <v>1022</v>
      </c>
    </row>
    <row r="104" spans="1:20">
      <c r="A104" t="s">
        <v>1025</v>
      </c>
      <c r="B104" t="s">
        <v>1026</v>
      </c>
    </row>
    <row r="105" spans="1:20">
      <c r="A105" t="s">
        <v>1029</v>
      </c>
      <c r="B105" t="s">
        <v>1030</v>
      </c>
      <c r="C105">
        <v>17</v>
      </c>
    </row>
    <row r="106" spans="1:20">
      <c r="A106" t="s">
        <v>1032</v>
      </c>
      <c r="B106" t="s">
        <v>1033</v>
      </c>
    </row>
    <row r="107" spans="1:20">
      <c r="A107" t="s">
        <v>1036</v>
      </c>
      <c r="B107" t="s">
        <v>1037</v>
      </c>
    </row>
    <row r="108" spans="1:20">
      <c r="A108" t="s">
        <v>1040</v>
      </c>
      <c r="B108" t="s">
        <v>1041</v>
      </c>
    </row>
    <row r="109" spans="1:20">
      <c r="A109" t="s">
        <v>1044</v>
      </c>
      <c r="B109" t="s">
        <v>1045</v>
      </c>
    </row>
    <row r="110" spans="1:20">
      <c r="A110" t="s">
        <v>1048</v>
      </c>
      <c r="B11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Start</vt:lpstr>
      <vt:lpstr>S4-1 Construction Crew</vt:lpstr>
      <vt:lpstr>S4-1 Arena</vt:lpstr>
      <vt:lpstr>S4-2 Sheet Master</vt:lpstr>
      <vt:lpstr>S4-2 Arena</vt:lpstr>
      <vt:lpstr>Rename Me</vt:lpstr>
      <vt:lpstr>S4-3 Detective</vt:lpstr>
      <vt:lpstr>S4-3 Arena</vt:lpstr>
      <vt:lpstr>S4-4 Data Wrangler</vt:lpstr>
      <vt:lpstr>S4-4 Arena</vt:lpstr>
      <vt:lpstr>Boss</vt:lpstr>
      <vt:lpstr>Boss Arena</vt:lpstr>
      <vt:lpstr>Cheat Codes</vt:lpstr>
      <vt:lpstr>Boss!Print_Titles</vt:lpstr>
      <vt:lpstr>'Cheat Codes'!Print_Titles</vt:lpstr>
      <vt:lpstr>'S4-1 Construction Crew'!Print_Titles</vt:lpstr>
      <vt:lpstr>'S4-2 Sheet Master'!Print_Titles</vt:lpstr>
      <vt:lpstr>'S4-3 Detective'!Print_Titles</vt:lpstr>
      <vt:lpstr>'S4-4 Data Wrangler'!Print_Titles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Shortcuts 4 · Organize &amp; Analyze</dc:title>
  <dc:subject>Excel practice: Reshape sheets, find anything, filter and sort from the keyboard.</dc:subject>
  <dc:creator>excel-drills</dc:creator>
  <cp:keywords>Excel, practice, shortcuts, Organize &amp; Analyze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