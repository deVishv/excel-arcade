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" sheetId="1" r:id="rId1"/>
    <sheet name="F7-1 Spill Zone" sheetId="2" r:id="rId2"/>
    <sheet name="F7-1 Arena" sheetId="3" r:id="rId3"/>
    <sheet name="F7-2 Sifter" sheetId="4" r:id="rId4"/>
    <sheet name="F7-2 Arena" sheetId="5" r:id="rId5"/>
    <sheet name="F7-3 Sorter" sheetId="6" r:id="rId6"/>
    <sheet name="F7-3 Arena" sheetId="7" r:id="rId7"/>
    <sheet name="F7-4 Combo" sheetId="8" r:id="rId8"/>
    <sheet name="F7-4 Arena" sheetId="9" r:id="rId9"/>
    <sheet name="Boss" sheetId="10" r:id="rId10"/>
    <sheet name="Boss Arena" sheetId="11" r:id="rId11"/>
    <sheet name="Cheat Codes" sheetId="12" r:id="rId12"/>
    <sheet name="Key" sheetId="13" state="veryHidden" r:id="rId13"/>
  </sheets>
  <definedNames>
    <definedName name="_xlnm.Print_Titles" localSheetId="9">Boss!$1:$4</definedName>
    <definedName name="_xlnm.Print_Titles" localSheetId="11">'Cheat Codes'!$4:$4</definedName>
    <definedName name="_xlnm.Print_Titles" localSheetId="1">'F7-1 Spill Zone'!$1:$4</definedName>
    <definedName name="_xlnm.Print_Titles" localSheetId="3">'F7-2 Sifter'!$1:$4</definedName>
    <definedName name="_xlnm.Print_Titles" localSheetId="5">'F7-3 Sorter'!$1:$4</definedName>
    <definedName name="_xlnm.Print_Titles" localSheetId="7">'F7-4 Combo'!$1:$4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<sst xmlns="http://schemas.openxmlformats.org/spreadsheetml/2006/main" count="1532" uniqueCount="698">
  <si>
    <t>Challenge</t>
  </si>
  <si>
    <t>Hint</t>
  </si>
  <si>
    <t>Expected</t>
  </si>
  <si>
    <t>Lists / per-cell expectations →</t>
  </si>
  <si>
    <t>ARENA ▸ F7-1 SPILL ZONE</t>
  </si>
  <si>
    <t>Practice area · everything here is editable. Missions and their checks are on the stage sheet.</t>
  </si>
  <si>
    <t>PASS CODE</t>
  </si>
  <si>
    <t>SPILLWAY</t>
  </si>
  <si>
    <t>◀ Back to F7-1 Spill Zone</t>
  </si>
  <si>
    <t>Order</t>
  </si>
  <si>
    <t>Date</t>
  </si>
  <si>
    <t>Region</t>
  </si>
  <si>
    <t>Rep</t>
  </si>
  <si>
    <t>Product</t>
  </si>
  <si>
    <t>Units</t>
  </si>
  <si>
    <t>Revenue</t>
  </si>
  <si>
    <t>O-101</t>
  </si>
  <si>
    <t>East</t>
  </si>
  <si>
    <t>Kim</t>
  </si>
  <si>
    <t>Widget</t>
  </si>
  <si>
    <t>O-102</t>
  </si>
  <si>
    <t>West</t>
  </si>
  <si>
    <t>Lee</t>
  </si>
  <si>
    <t>Gadget</t>
  </si>
  <si>
    <t>O-103</t>
  </si>
  <si>
    <t>North</t>
  </si>
  <si>
    <t>Ava</t>
  </si>
  <si>
    <t>O-104</t>
  </si>
  <si>
    <t>Gizmo</t>
  </si>
  <si>
    <t>O-105</t>
  </si>
  <si>
    <t>South</t>
  </si>
  <si>
    <t>Raj</t>
  </si>
  <si>
    <t>O-106</t>
  </si>
  <si>
    <t>O-107</t>
  </si>
  <si>
    <t>O-108</t>
  </si>
  <si>
    <t>O-109</t>
  </si>
  <si>
    <t>O-110</t>
  </si>
  <si>
    <t>O-111</t>
  </si>
  <si>
    <t>O-112</t>
  </si>
  <si>
    <t>O-113</t>
  </si>
  <si>
    <t>O-114</t>
  </si>
  <si>
    <t>O-115</t>
  </si>
  <si>
    <t>O-116</t>
  </si>
  <si>
    <t>O-117</t>
  </si>
  <si>
    <t>O-118</t>
  </si>
  <si>
    <t>O-119</t>
  </si>
  <si>
    <t>O-120</t>
  </si>
  <si>
    <t>SEQUENCE ▼</t>
  </si>
  <si>
    <t>Blocked spill</t>
  </si>
  <si>
    <t>BLOCK</t>
  </si>
  <si>
    <t>Ready-made spill</t>
  </si>
  <si>
    <t>Sum of O6#</t>
  </si>
  <si>
    <t>BRIEFING · new moves in this stage</t>
  </si>
  <si>
    <t>#</t>
  </si>
  <si>
    <t>What it does · Pro tip</t>
  </si>
  <si>
    <t>Keys / Syntax</t>
  </si>
  <si>
    <t>1</t>
  </si>
  <si>
    <r>
      <rPr>
        <b/>
        <sz val="12"/>
        <color rgb="FF1F2328"/>
        <rFont val="Calibri"/>
        <family val="2"/>
        <scheme val="minor"/>
      </rPr>
      <t>One formula can return many values; they spill into the cells around it.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Edit only the top-left cell; the rest follow.</t>
    </r>
  </si>
  <si>
    <t>spill</t>
  </si>
  <si>
    <t>2</t>
  </si>
  <si>
    <r>
      <rPr>
        <b/>
        <sz val="12"/>
        <color rgb="FF1F2328"/>
        <rFont val="Calibri"/>
        <family val="2"/>
        <scheme val="minor"/>
      </rPr>
      <t>#SPILL! means something is in the way of the results.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Clear the blocking cells and the results appear.</t>
    </r>
  </si>
  <si>
    <t>#SPILL!</t>
  </si>
  <si>
    <t>3</t>
  </si>
  <si>
    <r>
      <rPr>
        <b/>
        <sz val="12"/>
        <color rgb="FF1F2328"/>
        <rFont val="Calibri"/>
        <family val="2"/>
        <scheme val="minor"/>
      </rPr>
      <t>Add # after the top-left cell to refer to the whole spill.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=SUM(H5#) grows and shrinks with the spill.</t>
    </r>
  </si>
  <si>
    <t>H5#</t>
  </si>
  <si>
    <t>4</t>
  </si>
  <si>
    <r>
      <rPr>
        <b/>
        <sz val="12"/>
        <color rgb="FF1F2328"/>
        <rFont val="Calibri"/>
        <family val="2"/>
        <scheme val="minor"/>
      </rPr>
      <t>SEQUENCE(rows) spills the numbers 1, 2, 3 …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=SEQUENCE(4,1,10,10) spills 10, 20, 30, 40.</t>
    </r>
  </si>
  <si>
    <t>SEQUENCE</t>
  </si>
  <si>
    <t>WARM-UP · flashback to earlier stages</t>
  </si>
  <si>
    <t>Mission</t>
  </si>
  <si>
    <t>Your answer</t>
  </si>
  <si>
    <t>Result</t>
  </si>
  <si>
    <t>Hint?</t>
  </si>
  <si>
    <t>XP</t>
  </si>
  <si>
    <t>F7-1 Spill Zone W1</t>
  </si>
  <si>
    <t>Five letters.</t>
  </si>
  <si>
    <t>=TODAY</t>
  </si>
  <si>
    <t>=TODAY(</t>
  </si>
  <si>
    <t>=TODAY()</t>
  </si>
  <si>
    <t>TODAY</t>
  </si>
  <si>
    <t>TODAY(</t>
  </si>
  <si>
    <t>TODAY()</t>
  </si>
  <si>
    <t>W1</t>
  </si>
  <si>
    <t>Which function returns today's date?  (from F6-1 Calendar)</t>
  </si>
  <si>
    <t>F7-1 Spill Zone W2</t>
  </si>
  <si>
    <t>Three letters.</t>
  </si>
  <si>
    <t>=NOW</t>
  </si>
  <si>
    <t>=NOW(</t>
  </si>
  <si>
    <t>=NOW()</t>
  </si>
  <si>
    <t>NOW</t>
  </si>
  <si>
    <t>NOW(</t>
  </si>
  <si>
    <t>NOW()</t>
  </si>
  <si>
    <t>W2</t>
  </si>
  <si>
    <t>Which function returns the current date and time?  (from F6-1 Calendar)</t>
  </si>
  <si>
    <t>F7-1 Spill Zone W3</t>
  </si>
  <si>
    <t>Four letters.</t>
  </si>
  <si>
    <t>=DATE</t>
  </si>
  <si>
    <t>=DATE(</t>
  </si>
  <si>
    <t>=DATE()</t>
  </si>
  <si>
    <t>DATE</t>
  </si>
  <si>
    <t>DATE(</t>
  </si>
  <si>
    <t>DATE()</t>
  </si>
  <si>
    <t>W3</t>
  </si>
  <si>
    <t>Which function builds a date from a year, month and day?  (from F6-1 Calendar)</t>
  </si>
  <si>
    <t>F7-1 Spill Zone W4</t>
  </si>
  <si>
    <t>=YEAR</t>
  </si>
  <si>
    <t>=YEAR(</t>
  </si>
  <si>
    <t>=YEAR()</t>
  </si>
  <si>
    <t>YEAR</t>
  </si>
  <si>
    <t>YEAR(</t>
  </si>
  <si>
    <t>YEAR()</t>
  </si>
  <si>
    <t>W4</t>
  </si>
  <si>
    <t>Which function returns the year of a date?  (from F6-1 Calendar)</t>
  </si>
  <si>
    <t>F7-1 Spill Zone W5</t>
  </si>
  <si>
    <t>=MONTH</t>
  </si>
  <si>
    <t>=MONTH(</t>
  </si>
  <si>
    <t>=MONTH()</t>
  </si>
  <si>
    <t>MONTH</t>
  </si>
  <si>
    <t>MONTH(</t>
  </si>
  <si>
    <t>MONTH()</t>
  </si>
  <si>
    <t>W5</t>
  </si>
  <si>
    <t>Which function returns the month number of a date?  (from F6-1 Calendar)</t>
  </si>
  <si>
    <t>F7-1 Spill Zone W6</t>
  </si>
  <si>
    <t>=DAY</t>
  </si>
  <si>
    <t>=DAY(</t>
  </si>
  <si>
    <t>=DAY()</t>
  </si>
  <si>
    <t>DAY</t>
  </si>
  <si>
    <t>DAY(</t>
  </si>
  <si>
    <t>DAY()</t>
  </si>
  <si>
    <t>W6</t>
  </si>
  <si>
    <t>Which function returns the day of the month?  (from F6-1 Calendar)</t>
  </si>
  <si>
    <t>F7-1 Spill Zone W7</t>
  </si>
  <si>
    <t>WEEK plus DAY.</t>
  </si>
  <si>
    <t>=WEEKDAY</t>
  </si>
  <si>
    <t>=WEEKDAY(</t>
  </si>
  <si>
    <t>=WEEKDAY()</t>
  </si>
  <si>
    <t>WEEKDAY</t>
  </si>
  <si>
    <t>WEEKDAY(</t>
  </si>
  <si>
    <t>WEEKDAY()</t>
  </si>
  <si>
    <t>W7</t>
  </si>
  <si>
    <t>Which function returns the day of the week as a number?  (from F6-1 Calendar)</t>
  </si>
  <si>
    <t>F7-1 Spill Zone W8</t>
  </si>
  <si>
    <t>Like a book's index.</t>
  </si>
  <si>
    <t>=INDEX</t>
  </si>
  <si>
    <t>=INDEX(</t>
  </si>
  <si>
    <t>=INDEX()</t>
  </si>
  <si>
    <t>INDEX</t>
  </si>
  <si>
    <t>INDEX(</t>
  </si>
  <si>
    <t>INDEX()</t>
  </si>
  <si>
    <t>W8</t>
  </si>
  <si>
    <t>Which function returns the item at a given position in a range?  (from F4-4 Power Couple)</t>
  </si>
  <si>
    <t>F7-1 Spill Zone W9</t>
  </si>
  <si>
    <t>It finds a match.</t>
  </si>
  <si>
    <t>=MATCH</t>
  </si>
  <si>
    <t>=MATCH(</t>
  </si>
  <si>
    <t>=MATCH()</t>
  </si>
  <si>
    <t>MATCH</t>
  </si>
  <si>
    <t>MATCH(</t>
  </si>
  <si>
    <t>MATCH()</t>
  </si>
  <si>
    <t>W9</t>
  </si>
  <si>
    <t>Which function returns the position of a value in a range?  (from F4-4 Power Couple)</t>
  </si>
  <si>
    <t>F7-1 Spill Zone W10</t>
  </si>
  <si>
    <t>The position finder.</t>
  </si>
  <si>
    <t>=XMATCH</t>
  </si>
  <si>
    <t>=XMATCH(</t>
  </si>
  <si>
    <t>=XMATCH()</t>
  </si>
  <si>
    <t>XMATCH</t>
  </si>
  <si>
    <t>XMATCH(</t>
  </si>
  <si>
    <t>XMATCH()</t>
  </si>
  <si>
    <t>W10</t>
  </si>
  <si>
    <t>Which function goes inside INDEX to find the row position?  (from F4-4 Power Couple)</t>
  </si>
  <si>
    <t>TRAINING · recognize the move (pick from the list)</t>
  </si>
  <si>
    <t>F7-1 Spill Zone T1</t>
  </si>
  <si>
    <t>Like water spilling over.</t>
  </si>
  <si>
    <t>if_empty</t>
  </si>
  <si>
    <t>(…)*(…)</t>
  </si>
  <si>
    <t>T1</t>
  </si>
  <si>
    <t>What is it called when one formula's results flow into neighboring cells?</t>
  </si>
  <si>
    <t>F7-1 Spill Zone T2</t>
  </si>
  <si>
    <t>#SPILL! with an exclamation mark.</t>
  </si>
  <si>
    <t>SORT(UNIQUE(…))</t>
  </si>
  <si>
    <t>T2</t>
  </si>
  <si>
    <t>Which error appears when a spill range is blocked?</t>
  </si>
  <si>
    <t>F7-1 Spill Zone T3</t>
  </si>
  <si>
    <t>The cell address plus #.</t>
  </si>
  <si>
    <t>T3</t>
  </si>
  <si>
    <t>How do you refer to the whole spill that starts in H5?</t>
  </si>
  <si>
    <t>F7-1 Spill Zone T4</t>
  </si>
  <si>
    <t>A series of numbers in order.</t>
  </si>
  <si>
    <t>LET</t>
  </si>
  <si>
    <t>FILTER</t>
  </si>
  <si>
    <t>UNIQUE</t>
  </si>
  <si>
    <t>T4</t>
  </si>
  <si>
    <t>Which function spills a list of sequential numbers?</t>
  </si>
  <si>
    <t>CHALLENGES · recall it, then do it</t>
  </si>
  <si>
    <t>▶ Open F7-1 Arena (or press Ctrl+PgDn)</t>
  </si>
  <si>
    <t>F7-1 Spill Zone C1</t>
  </si>
  <si>
    <t>SPILL</t>
  </si>
  <si>
    <t>SPILLING</t>
  </si>
  <si>
    <t>SPILLS</t>
  </si>
  <si>
    <t>C1</t>
  </si>
  <si>
    <t>F7-1 Spill Zone C2</t>
  </si>
  <si>
    <t>#SPILL</t>
  </si>
  <si>
    <t>=SPILL</t>
  </si>
  <si>
    <t>=SPILL(</t>
  </si>
  <si>
    <t>=SPILL()</t>
  </si>
  <si>
    <t>SPILL(</t>
  </si>
  <si>
    <t>SPILL()</t>
  </si>
  <si>
    <t>C2</t>
  </si>
  <si>
    <t>F7-1 Spill Zone C3</t>
  </si>
  <si>
    <t>C3</t>
  </si>
  <si>
    <t>F7-1 Spill Zone C4</t>
  </si>
  <si>
    <t>=SEQUENCE</t>
  </si>
  <si>
    <t>=SEQUENCE(</t>
  </si>
  <si>
    <t>=SEQUENCE()</t>
  </si>
  <si>
    <t>SEQUENCE(</t>
  </si>
  <si>
    <t>SEQUENCE()</t>
  </si>
  <si>
    <t>C4</t>
  </si>
  <si>
    <t>F7-1 Spill Zone C5</t>
  </si>
  <si>
    <t>Just one cell to type in.</t>
  </si>
  <si>
    <t>C5</t>
  </si>
  <si>
    <t>In K6 type =SEQUENCE(10) and press Enter. One formula fills K6:K15.</t>
  </si>
  <si>
    <t>▶ ARENA C5 (cell K6)</t>
  </si>
  <si>
    <t>F7-1 Spill Zone C6</t>
  </si>
  <si>
    <t>Clear the blocking cell.</t>
  </si>
  <si>
    <t>C6</t>
  </si>
  <si>
    <t>M6 shows #SPILL! because M8 is in its way. Click M8 and press Delete: five numbers spill into place.</t>
  </si>
  <si>
    <t>▶ ARENA C6 (cell M8)</t>
  </si>
  <si>
    <t>F7-1 Spill Zone C7</t>
  </si>
  <si>
    <t># = the whole spill.</t>
  </si>
  <si>
    <t>C7</t>
  </si>
  <si>
    <t>O6 spills four numbers. In K20 add up the whole spill with =SUM(O6#).</t>
  </si>
  <si>
    <t>▶ ARENA C7 (cell K20)</t>
  </si>
  <si>
    <t>STAGE F7-1 ▸ SPILL ZONE</t>
  </si>
  <si>
    <t>Goal: let one formula fill many cells</t>
  </si>
  <si>
    <t>ARENA ▸ F7-2 SIFTER</t>
  </si>
  <si>
    <t>SIFTER</t>
  </si>
  <si>
    <t>◀ Back to F7-2 Sifter</t>
  </si>
  <si>
    <t>East orders ▼</t>
  </si>
  <si>
    <t>Big East orders ▼</t>
  </si>
  <si>
    <t>Central orders ▼</t>
  </si>
  <si>
    <r>
      <rPr>
        <b/>
        <sz val="12"/>
        <color rgb="FF1F2328"/>
        <rFont val="Calibri"/>
        <family val="2"/>
        <scheme val="minor"/>
      </rPr>
      <t>FILTER(range, condition) spills only the matching rows.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=FILTER(B6:H25,D6:D25="East")</t>
    </r>
  </si>
  <si>
    <r>
      <rPr>
        <b/>
        <sz val="12"/>
        <color rgb="FF1F2328"/>
        <rFont val="Calibri"/>
        <family val="2"/>
        <scheme val="minor"/>
      </rPr>
      <t>Multiply conditions for AND; add them for OR.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(D6:D25="East")*(G6:G25&gt;40) keeps rows that pass both.</t>
    </r>
  </si>
  <si>
    <r>
      <rPr>
        <b/>
        <sz val="12"/>
        <color rgb="FF1F2328"/>
        <rFont val="Calibri"/>
        <family val="2"/>
        <scheme val="minor"/>
      </rPr>
      <t>FILTER's 3rd argument: what to show when nothing matches.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Without it, an empty result is #CALC!.</t>
    </r>
  </si>
  <si>
    <t>F7-2 Sifter W1</t>
  </si>
  <si>
    <t>What is it called when one formula's results flow into neighboring cells?  (from F7-1 Spill Zone)</t>
  </si>
  <si>
    <t>F7-2 Sifter W2</t>
  </si>
  <si>
    <t>Which error appears when a spill range is blocked?  (from F7-1 Spill Zone)</t>
  </si>
  <si>
    <t>F7-2 Sifter W3</t>
  </si>
  <si>
    <t>How do you refer to the whole spill that starts in H5?  (from F7-1 Spill Zone)</t>
  </si>
  <si>
    <t>F7-2 Sifter W4</t>
  </si>
  <si>
    <t>Which function spills a list of sequential numbers?  (from F7-1 Spill Zone)</t>
  </si>
  <si>
    <t>F7-2 Sifter W5</t>
  </si>
  <si>
    <t>Not hours.</t>
  </si>
  <si>
    <t>DAYS</t>
  </si>
  <si>
    <t>NUMBEROFDAYS</t>
  </si>
  <si>
    <t>What do you get when you subtract an earlier date from a later one (one word)?  (from F6-2 Date Math)</t>
  </si>
  <si>
    <t>F7-2 Sifter W6</t>
  </si>
  <si>
    <t>Plain plus.</t>
  </si>
  <si>
    <t>30+B6</t>
  </si>
  <si>
    <t>=30+B6</t>
  </si>
  <si>
    <t>=B6+30</t>
  </si>
  <si>
    <t>B6+30</t>
  </si>
  <si>
    <t>Type the formula for the date 30 days after the date in B6.  (from F6-2 Date Math)</t>
  </si>
  <si>
    <t>F7-2 Sifter W7</t>
  </si>
  <si>
    <t>DATE plus DIF.</t>
  </si>
  <si>
    <t>=DATEDIF</t>
  </si>
  <si>
    <t>=DATEDIF(</t>
  </si>
  <si>
    <t>=DATEDIF()</t>
  </si>
  <si>
    <t>DATEDIF</t>
  </si>
  <si>
    <t>DATEDIF(</t>
  </si>
  <si>
    <t>DATEDIF()</t>
  </si>
  <si>
    <t>Which function counts full years or months between two dates?  (from F6-2 Date Math)</t>
  </si>
  <si>
    <t>F7-2 Sifter W8</t>
  </si>
  <si>
    <t>X plus MATCH.</t>
  </si>
  <si>
    <t>Which modern function returns a position with an exact match by default?  (from F4-4 Power Couple)</t>
  </si>
  <si>
    <t>F7-2 Sifter W9</t>
  </si>
  <si>
    <t>Minus one.</t>
  </si>
  <si>
    <t>-1</t>
  </si>
  <si>
    <t>Which XLOOKUP match_mode returns an exact match or the next smaller item?  (from F4-5 Tiers)</t>
  </si>
  <si>
    <t>F7-2 Sifter W10</t>
  </si>
  <si>
    <t>Low to high.</t>
  </si>
  <si>
    <t>A-Z</t>
  </si>
  <si>
    <t>ASCENDING</t>
  </si>
  <si>
    <t>ATOZ</t>
  </si>
  <si>
    <t>SMALLESTTOLARGEST</t>
  </si>
  <si>
    <t>For an approximate VLOOKUP, how must the first column be sorted?  (from F4-5 Tiers)</t>
  </si>
  <si>
    <t>F7-2 Sifter T1</t>
  </si>
  <si>
    <t>Like a coffee filter.</t>
  </si>
  <si>
    <t>SORTBY</t>
  </si>
  <si>
    <t>SORT</t>
  </si>
  <si>
    <t>Which function returns only the rows that meet a condition?</t>
  </si>
  <si>
    <t>F7-2 Sifter T2</t>
  </si>
  <si>
    <t>Multiply.</t>
  </si>
  <si>
    <t>Which move is this? Multiply conditions for AND; add them for OR.</t>
  </si>
  <si>
    <t>F7-2 Sifter T3</t>
  </si>
  <si>
    <t>After array and include.</t>
  </si>
  <si>
    <t>Which FILTER argument number sets what to show when nothing matches?</t>
  </si>
  <si>
    <t>▶ Open F7-2 Arena (or press Ctrl+PgDn)</t>
  </si>
  <si>
    <t>F7-2 Sifter C1</t>
  </si>
  <si>
    <t>=FILTER</t>
  </si>
  <si>
    <t>=FILTER(</t>
  </si>
  <si>
    <t>=FILTER()</t>
  </si>
  <si>
    <t>FILTER(</t>
  </si>
  <si>
    <t>FILTER()</t>
  </si>
  <si>
    <t>F7-2 Sifter C2</t>
  </si>
  <si>
    <t>*</t>
  </si>
  <si>
    <t>ASTERISK</t>
  </si>
  <si>
    <t>In FILTER, which operator joins two conditions so BOTH must be true?</t>
  </si>
  <si>
    <t>F7-2 Sifter C3</t>
  </si>
  <si>
    <t>3RD</t>
  </si>
  <si>
    <t>IF_EMPTY</t>
  </si>
  <si>
    <t>THIRD</t>
  </si>
  <si>
    <t>F7-2 Sifter C4</t>
  </si>
  <si>
    <t>One formula.</t>
  </si>
  <si>
    <t>In K6 spill every East order (all columns): =FILTER(B6:H25,D6:D25="East").</t>
  </si>
  <si>
    <t>▶ ARENA C4 (cell K6)</t>
  </si>
  <si>
    <t>F7-2 Sifter C5</t>
  </si>
  <si>
    <t>(D6:D25="East")*(G6:G25&gt;40)</t>
  </si>
  <si>
    <t>In K20 spill the Order IDs of East orders with more than 40 units. Join the two conditions with *.</t>
  </si>
  <si>
    <t>▶ ARENA C5 (cell K20)</t>
  </si>
  <si>
    <t>F7-2 Sifter C6</t>
  </si>
  <si>
    <t>Third argument.</t>
  </si>
  <si>
    <t>There is no Central region. In K30 filter the Order IDs for "Central" and show None when nothing matches.</t>
  </si>
  <si>
    <t>▶ ARENA C6 (cell K30)</t>
  </si>
  <si>
    <t>STAGE F7-2 ▸ SIFTER</t>
  </si>
  <si>
    <t>Goal: pull out exactly the rows you need</t>
  </si>
  <si>
    <t>ARENA ▸ F7-3 SORTER</t>
  </si>
  <si>
    <t>SORTER</t>
  </si>
  <si>
    <t>◀ Back to F7-3 Sorter</t>
  </si>
  <si>
    <t>Revenue, big → small</t>
  </si>
  <si>
    <t>IDs, newest first</t>
  </si>
  <si>
    <t>Regions</t>
  </si>
  <si>
    <t>How many reps?</t>
  </si>
  <si>
    <r>
      <rPr>
        <b/>
        <sz val="12"/>
        <color rgb="FF1F2328"/>
        <rFont val="Calibri"/>
        <family val="2"/>
        <scheme val="minor"/>
      </rPr>
      <t>SORT(range, column, order) spills a sorted copy; -1 = largest first.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The original data never moves.</t>
    </r>
  </si>
  <si>
    <r>
      <rPr>
        <b/>
        <sz val="12"/>
        <color rgb="FF1F2328"/>
        <rFont val="Calibri"/>
        <family val="2"/>
        <scheme val="minor"/>
      </rPr>
      <t>SORTBY(range, by_range, order) sorts by a column you don't show.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=SORTBY(B6:B25,C6:C25,-1) lists IDs newest first.</t>
    </r>
  </si>
  <si>
    <r>
      <rPr>
        <b/>
        <sz val="12"/>
        <color rgb="FF1F2328"/>
        <rFont val="Calibri"/>
        <family val="2"/>
        <scheme val="minor"/>
      </rPr>
      <t>UNIQUE(range) spills each different value once.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Wrap in COUNTA to count the distinct values.</t>
    </r>
  </si>
  <si>
    <t>F7-3 Sorter W1</t>
  </si>
  <si>
    <t>Which function returns only the rows that meet a condition?  (from F7-2 Sifter)</t>
  </si>
  <si>
    <t>F7-3 Sorter W2</t>
  </si>
  <si>
    <t>In FILTER, which operator joins two conditions so BOTH must be true?  (from F7-2 Sifter)</t>
  </si>
  <si>
    <t>F7-3 Sorter W3</t>
  </si>
  <si>
    <t>Which FILTER argument number sets what to show when nothing matches?  (from F7-2 Sifter)</t>
  </si>
  <si>
    <t>F7-3 Sorter W4</t>
  </si>
  <si>
    <t>E plus DATE.</t>
  </si>
  <si>
    <t>=EDATE</t>
  </si>
  <si>
    <t>=EDATE(</t>
  </si>
  <si>
    <t>=EDATE()</t>
  </si>
  <si>
    <t>EDATE</t>
  </si>
  <si>
    <t>EDATE(</t>
  </si>
  <si>
    <t>EDATE()</t>
  </si>
  <si>
    <t>Which function moves a date forward or back by whole months?  (from F6-3 Deadlines)</t>
  </si>
  <si>
    <t>F7-3 Sorter W5</t>
  </si>
  <si>
    <t>End Of MONTH.</t>
  </si>
  <si>
    <t>=EOMONTH</t>
  </si>
  <si>
    <t>=EOMONTH(</t>
  </si>
  <si>
    <t>=EOMONTH()</t>
  </si>
  <si>
    <t>EOMONTH</t>
  </si>
  <si>
    <t>EOMONTH(</t>
  </si>
  <si>
    <t>EOMONTH()</t>
  </si>
  <si>
    <t>Which function returns the last day of a month?  (from F6-3 Deadlines)</t>
  </si>
  <si>
    <t>F7-3 Sorter W6</t>
  </si>
  <si>
    <t>NET WORK DAYS.</t>
  </si>
  <si>
    <t>=NETWORKDAYS</t>
  </si>
  <si>
    <t>=NETWORKDAYS(</t>
  </si>
  <si>
    <t>=NETWORKDAYS()</t>
  </si>
  <si>
    <t>NETWORKDAYS</t>
  </si>
  <si>
    <t>NETWORKDAYS(</t>
  </si>
  <si>
    <t>NETWORKDAYS()</t>
  </si>
  <si>
    <t>Which function counts the working days between two dates?  (from F6-3 Deadlines)</t>
  </si>
  <si>
    <t>F7-3 Sorter W7</t>
  </si>
  <si>
    <t>WORK plus DAY.</t>
  </si>
  <si>
    <t>=WORKDAY</t>
  </si>
  <si>
    <t>=WORKDAY(</t>
  </si>
  <si>
    <t>=WORKDAY()</t>
  </si>
  <si>
    <t>WORKDAY</t>
  </si>
  <si>
    <t>WORKDAY(</t>
  </si>
  <si>
    <t>WORKDAY()</t>
  </si>
  <si>
    <t>Which function returns the date a number of working days later?  (from F6-3 Deadlines)</t>
  </si>
  <si>
    <t>F7-3 Sorter W8</t>
  </si>
  <si>
    <t>The start side.</t>
  </si>
  <si>
    <t>=LEFT</t>
  </si>
  <si>
    <t>=LEFT(</t>
  </si>
  <si>
    <t>=LEFT()</t>
  </si>
  <si>
    <t>LEFT</t>
  </si>
  <si>
    <t>LEFT(</t>
  </si>
  <si>
    <t>LEFT()</t>
  </si>
  <si>
    <t>Which function returns characters from the start of a text?  (from F5-1 Cut &amp; Splice)</t>
  </si>
  <si>
    <t>F7-3 Sorter W9</t>
  </si>
  <si>
    <t>The end side.</t>
  </si>
  <si>
    <t>=RIGHT</t>
  </si>
  <si>
    <t>=RIGHT(</t>
  </si>
  <si>
    <t>=RIGHT()</t>
  </si>
  <si>
    <t>RIGHT</t>
  </si>
  <si>
    <t>RIGHT(</t>
  </si>
  <si>
    <t>RIGHT()</t>
  </si>
  <si>
    <t>Which function returns characters from the end of a text?  (from F5-1 Cut &amp; Splice)</t>
  </si>
  <si>
    <t>F7-3 Sorter W10</t>
  </si>
  <si>
    <t>Short for middle.</t>
  </si>
  <si>
    <t>=MID</t>
  </si>
  <si>
    <t>=MID(</t>
  </si>
  <si>
    <t>=MID()</t>
  </si>
  <si>
    <t>MID</t>
  </si>
  <si>
    <t>MID(</t>
  </si>
  <si>
    <t>MID()</t>
  </si>
  <si>
    <t>Which function returns characters from the middle of a text?  (from F5-1 Cut &amp; Splice)</t>
  </si>
  <si>
    <t>F7-3 Sorter T1</t>
  </si>
  <si>
    <t>Which function spills a sorted copy of a range?</t>
  </si>
  <si>
    <t>F7-3 Sorter T2</t>
  </si>
  <si>
    <t>SORT plus BY.</t>
  </si>
  <si>
    <t>Which function sorts a range by another range?</t>
  </si>
  <si>
    <t>F7-3 Sorter T3</t>
  </si>
  <si>
    <t>One of a kind.</t>
  </si>
  <si>
    <t>Which function returns each distinct value once?</t>
  </si>
  <si>
    <t>▶ Open F7-3 Arena (or press Ctrl+PgDn)</t>
  </si>
  <si>
    <t>F7-3 Sorter C1</t>
  </si>
  <si>
    <t>=SORT</t>
  </si>
  <si>
    <t>=SORT(</t>
  </si>
  <si>
    <t>=SORT()</t>
  </si>
  <si>
    <t>SORT(</t>
  </si>
  <si>
    <t>SORT()</t>
  </si>
  <si>
    <t>F7-3 Sorter C2</t>
  </si>
  <si>
    <t>=SORTBY</t>
  </si>
  <si>
    <t>=SORTBY(</t>
  </si>
  <si>
    <t>=SORTBY()</t>
  </si>
  <si>
    <t>SORTBY(</t>
  </si>
  <si>
    <t>SORTBY()</t>
  </si>
  <si>
    <t>F7-3 Sorter C3</t>
  </si>
  <si>
    <t>=UNIQUE</t>
  </si>
  <si>
    <t>=UNIQUE(</t>
  </si>
  <si>
    <t>=UNIQUE()</t>
  </si>
  <si>
    <t>UNIQUE(</t>
  </si>
  <si>
    <t>UNIQUE()</t>
  </si>
  <si>
    <t>F7-3 Sorter C4</t>
  </si>
  <si>
    <t>-1 = descending.</t>
  </si>
  <si>
    <t>In K6 spill the Revenue column (H6:H25) sorted largest first: =SORT(H6:H25,,-1).</t>
  </si>
  <si>
    <t>F7-3 Sorter C5</t>
  </si>
  <si>
    <t>Sort IDs by the date column.</t>
  </si>
  <si>
    <t>In M6 spill the Order IDs sorted by Date, newest first: =SORTBY(B6:B25,C6:C25,-1).</t>
  </si>
  <si>
    <t>▶ ARENA C5 (cell M6)</t>
  </si>
  <si>
    <t>F7-3 Sorter C6</t>
  </si>
  <si>
    <t>Order of first appearance.</t>
  </si>
  <si>
    <t>In O6 spill each Region once: =UNIQUE(D6:D25).</t>
  </si>
  <si>
    <t>▶ ARENA C6 (cell O6)</t>
  </si>
  <si>
    <t>F7-3 Sorter C7</t>
  </si>
  <si>
    <t>COUNTA around UNIQUE.</t>
  </si>
  <si>
    <t>In Q6 count the different Reps with =COUNTA(UNIQUE(E6:E25)).</t>
  </si>
  <si>
    <t>▶ ARENA C7 (cell Q6)</t>
  </si>
  <si>
    <t>STAGE F7-3 ▸ SORTER</t>
  </si>
  <si>
    <t>Goal: sort and de-duplicate with one formula</t>
  </si>
  <si>
    <t>ARENA ▸ F7-4 COMBO</t>
  </si>
  <si>
    <t>COMBO</t>
  </si>
  <si>
    <t>◀ Back to F7-4 Combo</t>
  </si>
  <si>
    <t>Average revenue (LET)</t>
  </si>
  <si>
    <t>Reps, A→Z</t>
  </si>
  <si>
    <t>East products, A→Z</t>
  </si>
  <si>
    <t>Rows in Q6#</t>
  </si>
  <si>
    <t>Regions (ready-made)</t>
  </si>
  <si>
    <r>
      <rPr>
        <b/>
        <sz val="12"/>
        <color rgb="FF1F2328"/>
        <rFont val="Calibri"/>
        <family val="2"/>
        <scheme val="minor"/>
      </rPr>
      <t>LET(name, value, calculation) names a value so you write it once.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=LET(rev,H6:H25,SUM(rev)/COUNT(rev))</t>
    </r>
  </si>
  <si>
    <r>
      <rPr>
        <b/>
        <sz val="12"/>
        <color rgb="FF1F2328"/>
        <rFont val="Calibri"/>
        <family val="2"/>
        <scheme val="minor"/>
      </rPr>
      <t>Nest dynamic functions: the inner result feeds the outer one.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rgb="FF595F69"/>
        <rFont val="Calibri"/>
        <family val="2"/>
        <scheme val="minor"/>
      </rPr>
      <t>Tip: =SORT(UNIQUE(E6:E25)) gives a sorted list of reps.</t>
    </r>
  </si>
  <si>
    <t>F7-4 Combo W1</t>
  </si>
  <si>
    <t>Which function spills a sorted copy of a range?  (from F7-3 Sorter)</t>
  </si>
  <si>
    <t>F7-4 Combo W2</t>
  </si>
  <si>
    <t>Which function sorts a range by another range?  (from F7-3 Sorter)</t>
  </si>
  <si>
    <t>F7-4 Combo W3</t>
  </si>
  <si>
    <t>Which function returns each distinct value once?  (from F7-3 Sorter)</t>
  </si>
  <si>
    <t>F7-4 Combo W4</t>
  </si>
  <si>
    <t>Short for length.</t>
  </si>
  <si>
    <t>=LEN</t>
  </si>
  <si>
    <t>=LEN(</t>
  </si>
  <si>
    <t>=LEN()</t>
  </si>
  <si>
    <t>LEN</t>
  </si>
  <si>
    <t>LEN(</t>
  </si>
  <si>
    <t>LEN()</t>
  </si>
  <si>
    <t>Which function counts the characters in a text?  (from F5-1 Cut &amp; Splice)</t>
  </si>
  <si>
    <t>F7-4 Combo W5</t>
  </si>
  <si>
    <t>Shift+7.</t>
  </si>
  <si>
    <t>&amp;</t>
  </si>
  <si>
    <t>AMPERSAND</t>
  </si>
  <si>
    <t>Which character joins pieces of text in a formula?  (from F5-1 Cut &amp; Splice)</t>
  </si>
  <si>
    <t>F7-4 Combo W6</t>
  </si>
  <si>
    <t>Trims the edges.</t>
  </si>
  <si>
    <t>=TRIM</t>
  </si>
  <si>
    <t>=TRIM(</t>
  </si>
  <si>
    <t>=TRIM()</t>
  </si>
  <si>
    <t>TRIM</t>
  </si>
  <si>
    <t>TRIM(</t>
  </si>
  <si>
    <t>TRIM()</t>
  </si>
  <si>
    <t>Which function removes extra spaces from text?  (from F5-2 Clean Up)</t>
  </si>
  <si>
    <t>F7-4 Combo W7</t>
  </si>
  <si>
    <t>Upper case.</t>
  </si>
  <si>
    <t>=UPPER</t>
  </si>
  <si>
    <t>=UPPER(</t>
  </si>
  <si>
    <t>=UPPER()</t>
  </si>
  <si>
    <t>UPPER</t>
  </si>
  <si>
    <t>UPPER(</t>
  </si>
  <si>
    <t>UPPER()</t>
  </si>
  <si>
    <t>Which function converts text to all capitals?  (from F5-2 Clean Up)</t>
  </si>
  <si>
    <t>F7-4 Combo W8</t>
  </si>
  <si>
    <t>Lower case.</t>
  </si>
  <si>
    <t>=LOWER</t>
  </si>
  <si>
    <t>=LOWER(</t>
  </si>
  <si>
    <t>=LOWER()</t>
  </si>
  <si>
    <t>LOWER</t>
  </si>
  <si>
    <t>LOWER(</t>
  </si>
  <si>
    <t>LOWER()</t>
  </si>
  <si>
    <t>Which function converts text to all lowercase?  (from F5-2 Clean Up)</t>
  </si>
  <si>
    <t>F7-4 Combo W9</t>
  </si>
  <si>
    <t>Proper names.</t>
  </si>
  <si>
    <t>=PROPER</t>
  </si>
  <si>
    <t>=PROPER(</t>
  </si>
  <si>
    <t>=PROPER()</t>
  </si>
  <si>
    <t>PROPER</t>
  </si>
  <si>
    <t>PROPER(</t>
  </si>
  <si>
    <t>PROPER()</t>
  </si>
  <si>
    <t>Which function capitalizes the first letter of each word?  (from F5-2 Clean Up)</t>
  </si>
  <si>
    <t>F7-4 Combo W10</t>
  </si>
  <si>
    <t>Swap one thing for another.</t>
  </si>
  <si>
    <t>=SUBSTITUTE</t>
  </si>
  <si>
    <t>=SUBSTITUTE(</t>
  </si>
  <si>
    <t>=SUBSTITUTE()</t>
  </si>
  <si>
    <t>SUBSTITUTE</t>
  </si>
  <si>
    <t>SUBSTITUTE(</t>
  </si>
  <si>
    <t>SUBSTITUTE()</t>
  </si>
  <si>
    <t>Which function replaces every occurrence of some text with other text?  (from F5-2 Clean Up)</t>
  </si>
  <si>
    <t>F7-4 Combo T1</t>
  </si>
  <si>
    <t>Three letters: let x be…</t>
  </si>
  <si>
    <t>Which function lets you name a value inside a formula?</t>
  </si>
  <si>
    <t>F7-4 Combo T2</t>
  </si>
  <si>
    <t>The inner one.</t>
  </si>
  <si>
    <t>Which move is this? Nest dynamic functions: the inner result feeds the outer one.</t>
  </si>
  <si>
    <t>▶ Open F7-4 Arena (or press Ctrl+PgDn)</t>
  </si>
  <si>
    <t>F7-4 Combo C1</t>
  </si>
  <si>
    <t>=LET</t>
  </si>
  <si>
    <t>=LET(</t>
  </si>
  <si>
    <t>=LET()</t>
  </si>
  <si>
    <t>LET(</t>
  </si>
  <si>
    <t>LET()</t>
  </si>
  <si>
    <t>F7-4 Combo C2</t>
  </si>
  <si>
    <t>In =SORT(UNIQUE(E6:E25)), which function removes the duplicates?</t>
  </si>
  <si>
    <t>F7-4 Combo C3</t>
  </si>
  <si>
    <t>Name the range once, use it twice.</t>
  </si>
  <si>
    <t>In K6 compute the average Revenue with LET: =LET(rev,H6:H25,SUM(rev)/COUNT(rev)).</t>
  </si>
  <si>
    <t>▶ ARENA C3 (cell K6)</t>
  </si>
  <si>
    <t>F7-4 Combo C4</t>
  </si>
  <si>
    <t>UNIQUE inside SORT.</t>
  </si>
  <si>
    <t>In K10 spill each Rep once, sorted A→Z: =SORT(UNIQUE(E6:E25)).</t>
  </si>
  <si>
    <t>▶ ARENA C4 (cell K10)</t>
  </si>
  <si>
    <t>F7-4 Combo C5</t>
  </si>
  <si>
    <t>SORT(UNIQUE(FILTER(F6:F25,D6:D25="East")))</t>
  </si>
  <si>
    <t>In K20 spill the products sold in East, each once, sorted A→Z. Nest FILTER inside UNIQUE inside SORT.</t>
  </si>
  <si>
    <t>F7-4 Combo C6</t>
  </si>
  <si>
    <t>Q6 spills the regions. In K30 count how many rows that spill has with =ROWS(Q6#).</t>
  </si>
  <si>
    <t>STAGE F7-4 ▸ COMBO</t>
  </si>
  <si>
    <t>Goal: nest dynamic functions and name values with LET</t>
  </si>
  <si>
    <t>BOSS ARENA ▸ DYNAMIC ARRAYS</t>
  </si>
  <si>
    <t>ARRAYMANCER</t>
  </si>
  <si>
    <t>◀ Back to Boss</t>
  </si>
  <si>
    <t>SEQUENCE(5)</t>
  </si>
  <si>
    <t>West orders</t>
  </si>
  <si>
    <t>Kim's IDs</t>
  </si>
  <si>
    <t>Units, big → small</t>
  </si>
  <si>
    <t>Products</t>
  </si>
  <si>
    <t>How many products?</t>
  </si>
  <si>
    <t>Ready-made</t>
  </si>
  <si>
    <t>Sum of U6#</t>
  </si>
  <si>
    <t>Central orders</t>
  </si>
  <si>
    <t>SPEEDRUN · stamp START, beat the Boss, stamp FINISH</t>
  </si>
  <si>
    <t>START · select C6 and press Ctrl+Shift+:</t>
  </si>
  <si>
    <t>FINISH · select C7 and press Ctrl+Shift+:</t>
  </si>
  <si>
    <t>TIME</t>
  </si>
  <si>
    <t>PAR</t>
  </si>
  <si>
    <t>BOSS GATE</t>
  </si>
  <si>
    <t>FLASHBACK · moves from earlier worlds</t>
  </si>
  <si>
    <t>Boss F1</t>
  </si>
  <si>
    <t>F1</t>
  </si>
  <si>
    <t>Boss F2</t>
  </si>
  <si>
    <t>F2</t>
  </si>
  <si>
    <t>Boss F3</t>
  </si>
  <si>
    <t>F3</t>
  </si>
  <si>
    <t>Boss F4</t>
  </si>
  <si>
    <t>F4</t>
  </si>
  <si>
    <t>Boss F5</t>
  </si>
  <si>
    <t>F5</t>
  </si>
  <si>
    <t>Boss F6</t>
  </si>
  <si>
    <t>F6</t>
  </si>
  <si>
    <t>Boss F7</t>
  </si>
  <si>
    <t>F7</t>
  </si>
  <si>
    <t>Boss F8</t>
  </si>
  <si>
    <t>F8</t>
  </si>
  <si>
    <t>BOSS MISSIONS</t>
  </si>
  <si>
    <t>▶ Open Boss Arena (or press Ctrl+PgDn)</t>
  </si>
  <si>
    <t>Boss B1</t>
  </si>
  <si>
    <t>SEQUENCE.</t>
  </si>
  <si>
    <t>B1</t>
  </si>
  <si>
    <t>▶ ARENA B1 (cell K6)</t>
  </si>
  <si>
    <t>Boss B2</t>
  </si>
  <si>
    <t>FILTER.</t>
  </si>
  <si>
    <t>B2</t>
  </si>
  <si>
    <t>▶ ARENA B2 (cell M6)</t>
  </si>
  <si>
    <t>Boss B3</t>
  </si>
  <si>
    <t>Multiply two conditions.</t>
  </si>
  <si>
    <t>B3</t>
  </si>
  <si>
    <t>▶ ARENA B3 (cell K14)</t>
  </si>
  <si>
    <t>Boss B4</t>
  </si>
  <si>
    <t>SORT with -1.</t>
  </si>
  <si>
    <t>B4</t>
  </si>
  <si>
    <t>▶ ARENA B4 (cell K30)</t>
  </si>
  <si>
    <t>Boss B5</t>
  </si>
  <si>
    <t>UNIQUE.</t>
  </si>
  <si>
    <t>B5</t>
  </si>
  <si>
    <t>▶ ARENA B5 (cell M30)</t>
  </si>
  <si>
    <t>Boss B6</t>
  </si>
  <si>
    <t>COUNTA(UNIQUE(…)).</t>
  </si>
  <si>
    <t>B6</t>
  </si>
  <si>
    <t>▶ ARENA B6 (cell O30)</t>
  </si>
  <si>
    <t>Boss B7</t>
  </si>
  <si>
    <t>Nest UNIQUE in SORT.</t>
  </si>
  <si>
    <t>B7</t>
  </si>
  <si>
    <t>▶ ARENA B7 (cell Q30)</t>
  </si>
  <si>
    <t>Boss B8</t>
  </si>
  <si>
    <t>SUM(U6#).</t>
  </si>
  <si>
    <t>B8</t>
  </si>
  <si>
    <t>▶ ARENA B8 (cell U13)</t>
  </si>
  <si>
    <t>Boss B9</t>
  </si>
  <si>
    <t>Sort the IDs by C6:C25.</t>
  </si>
  <si>
    <t>B9</t>
  </si>
  <si>
    <t>▶ ARENA B9 (cell W6)</t>
  </si>
  <si>
    <t>Boss B10</t>
  </si>
  <si>
    <t>FILTER's third argument.</t>
  </si>
  <si>
    <t>B10</t>
  </si>
  <si>
    <t>▶ ARENA B10 (cell W30)</t>
  </si>
  <si>
    <t>BOSS ▸ DYNAMIC ARRAYS</t>
  </si>
  <si>
    <t>Every move from this world in one gauntlet. Clear it under par for rank S.</t>
  </si>
  <si>
    <t>FORMULAS 7 ▸ DYNAMIC ARRAYS</t>
  </si>
  <si>
    <t>One formula, many results: SEQUENCE, FILTER, SORT, UNIQUE and LET.</t>
  </si>
  <si>
    <t>HOW TO PLAY</t>
  </si>
  <si>
    <t>1 · Each stage: read the BRIEFING, then answer WARM-UP, TRAINING and CHALLENGES.</t>
  </si>
  <si>
    <t>2 · Yellow cells are yours: type, pick from a list (Alt+↓), or follow a ▶ ARENA link and do the move there.</t>
  </si>
  <si>
    <t>3 · ✔ CLEAR = right · ✘ = try again · · not yet = drill not done. Stuck? Pick 'Show hint' (5 XP instead of 10).</t>
  </si>
  <si>
    <t>4 · Formatting or hiding drills: press F9 to refresh the check. Tab jumps between yellow cells.</t>
  </si>
  <si>
    <t>Needs Windows with Microsoft Excel 365 or 2021+ (English). In Protected View, click Enable Editing.</t>
  </si>
  <si>
    <t>STAGE SELECT</t>
  </si>
  <si>
    <t>Stage</t>
  </si>
  <si>
    <t>Name</t>
  </si>
  <si>
    <t>Score</t>
  </si>
  <si>
    <t>Stars</t>
  </si>
  <si>
    <t>Status</t>
  </si>
  <si>
    <t>Go</t>
  </si>
  <si>
    <t>F7-1</t>
  </si>
  <si>
    <t>Spill Zone</t>
  </si>
  <si>
    <t>Go to F7-1 Spill Zone</t>
  </si>
  <si>
    <t>F7-2</t>
  </si>
  <si>
    <t>Sifter</t>
  </si>
  <si>
    <t>Go to F7-2 Sifter</t>
  </si>
  <si>
    <t>F7-3</t>
  </si>
  <si>
    <t>Sorter</t>
  </si>
  <si>
    <t>Go to F7-3 Sorter</t>
  </si>
  <si>
    <t>F7-4</t>
  </si>
  <si>
    <t>Combo</t>
  </si>
  <si>
    <t>Go to F7-4 Combo</t>
  </si>
  <si>
    <t>BOSS</t>
  </si>
  <si>
    <t>Boss</t>
  </si>
  <si>
    <t>Go to the Boss</t>
  </si>
  <si>
    <t>TOTAL SCORE</t>
  </si>
  <si>
    <t>RANK</t>
  </si>
  <si>
    <t>S = 100% and under par · A ≥ 90% · B ≥ 75% · C ≥ 50%</t>
  </si>
  <si>
    <t>BEST TIME</t>
  </si>
  <si>
    <t>NEXT UP</t>
  </si>
  <si>
    <t>Replay a stage: select a run of its yellow cells (Ctrl+click to add more), then press Delete. Undo an arena drill with Ctrl+Z.</t>
  </si>
  <si>
    <t>CHEAT CODES ▸ DYNAMIC ARRAYS</t>
  </si>
  <si>
    <t>Every move from this world on one page. Keep it open while you play, or print it (Ctrl+P).</t>
  </si>
  <si>
    <t>What it does</t>
  </si>
  <si>
    <t>Pro tip</t>
  </si>
  <si>
    <t>One formula can return many values; they spill into the cells around it.</t>
  </si>
  <si>
    <t>Edit only the top-left cell; the rest follow.</t>
  </si>
  <si>
    <t>#SPILL! means something is in the way of the results.</t>
  </si>
  <si>
    <t>Clear the blocking cells and the results appear.</t>
  </si>
  <si>
    <t>Add # after the top-left cell to refer to the whole spill.</t>
  </si>
  <si>
    <t>=SUM(H5#) grows and shrinks with the spill.</t>
  </si>
  <si>
    <t>SEQUENCE(rows) spills the numbers 1, 2, 3 …</t>
  </si>
  <si>
    <t>=SEQUENCE(4,1,10,10) spills 10, 20, 30, 40.</t>
  </si>
  <si>
    <t>FILTER(range, condition) spills only the matching rows.</t>
  </si>
  <si>
    <t>=FILTER(B6:H25,D6:D25="East")</t>
  </si>
  <si>
    <t>Multiply conditions for AND; add them for OR.</t>
  </si>
  <si>
    <t>(D6:D25="East")*(G6:G25&gt;40) keeps rows that pass both.</t>
  </si>
  <si>
    <t>FILTER's 3rd argument: what to show when nothing matches.</t>
  </si>
  <si>
    <t>Without it, an empty result is #CALC!.</t>
  </si>
  <si>
    <t>SORT(range, column, order) spills a sorted copy; -1 = largest first.</t>
  </si>
  <si>
    <t>The original data never moves.</t>
  </si>
  <si>
    <t>SORTBY(range, by_range, order) sorts by a column you don't show.</t>
  </si>
  <si>
    <t>=SORTBY(B6:B25,C6:C25,-1) lists IDs newest first.</t>
  </si>
  <si>
    <t>UNIQUE(range) spills each different value once.</t>
  </si>
  <si>
    <t>Wrap in COUNTA to count the distinct values.</t>
  </si>
  <si>
    <t>LET(name, value, calculation) names a value so you write it once.</t>
  </si>
  <si>
    <t>=LET(rev,H6:H25,SUM(rev)/COUNT(rev))</t>
  </si>
  <si>
    <t>Nest dynamic functions: the inner result feeds the outer one.</t>
  </si>
  <si>
    <t>=SORT(UNIQUE(E6:E25)) gives a sorted list of reps.</t>
  </si>
</sst>
</file>

<file path=xl/styles.xml><?xml version="1.0" encoding="utf-8"?>
<styleSheet xmlns="http://schemas.openxmlformats.org/spreadsheetml/2006/main">
  <numFmts count="4">
    <numFmt numFmtId="164" formatCode="@"/>
    <numFmt numFmtId="165" formatCode="d-mmm-yy"/>
    <numFmt numFmtId="166" formatCode="h:mm AM/PM"/>
    <numFmt numFmtId="167" formatCode="0&quot; min&quot;"/>
  </numFmts>
  <fonts count="21">
    <font>
      <sz val="11"/>
      <color theme="1"/>
      <name val="Calibri"/>
      <family val="2"/>
      <scheme val="minor"/>
    </font>
    <font>
      <b/>
      <sz val="20"/>
      <color rgb="FFFFD60A"/>
      <name val="Calibri"/>
      <family val="2"/>
      <scheme val="minor"/>
    </font>
    <font>
      <sz val="20"/>
      <color rgb="FFFFFFFF"/>
      <name val="Calibri"/>
      <family val="2"/>
      <scheme val="minor"/>
    </font>
    <font>
      <i/>
      <sz val="12"/>
      <color rgb="FF595F69"/>
      <name val="Calibri"/>
      <family val="2"/>
      <scheme val="minor"/>
    </font>
    <font>
      <b/>
      <sz val="14"/>
      <color rgb="FF14213D"/>
      <name val="Calibri"/>
      <family val="2"/>
      <scheme val="minor"/>
    </font>
    <font>
      <sz val="12"/>
      <color rgb="FF1F232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1F2328"/>
      <name val="Calibri"/>
      <family val="2"/>
      <scheme val="minor"/>
    </font>
    <font>
      <sz val="12"/>
      <color rgb="FF14213D"/>
      <name val="Segoe UI Symbol"/>
      <family val="2"/>
    </font>
    <font>
      <u/>
      <sz val="12"/>
      <color rgb="FF0B4FA8"/>
      <name val="Calibri"/>
      <family val="2"/>
      <scheme val="minor"/>
    </font>
    <font>
      <i/>
      <sz val="11"/>
      <color rgb="FF595F69"/>
      <name val="Calibri"/>
      <family val="2"/>
      <scheme val="minor"/>
    </font>
    <font>
      <b/>
      <sz val="14"/>
      <color rgb="FF14213D"/>
      <name val="Consolas"/>
      <family val="2"/>
    </font>
    <font>
      <sz val="14"/>
      <color rgb="FF14213D"/>
      <name val="Segoe UI Symbol"/>
      <family val="2"/>
    </font>
    <font>
      <sz val="14"/>
      <color rgb="FF14213D"/>
      <name val="Consolas"/>
      <family val="2"/>
    </font>
    <font>
      <b/>
      <sz val="12"/>
      <color rgb="FF0B6B2B"/>
      <name val="Segoe UI Symbol"/>
      <family val="2"/>
    </font>
    <font>
      <b/>
      <sz val="12"/>
      <color rgb="FF14213D"/>
      <name val="Consolas"/>
      <family val="2"/>
    </font>
    <font>
      <sz val="12"/>
      <color rgb="FF1F2328"/>
      <name val="Consolas"/>
      <family val="2"/>
    </font>
    <font>
      <b/>
      <sz val="12"/>
      <color rgb="FF4A4F57"/>
      <name val="Segoe UI Symbol"/>
      <family val="2"/>
    </font>
    <font>
      <sz val="11"/>
      <color rgb="FF1F2328"/>
      <name val="Calibri"/>
      <family val="2"/>
      <scheme val="minor"/>
    </font>
    <font>
      <i/>
      <sz val="11"/>
      <color rgb="FF5A3E8A"/>
      <name val="Calibri"/>
      <family val="2"/>
      <scheme val="minor"/>
    </font>
    <font>
      <b/>
      <sz val="12"/>
      <color rgb="FF14213D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4213D"/>
        <bgColor indexed="64"/>
      </patternFill>
    </fill>
    <fill>
      <patternFill patternType="solid">
        <fgColor rgb="FFE3E8F4"/>
        <bgColor indexed="64"/>
      </patternFill>
    </fill>
    <fill>
      <patternFill patternType="solid">
        <fgColor rgb="FFE6ECF5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1F3F5"/>
        <bgColor indexed="64"/>
      </patternFill>
    </fill>
    <fill>
      <patternFill patternType="solid">
        <fgColor rgb="FFF3EEFC"/>
        <bgColor indexed="64"/>
      </patternFill>
    </fill>
  </fills>
  <borders count="2">
    <border>
      <left/>
      <right/>
      <top/>
      <bottom/>
      <diagonal/>
    </border>
    <border>
      <left style="thin">
        <color rgb="FF8A6D00"/>
      </left>
      <right style="thin">
        <color rgb="FF8A6D00"/>
      </right>
      <top style="thin">
        <color rgb="FF8A6D00"/>
      </top>
      <bottom style="thin">
        <color rgb="FF8A6D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0" borderId="0" xfId="0" applyFont="1" applyAlignment="1">
      <alignment vertical="top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top"/>
    </xf>
    <xf numFmtId="0" fontId="6" fillId="2" borderId="0" xfId="0" applyFont="1" applyFill="1" applyAlignment="1">
      <alignment vertical="center" wrapText="1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0" applyFont="1" applyAlignment="1" applyProtection="1">
      <alignment horizontal="center" vertical="top"/>
      <protection hidden="1"/>
    </xf>
    <xf numFmtId="0" fontId="8" fillId="0" borderId="0" xfId="0" applyFont="1" applyAlignment="1" applyProtection="1">
      <alignment horizontal="center" vertical="top"/>
      <protection hidden="1"/>
    </xf>
    <xf numFmtId="0" fontId="9" fillId="0" borderId="0" xfId="0" applyFont="1" applyAlignment="1">
      <alignment vertical="top"/>
    </xf>
    <xf numFmtId="0" fontId="7" fillId="0" borderId="0" xfId="0" applyFont="1" applyAlignment="1" applyProtection="1">
      <alignment vertical="top"/>
      <protection hidden="1"/>
    </xf>
    <xf numFmtId="0" fontId="10" fillId="0" borderId="0" xfId="0" applyFont="1" applyAlignment="1">
      <alignment vertical="top"/>
    </xf>
    <xf numFmtId="0" fontId="11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5" fillId="0" borderId="0" xfId="0" applyFont="1" applyAlignment="1">
      <alignment horizontal="center" vertical="top"/>
    </xf>
    <xf numFmtId="0" fontId="15" fillId="4" borderId="0" xfId="0" applyFont="1" applyFill="1" applyAlignment="1">
      <alignment vertical="top" wrapText="1"/>
    </xf>
    <xf numFmtId="164" fontId="16" fillId="5" borderId="1" xfId="0" applyNumberFormat="1" applyFont="1" applyFill="1" applyBorder="1" applyAlignment="1" applyProtection="1">
      <alignment vertical="top"/>
      <protection locked="0"/>
    </xf>
    <xf numFmtId="0" fontId="17" fillId="6" borderId="0" xfId="0" applyFont="1" applyFill="1" applyAlignment="1" applyProtection="1">
      <alignment vertical="top" wrapText="1"/>
      <protection hidden="1"/>
    </xf>
    <xf numFmtId="0" fontId="18" fillId="5" borderId="1" xfId="0" applyFont="1" applyFill="1" applyBorder="1" applyAlignment="1" applyProtection="1">
      <alignment vertical="top"/>
      <protection locked="0"/>
    </xf>
    <xf numFmtId="0" fontId="19" fillId="7" borderId="0" xfId="0" applyFont="1" applyFill="1" applyAlignment="1" applyProtection="1">
      <alignment vertical="top" wrapText="1"/>
      <protection hidden="1"/>
    </xf>
    <xf numFmtId="0" fontId="15" fillId="0" borderId="0" xfId="0" applyFont="1" applyAlignment="1" applyProtection="1">
      <alignment horizontal="center" vertical="top"/>
      <protection hidden="1"/>
    </xf>
    <xf numFmtId="0" fontId="20" fillId="0" borderId="0" xfId="0" applyFont="1" applyAlignment="1">
      <alignment vertical="center"/>
    </xf>
    <xf numFmtId="0" fontId="11" fillId="4" borderId="0" xfId="0" applyFont="1" applyFill="1" applyAlignment="1">
      <alignment vertical="center"/>
    </xf>
    <xf numFmtId="0" fontId="6" fillId="2" borderId="0" xfId="0" applyFont="1" applyFill="1"/>
    <xf numFmtId="165" fontId="5" fillId="0" borderId="0" xfId="0" applyNumberFormat="1" applyFont="1" applyAlignment="1">
      <alignment vertical="top"/>
    </xf>
    <xf numFmtId="0" fontId="16" fillId="5" borderId="1" xfId="0" applyFont="1" applyFill="1" applyBorder="1" applyAlignment="1" applyProtection="1">
      <alignment vertical="top"/>
      <protection locked="0"/>
    </xf>
    <xf numFmtId="166" fontId="16" fillId="5" borderId="1" xfId="0" applyNumberFormat="1" applyFont="1" applyFill="1" applyBorder="1" applyAlignment="1" applyProtection="1">
      <alignment vertical="top"/>
      <protection locked="0"/>
    </xf>
    <xf numFmtId="167" fontId="5" fillId="0" borderId="0" xfId="0" applyNumberFormat="1" applyFont="1" applyAlignment="1" applyProtection="1">
      <alignment vertical="top"/>
      <protection hidden="1"/>
    </xf>
    <xf numFmtId="0" fontId="5" fillId="0" borderId="0" xfId="0" applyFont="1" applyAlignment="1" applyProtection="1">
      <alignment vertical="top" wrapText="1"/>
      <protection hidden="1"/>
    </xf>
  </cellXfs>
  <cellStyles count="1">
    <cellStyle name="Normal" xfId="0" builtinId="0"/>
  </cellStyles>
  <dxfs count="3">
    <dxf>
      <font>
        <color rgb="FF0B6B2B"/>
      </font>
      <fill>
        <patternFill>
          <bgColor rgb="FFDDF4E4"/>
        </patternFill>
      </fill>
    </dxf>
    <dxf>
      <font>
        <color rgb="FFA1121A"/>
      </font>
      <fill>
        <patternFill>
          <bgColor rgb="FFFCE4E6"/>
        </patternFill>
      </fill>
    </dxf>
    <dxf>
      <font>
        <color rgb="FF4A4F57"/>
      </font>
      <fill>
        <patternFill>
          <bgColor rgb="FFE9ECE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4213D"/>
    <pageSetUpPr fitToPage="1"/>
  </sheetPr>
  <dimension ref="A1:F24"/>
  <sheetViews>
    <sheetView showGridLines="0" tabSelected="1" workbookViewId="0"/>
  </sheetViews>
  <sheetFormatPr defaultRowHeight="15"/>
  <cols>
    <col min="1" max="1" width="16.7109375" customWidth="1"/>
    <col min="2" max="2" width="32.7109375" customWidth="1"/>
    <col min="3" max="3" width="16.7109375" customWidth="1"/>
    <col min="4" max="4" width="12.7109375" customWidth="1"/>
    <col min="5" max="5" width="16.7109375" customWidth="1"/>
    <col min="6" max="6" width="36.7109375" customWidth="1"/>
  </cols>
  <sheetData>
    <row r="1" spans="1:6" ht="34" customHeight="1">
      <c r="A1" s="1" t="s">
        <v>634</v>
      </c>
      <c r="B1" s="2"/>
      <c r="C1" s="2"/>
      <c r="D1" s="2"/>
      <c r="E1" s="2"/>
      <c r="F1" s="2"/>
    </row>
    <row r="2" spans="1:6">
      <c r="A2" s="3" t="s">
        <v>635</v>
      </c>
    </row>
    <row r="4" spans="1:6">
      <c r="A4" s="4" t="s">
        <v>636</v>
      </c>
      <c r="B4" s="4"/>
      <c r="C4" s="4"/>
      <c r="D4" s="4"/>
      <c r="E4" s="4"/>
      <c r="F4" s="4"/>
    </row>
    <row r="5" spans="1:6">
      <c r="A5" s="5" t="s">
        <v>637</v>
      </c>
    </row>
    <row r="6" spans="1:6">
      <c r="A6" s="5" t="s">
        <v>638</v>
      </c>
    </row>
    <row r="7" spans="1:6">
      <c r="A7" s="5" t="s">
        <v>639</v>
      </c>
    </row>
    <row r="8" spans="1:6">
      <c r="A8" s="5" t="s">
        <v>640</v>
      </c>
    </row>
    <row r="9" spans="1:6">
      <c r="A9" s="5" t="s">
        <v>641</v>
      </c>
    </row>
    <row r="11" spans="1:6">
      <c r="A11" s="4" t="s">
        <v>642</v>
      </c>
      <c r="B11" s="4"/>
      <c r="C11" s="4"/>
      <c r="D11" s="4"/>
      <c r="E11" s="4"/>
      <c r="F11" s="4"/>
    </row>
    <row r="12" spans="1:6">
      <c r="A12" s="6" t="s">
        <v>643</v>
      </c>
      <c r="B12" s="6" t="s">
        <v>644</v>
      </c>
      <c r="C12" s="6" t="s">
        <v>645</v>
      </c>
      <c r="D12" s="6" t="s">
        <v>646</v>
      </c>
      <c r="E12" s="6" t="s">
        <v>647</v>
      </c>
      <c r="F12" s="6" t="s">
        <v>648</v>
      </c>
    </row>
    <row r="13" spans="1:6">
      <c r="A13" s="7" t="s">
        <v>649</v>
      </c>
      <c r="B13" s="8" t="s">
        <v>650</v>
      </c>
      <c r="C13" s="9" cm="1" t="str">
        <f t="array" ref="C13">SUM('F7-1 Spill Zone'!$G$14:$G$41)&amp;" / 210"</f>
        <v>0 / 210</v>
      </c>
      <c r="D13" s="10" cm="1" t="str">
        <f t="array" ref="D13">IF(SUM('F7-1 Spill Zone'!$G$14:$G$41)&gt;=210,"★★★",IF(SUM('F7-1 Spill Zone'!$G$14:$G$41)&gt;=210*0.8,"★★☆",IF(SUM('F7-1 Spill Zone'!$G$14:$G$41)&gt;=210*0.5,"★☆☆","☆☆☆")))</f>
        <v>☆☆☆</v>
      </c>
      <c r="E13" s="9" cm="1" t="str">
        <f t="array" ref="E13">IF(SUM('F7-1 Spill Zone'!$G$14:$G$41)&gt;=210,"PERFECT",IF(SUM('F7-1 Spill Zone'!$G$14:$G$41)&gt;=210*0.5,"CLEARED",IF(SUM('F7-1 Spill Zone'!$G$14:$G$41)&gt;0,"IN PROGRESS","NEW")))</f>
        <v>NEW</v>
      </c>
      <c r="F13" s="11" t="s">
        <v>651</v>
      </c>
    </row>
    <row r="14" spans="1:6">
      <c r="A14" s="7" t="s">
        <v>652</v>
      </c>
      <c r="B14" s="8" t="s">
        <v>653</v>
      </c>
      <c r="C14" s="9" cm="1" t="str">
        <f t="array" ref="C14">SUM('F7-2 Sifter'!$G$13:$G$38)&amp;" / 190"</f>
        <v>0 / 190</v>
      </c>
      <c r="D14" s="10" cm="1" t="str">
        <f t="array" ref="D14">IF(SUM('F7-2 Sifter'!$G$13:$G$38)&gt;=190,"★★★",IF(SUM('F7-2 Sifter'!$G$13:$G$38)&gt;=190*0.8,"★★☆",IF(SUM('F7-2 Sifter'!$G$13:$G$38)&gt;=190*0.5,"★☆☆","☆☆☆")))</f>
        <v>☆☆☆</v>
      </c>
      <c r="E14" s="9" cm="1" t="str">
        <f t="array" ref="E14">IF(SUM('F7-2 Sifter'!$G$13:$G$38)&gt;=190,"PERFECT",IF(SUM('F7-2 Sifter'!$G$13:$G$38)&gt;=190*0.5,"CLEARED",IF(SUM('F7-2 Sifter'!$G$13:$G$38)&gt;0,"IN PROGRESS","NEW")))</f>
        <v>NEW</v>
      </c>
      <c r="F14" s="11" t="s">
        <v>654</v>
      </c>
    </row>
    <row r="15" spans="1:6">
      <c r="A15" s="7" t="s">
        <v>655</v>
      </c>
      <c r="B15" s="8" t="s">
        <v>656</v>
      </c>
      <c r="C15" s="9" cm="1" t="str">
        <f t="array" ref="C15">SUM('F7-3 Sorter'!$G$13:$G$39)&amp;" / 200"</f>
        <v>0 / 200</v>
      </c>
      <c r="D15" s="10" cm="1" t="str">
        <f t="array" ref="D15">IF(SUM('F7-3 Sorter'!$G$13:$G$39)&gt;=200,"★★★",IF(SUM('F7-3 Sorter'!$G$13:$G$39)&gt;=200*0.8,"★★☆",IF(SUM('F7-3 Sorter'!$G$13:$G$39)&gt;=200*0.5,"★☆☆","☆☆☆")))</f>
        <v>☆☆☆</v>
      </c>
      <c r="E15" s="9" cm="1" t="str">
        <f t="array" ref="E15">IF(SUM('F7-3 Sorter'!$G$13:$G$39)&gt;=200,"PERFECT",IF(SUM('F7-3 Sorter'!$G$13:$G$39)&gt;=200*0.5,"CLEARED",IF(SUM('F7-3 Sorter'!$G$13:$G$39)&gt;0,"IN PROGRESS","NEW")))</f>
        <v>NEW</v>
      </c>
      <c r="F15" s="11" t="s">
        <v>657</v>
      </c>
    </row>
    <row r="16" spans="1:6">
      <c r="A16" s="7" t="s">
        <v>658</v>
      </c>
      <c r="B16" s="8" t="s">
        <v>659</v>
      </c>
      <c r="C16" s="9" cm="1" t="str">
        <f t="array" ref="C16">SUM('F7-4 Combo'!$G$12:$G$36)&amp;" / 180"</f>
        <v>0 / 180</v>
      </c>
      <c r="D16" s="10" cm="1" t="str">
        <f t="array" ref="D16">IF(SUM('F7-4 Combo'!$G$12:$G$36)&gt;=180,"★★★",IF(SUM('F7-4 Combo'!$G$12:$G$36)&gt;=180*0.8,"★★☆",IF(SUM('F7-4 Combo'!$G$12:$G$36)&gt;=180*0.5,"★☆☆","☆☆☆")))</f>
        <v>☆☆☆</v>
      </c>
      <c r="E16" s="9" cm="1" t="str">
        <f t="array" ref="E16">IF(SUM('F7-4 Combo'!$G$12:$G$36)&gt;=180,"PERFECT",IF(SUM('F7-4 Combo'!$G$12:$G$36)&gt;=180*0.5,"CLEARED",IF(SUM('F7-4 Combo'!$G$12:$G$36)&gt;0,"IN PROGRESS","NEW")))</f>
        <v>NEW</v>
      </c>
      <c r="F16" s="11" t="s">
        <v>660</v>
      </c>
    </row>
    <row r="17" spans="1:6">
      <c r="A17" s="7" t="s">
        <v>661</v>
      </c>
      <c r="B17" s="8" t="s">
        <v>662</v>
      </c>
      <c r="C17" s="9" cm="1" t="str">
        <f t="array" ref="C17">SUM(Boss!$G$14:$G$35)&amp;" / 180"</f>
        <v>0 / 180</v>
      </c>
      <c r="D17" s="10" cm="1" t="str">
        <f t="array" ref="D17">IF(SUM(Boss!$G$14:$G$35)&gt;=180,"★★★",IF(SUM(Boss!$G$14:$G$35)&gt;=180*0.8,"★★☆",IF(SUM(Boss!$G$14:$G$35)&gt;=180*0.5,"★☆☆","☆☆☆")))</f>
        <v>☆☆☆</v>
      </c>
      <c r="E17" s="9" cm="1" t="str">
        <f t="array" ref="E17">IF(Boss!$C$10="OPEN",IF(SUM(Boss!$G$14:$G$35)&gt;=180*0.5,"DEFEATED","OPEN"),"LOCKED")</f>
        <v>LOCKED</v>
      </c>
      <c r="F17" s="11" t="s">
        <v>663</v>
      </c>
    </row>
    <row r="19" spans="1:6">
      <c r="A19" s="7" t="s">
        <v>664</v>
      </c>
      <c r="B19" s="12" cm="1" t="str">
        <f t="array" ref="B19">(SUM('F7-1 Spill Zone'!$G$14:$G$41)+SUM('F7-2 Sifter'!$G$13:$G$38)+SUM('F7-3 Sorter'!$G$13:$G$39)+SUM('F7-4 Combo'!$G$12:$G$36)+SUM(Boss!$G$14:$G$35))&amp;" / 960"</f>
        <v>0 / 960</v>
      </c>
    </row>
    <row r="20" spans="1:6">
      <c r="A20" s="7" t="s">
        <v>665</v>
      </c>
      <c r="B20" s="12" cm="1" t="str">
        <f t="array" ref="B20">_xlfn.LET(_xlpm.p,(SUM('F7-1 Spill Zone'!$G$14:$G$41)+SUM('F7-2 Sifter'!$G$13:$G$38)+SUM('F7-3 Sorter'!$G$13:$G$39)+SUM('F7-4 Combo'!$G$12:$G$36)+SUM(Boss!$G$14:$G$35))/960,IF(AND(_xlpm.p&gt;=1,ISNUMBER(Boss!$C$8),Boss!$C$8&lt;=15),"S",IF(_xlpm.p&gt;=0.9,"A",IF(_xlpm.p&gt;=0.75,"B",IF(_xlpm.p&gt;=0.5,"C","D")))))</f>
        <v>D</v>
      </c>
      <c r="C20" s="13" t="s">
        <v>666</v>
      </c>
    </row>
    <row r="21" spans="1:6">
      <c r="A21" s="7" t="s">
        <v>667</v>
      </c>
      <c r="B21" s="12" cm="1" t="str">
        <f t="array" ref="B21">IF(ISNUMBER(Boss!$C$8),Boss!$C$8&amp;" min (par 15)","—")</f>
        <v>—</v>
      </c>
    </row>
    <row r="22" spans="1:6">
      <c r="A22" s="7" t="s">
        <v>668</v>
      </c>
      <c r="B22" s="12" cm="1" t="str">
        <f t="array" ref="B22">IFERROR(INDEX($A$13:$A$16,MATCH("☆☆☆",$D$13:$D$16,0))&amp;" "&amp;INDEX($B$13:$B$16,MATCH("☆☆☆",$D$13:$D$16,0)),IF(Start!$E$17="DEFEATED","All clear! Aim for rank S","the Boss"))</f>
        <v>F7-1 Spill Zone</v>
      </c>
    </row>
    <row r="24" spans="1:6">
      <c r="A24" s="13" t="s">
        <v>669</v>
      </c>
    </row>
  </sheetData>
  <sheetProtection sheet="1" objects="1" scenarios="1" formatColumns="0" formatRows="0"/>
  <hyperlinks>
    <hyperlink ref="F13" location="'F7-1 Spill Zone'!A1" display="Go to F7-1 Spill Zone"/>
    <hyperlink ref="F14" location="'F7-2 Sifter'!A1" display="Go to F7-2 Sifter"/>
    <hyperlink ref="F15" location="'F7-3 Sorter'!A1" display="Go to F7-3 Sorter"/>
    <hyperlink ref="F16" location="'F7-4 Combo'!A1" display="Go to F7-4 Combo"/>
    <hyperlink ref="F17" location="Boss!A1" display="Go to the Boss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4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233</v>
      </c>
      <c r="B1" s="2"/>
      <c r="C1" s="2"/>
      <c r="D1" s="2"/>
      <c r="E1" s="2"/>
      <c r="F1" s="2"/>
      <c r="G1" s="2"/>
    </row>
    <row r="2" spans="1:7">
      <c r="A2" s="3" t="s">
        <v>234</v>
      </c>
    </row>
    <row r="3" spans="1:7" ht="26" customHeight="1">
      <c r="A3" s="14" cm="1" t="str">
        <f t="array" ref="A3">"SCORE "&amp;TEXT(SUM($G$14:$G$41),"0000")&amp;" / 0210"</f>
        <v>SCORE 0000 / 0210</v>
      </c>
      <c r="C3" s="15" cm="1" t="str">
        <f t="array" ref="C3">IF(SUM($G$14:$G$41)&gt;=210,"★★★",IF(SUM($G$14:$G$41)&gt;=210*0.8,"★★☆",IF(SUM($G$14:$G$41)&gt;=210*0.5,"★☆☆","☆☆☆")))</f>
        <v>☆☆☆</v>
      </c>
      <c r="D3" s="16" cm="1" t="str">
        <f t="array" ref="D3">REPT("█",ROUND(10*SUM($G$14:$G$41)/210,0))&amp;REPT("░",10-ROUND(10*SUM($G$14:$G$41)/210,0))&amp;"  "&amp;TEXT(SUM($G$14:$G$41)/210,"0%")</f>
        <v>░░░░░░░░░░  0%</v>
      </c>
      <c r="F3" s="17" cm="1" t="str">
        <f t="array" ref="F3">IF(SUM($G$14:$G$41)&gt;=210*0.5,"STAGE CLEAR! ▶ Next: F7-2 Sifter","")</f>
        <v/>
      </c>
    </row>
    <row r="5" spans="1:7" ht="22" customHeight="1">
      <c r="A5" s="4" t="s">
        <v>52</v>
      </c>
      <c r="B5" s="4"/>
      <c r="C5" s="4"/>
      <c r="D5" s="4"/>
      <c r="E5" s="4"/>
      <c r="F5" s="4"/>
      <c r="G5" s="4"/>
    </row>
    <row r="6" spans="1:7">
      <c r="A6" s="6" t="s">
        <v>53</v>
      </c>
      <c r="B6" s="6" t="s">
        <v>54</v>
      </c>
      <c r="C6" s="6" t="s">
        <v>55</v>
      </c>
      <c r="D6" s="6"/>
      <c r="E6" s="6"/>
      <c r="F6" s="6"/>
      <c r="G6" s="6"/>
    </row>
    <row r="7" spans="1:7" ht="67" customHeight="1">
      <c r="A7" s="18" t="s">
        <v>56</v>
      </c>
      <c r="B7" s="8" t="s">
        <v>57</v>
      </c>
      <c r="C7" s="19" t="s">
        <v>58</v>
      </c>
    </row>
    <row r="8" spans="1:7" ht="67" customHeight="1">
      <c r="A8" s="18" t="s">
        <v>59</v>
      </c>
      <c r="B8" s="8" t="s">
        <v>60</v>
      </c>
      <c r="C8" s="19" t="s">
        <v>61</v>
      </c>
    </row>
    <row r="9" spans="1:7" ht="67" customHeight="1">
      <c r="A9" s="18" t="s">
        <v>62</v>
      </c>
      <c r="B9" s="8" t="s">
        <v>63</v>
      </c>
      <c r="C9" s="19" t="s">
        <v>64</v>
      </c>
    </row>
    <row r="10" spans="1:7" ht="51.25" customHeight="1">
      <c r="A10" s="18" t="s">
        <v>65</v>
      </c>
      <c r="B10" s="8" t="s">
        <v>66</v>
      </c>
      <c r="C10" s="19" t="s">
        <v>67</v>
      </c>
    </row>
    <row r="12" spans="1:7" ht="22" customHeight="1">
      <c r="A12" s="4" t="s">
        <v>68</v>
      </c>
      <c r="B12" s="4"/>
      <c r="C12" s="4"/>
      <c r="D12" s="4"/>
      <c r="E12" s="4"/>
      <c r="F12" s="4"/>
      <c r="G12" s="4"/>
    </row>
    <row r="13" spans="1:7">
      <c r="A13" s="6" t="s">
        <v>53</v>
      </c>
      <c r="B13" s="6" t="s">
        <v>69</v>
      </c>
      <c r="C13" s="6" t="s">
        <v>70</v>
      </c>
      <c r="D13" s="6" t="s">
        <v>71</v>
      </c>
      <c r="E13" s="6" t="s">
        <v>72</v>
      </c>
      <c r="F13" s="6" t="s">
        <v>1</v>
      </c>
      <c r="G13" s="6" t="s">
        <v>73</v>
      </c>
    </row>
    <row r="14" spans="1:7" ht="35.5" customHeight="1">
      <c r="A14" s="18" t="s">
        <v>82</v>
      </c>
      <c r="B14" s="8" t="s">
        <v>83</v>
      </c>
      <c r="C14" s="20"/>
      <c r="D14" s="21" cm="1" t="str">
        <f t="array" ref="D14">IFERROR(_xlfn.LET(_xlpm.a,'F7-1 Spill Zone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:$J$2),"✔ CLEAR","✘ TRY AGAIN"))),"✘ TRY AGAIN")</f>
        <v/>
      </c>
      <c r="E14" s="22"/>
      <c r="F14" s="23" cm="1" t="str">
        <f t="array" ref="F14">IF(E14="Show hint",Key!$B$2,"")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92</v>
      </c>
      <c r="B15" s="8" t="s">
        <v>93</v>
      </c>
      <c r="C15" s="20"/>
      <c r="D15" s="21" cm="1" t="str">
        <f t="array" ref="D15">IFERROR(_xlfn.LET(_xlpm.a,'F7-1 Spill Zone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:$J$3),"✔ CLEAR","✘ TRY AGAIN"))),"✘ TRY AGAIN")</f>
        <v/>
      </c>
      <c r="E15" s="22"/>
      <c r="F15" s="23" cm="1" t="str">
        <f t="array" ref="F15">IF(E15="Show hint",Key!$B$3,"")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102</v>
      </c>
      <c r="B16" s="8" t="s">
        <v>103</v>
      </c>
      <c r="C16" s="20"/>
      <c r="D16" s="21" cm="1" t="str">
        <f t="array" ref="D16">IFERROR(_xlfn.LET(_xlpm.a,'F7-1 Spill Zone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:$J$4),"✔ CLEAR","✘ TRY AGAIN"))),"✘ TRY AGAIN")</f>
        <v/>
      </c>
      <c r="E16" s="22"/>
      <c r="F16" s="23" cm="1" t="str">
        <f t="array" ref="F16">IF(E16="Show hint",Key!$B$4,"")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111</v>
      </c>
      <c r="B17" s="8" t="s">
        <v>112</v>
      </c>
      <c r="C17" s="20"/>
      <c r="D17" s="21" cm="1" t="str">
        <f t="array" ref="D17">IFERROR(_xlfn.LET(_xlpm.a,'F7-1 Spill Zone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:$J$5),"✔ CLEAR","✘ TRY AGAIN"))),"✘ TRY AGAIN")</f>
        <v/>
      </c>
      <c r="E17" s="22"/>
      <c r="F17" s="23" cm="1" t="str">
        <f t="array" ref="F17">IF(E17="Show hint",Key!$B$5,"")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120</v>
      </c>
      <c r="B18" s="8" t="s">
        <v>121</v>
      </c>
      <c r="C18" s="20"/>
      <c r="D18" s="21" cm="1" t="str">
        <f t="array" ref="D18">IFERROR(_xlfn.LET(_xlpm.a,'F7-1 Spill Zone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:$J$6),"✔ CLEAR","✘ TRY AGAIN"))),"✘ TRY AGAIN")</f>
        <v/>
      </c>
      <c r="E18" s="22"/>
      <c r="F18" s="23" cm="1" t="str">
        <f t="array" ref="F18">IF(E18="Show hint",Key!$B$6,"")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129</v>
      </c>
      <c r="B19" s="8" t="s">
        <v>130</v>
      </c>
      <c r="C19" s="20"/>
      <c r="D19" s="21" cm="1" t="str">
        <f t="array" ref="D19">IFERROR(_xlfn.LET(_xlpm.a,'F7-1 Spill Zone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:$J$7),"✔ CLEAR","✘ TRY AGAIN"))),"✘ TRY AGAIN")</f>
        <v/>
      </c>
      <c r="E19" s="22"/>
      <c r="F19" s="23" cm="1" t="str">
        <f t="array" ref="F19">IF(E19="Show hint",Key!$B$7,"")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139</v>
      </c>
      <c r="B20" s="8" t="s">
        <v>140</v>
      </c>
      <c r="C20" s="20"/>
      <c r="D20" s="21" cm="1" t="str">
        <f t="array" ref="D20">IFERROR(_xlfn.LET(_xlpm.a,'F7-1 Spill Zone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:$J$8),"✔ CLEAR","✘ TRY AGAIN"))),"✘ TRY AGAIN")</f>
        <v/>
      </c>
      <c r="E20" s="22"/>
      <c r="F20" s="23" cm="1" t="str">
        <f t="array" ref="F20">IF(E20="Show hint",Key!$B$8,"")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149</v>
      </c>
      <c r="B21" s="8" t="s">
        <v>150</v>
      </c>
      <c r="C21" s="20"/>
      <c r="D21" s="21" cm="1" t="str">
        <f t="array" ref="D21">IFERROR(_xlfn.LET(_xlpm.a,'F7-1 Spill Zone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$9:$J$9),"✔ CLEAR","✘ TRY AGAIN"))),"✘ TRY AGAIN")</f>
        <v/>
      </c>
      <c r="E21" s="22"/>
      <c r="F21" s="23" cm="1" t="str">
        <f t="array" ref="F21">IF(E21="Show hint",Key!$B$9,"")</f>
        <v/>
      </c>
      <c r="G21" s="24" cm="1">
        <f t="array" ref="G21">IF(LEFT(D21,1)="✔",IF(E21="Show hint",5,10),0)</f>
        <v>0</v>
      </c>
    </row>
    <row r="22" spans="1:7" ht="35.5" customHeight="1">
      <c r="A22" s="18" t="s">
        <v>159</v>
      </c>
      <c r="B22" s="8" t="s">
        <v>160</v>
      </c>
      <c r="C22" s="20"/>
      <c r="D22" s="21" cm="1" t="str">
        <f t="array" ref="D22">IFERROR(_xlfn.LET(_xlpm.a,'F7-1 Spill Zone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$10:$J$10),"✔ CLEAR","✘ TRY AGAIN"))),"✘ TRY AGAIN")</f>
        <v/>
      </c>
      <c r="E22" s="22"/>
      <c r="F22" s="23" cm="1" t="str">
        <f t="array" ref="F22">IF(E22="Show hint",Key!$B$10,"")</f>
        <v/>
      </c>
      <c r="G22" s="24" cm="1">
        <f t="array" ref="G22">IF(LEFT(D22,1)="✔",IF(E22="Show hint",5,10),0)</f>
        <v>0</v>
      </c>
    </row>
    <row r="23" spans="1:7" ht="35.5" customHeight="1">
      <c r="A23" s="18" t="s">
        <v>169</v>
      </c>
      <c r="B23" s="8" t="s">
        <v>170</v>
      </c>
      <c r="C23" s="20"/>
      <c r="D23" s="21" cm="1" t="str">
        <f t="array" ref="D23">IFERROR(_xlfn.LET(_xlpm.a,'F7-1 Spill Zone'!$C$23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$11:$P$11),"✔ CLEAR","✘ TRY AGAIN"))),"✘ TRY AGAIN")</f>
        <v/>
      </c>
      <c r="E23" s="22"/>
      <c r="F23" s="23" cm="1" t="str">
        <f t="array" ref="F23">IF(E23="Show hint",Key!$B$11,"")</f>
        <v/>
      </c>
      <c r="G23" s="24" cm="1">
        <f t="array" ref="G23">IF(LEFT(D23,1)="✔",IF(E23="Show hint",5,10),0)</f>
        <v>0</v>
      </c>
    </row>
    <row r="25" spans="1:7" ht="22" customHeight="1">
      <c r="A25" s="4" t="s">
        <v>171</v>
      </c>
      <c r="B25" s="4"/>
      <c r="C25" s="4"/>
      <c r="D25" s="4"/>
      <c r="E25" s="4"/>
      <c r="F25" s="4"/>
      <c r="G25" s="4"/>
    </row>
    <row r="26" spans="1:7">
      <c r="A26" s="6" t="s">
        <v>53</v>
      </c>
      <c r="B26" s="6" t="s">
        <v>69</v>
      </c>
      <c r="C26" s="6" t="s">
        <v>70</v>
      </c>
      <c r="D26" s="6" t="s">
        <v>71</v>
      </c>
      <c r="E26" s="6" t="s">
        <v>72</v>
      </c>
      <c r="F26" s="6" t="s">
        <v>1</v>
      </c>
      <c r="G26" s="6" t="s">
        <v>73</v>
      </c>
    </row>
    <row r="27" spans="1:7" ht="35.5" customHeight="1">
      <c r="A27" s="18" t="s">
        <v>176</v>
      </c>
      <c r="B27" s="8" t="s">
        <v>177</v>
      </c>
      <c r="C27" s="20"/>
      <c r="D27" s="21" cm="1" t="str">
        <f t="array" ref="D27">IFERROR(IF('F7-1 Spill Zone'!$C$27&amp;""="","",IF('F7-1 Spill Zone'!$C$27&amp;""=Key!$C$12&amp;"","✔ CLEAR","✘ TRY AGAIN")),"✘ TRY AGAIN")</f>
        <v/>
      </c>
      <c r="E27" s="22"/>
      <c r="F27" s="23" cm="1" t="str">
        <f t="array" ref="F27">IF(E27="Show hint",Key!$B$12,"")</f>
        <v/>
      </c>
      <c r="G27" s="24" cm="1">
        <f t="array" ref="G27">IF(LEFT(D27,1)="✔",IF(E27="Show hint",5,10),0)</f>
        <v>0</v>
      </c>
    </row>
    <row r="28" spans="1:7" ht="35.5" customHeight="1">
      <c r="A28" s="18" t="s">
        <v>181</v>
      </c>
      <c r="B28" s="8" t="s">
        <v>182</v>
      </c>
      <c r="C28" s="20"/>
      <c r="D28" s="21" cm="1" t="str">
        <f t="array" ref="D28">IFERROR(IF('F7-1 Spill Zone'!$C$28&amp;""="","",IF('F7-1 Spill Zone'!$C$28&amp;""=Key!$C$13&amp;"","✔ CLEAR","✘ TRY AGAIN")),"✘ TRY AGAIN")</f>
        <v/>
      </c>
      <c r="E28" s="22"/>
      <c r="F28" s="23" cm="1" t="str">
        <f t="array" ref="F28">IF(E28="Show hint",Key!$B$13,"")</f>
        <v/>
      </c>
      <c r="G28" s="24" cm="1">
        <f t="array" ref="G28">IF(LEFT(D28,1)="✔",IF(E28="Show hint",5,10),0)</f>
        <v>0</v>
      </c>
    </row>
    <row r="29" spans="1:7" ht="35.5" customHeight="1">
      <c r="A29" s="18" t="s">
        <v>185</v>
      </c>
      <c r="B29" s="8" t="s">
        <v>186</v>
      </c>
      <c r="C29" s="20"/>
      <c r="D29" s="21" cm="1" t="str">
        <f t="array" ref="D29">IFERROR(IF('F7-1 Spill Zone'!$C$29&amp;""="","",IF('F7-1 Spill Zone'!$C$29&amp;""=Key!$C$14&amp;"","✔ CLEAR","✘ TRY AGAIN")),"✘ TRY AGAIN")</f>
        <v/>
      </c>
      <c r="E29" s="22"/>
      <c r="F29" s="23" cm="1" t="str">
        <f t="array" ref="F29">IF(E29="Show hint",Key!$B$14,"")</f>
        <v/>
      </c>
      <c r="G29" s="24" cm="1">
        <f t="array" ref="G29">IF(LEFT(D29,1)="✔",IF(E29="Show hint",5,10),0)</f>
        <v>0</v>
      </c>
    </row>
    <row r="30" spans="1:7" ht="35.5" customHeight="1">
      <c r="A30" s="18" t="s">
        <v>192</v>
      </c>
      <c r="B30" s="8" t="s">
        <v>193</v>
      </c>
      <c r="C30" s="20"/>
      <c r="D30" s="21" cm="1" t="str">
        <f t="array" ref="D30">IFERROR(IF('F7-1 Spill Zone'!$C$30&amp;""="","",IF('F7-1 Spill Zone'!$C$30&amp;""=Key!$C$15&amp;"","✔ CLEAR","✘ TRY AGAIN")),"✘ TRY AGAIN")</f>
        <v/>
      </c>
      <c r="E30" s="22"/>
      <c r="F30" s="23" cm="1" t="str">
        <f t="array" ref="F30">IF(E30="Show hint",Key!$B$15,"")</f>
        <v/>
      </c>
      <c r="G30" s="24" cm="1">
        <f t="array" ref="G30">IF(LEFT(D30,1)="✔",IF(E30="Show hint",5,10),0)</f>
        <v>0</v>
      </c>
    </row>
    <row r="32" spans="1:7" ht="22" customHeight="1">
      <c r="A32" s="4" t="s">
        <v>194</v>
      </c>
      <c r="B32" s="4"/>
      <c r="C32" s="4"/>
      <c r="D32" s="4"/>
      <c r="E32" s="4"/>
      <c r="F32" s="4"/>
      <c r="G32" s="4"/>
    </row>
    <row r="33" spans="1:7">
      <c r="B33" s="11" t="s">
        <v>195</v>
      </c>
    </row>
    <row r="34" spans="1:7">
      <c r="A34" s="6" t="s">
        <v>53</v>
      </c>
      <c r="B34" s="6" t="s">
        <v>69</v>
      </c>
      <c r="C34" s="6" t="s">
        <v>70</v>
      </c>
      <c r="D34" s="6" t="s">
        <v>71</v>
      </c>
      <c r="E34" s="6" t="s">
        <v>72</v>
      </c>
      <c r="F34" s="6" t="s">
        <v>1</v>
      </c>
      <c r="G34" s="6" t="s">
        <v>73</v>
      </c>
    </row>
    <row r="35" spans="1:7" ht="35.5" customHeight="1">
      <c r="A35" s="18" t="s">
        <v>200</v>
      </c>
      <c r="B35" s="8" t="s">
        <v>177</v>
      </c>
      <c r="C35" s="20"/>
      <c r="D35" s="21" cm="1" t="str">
        <f t="array" ref="D35">IFERROR(_xlfn.LET(_xlpm.a,'F7-1 Spill Zone'!$C$35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$16:$G$16),"✔ CLEAR","✘ TRY AGAIN"))),"✘ TRY AGAIN")</f>
        <v/>
      </c>
      <c r="E35" s="22"/>
      <c r="F35" s="23" cm="1" t="str">
        <f t="array" ref="F35">IF(E35="Show hint",Key!$B$16,"")</f>
        <v/>
      </c>
      <c r="G35" s="24" cm="1">
        <f t="array" ref="G35">IF(LEFT(D35,1)="✔",IF(E35="Show hint",5,10),0)</f>
        <v>0</v>
      </c>
    </row>
    <row r="36" spans="1:7" ht="35.5" customHeight="1">
      <c r="A36" s="18" t="s">
        <v>208</v>
      </c>
      <c r="B36" s="8" t="s">
        <v>182</v>
      </c>
      <c r="C36" s="20"/>
      <c r="D36" s="21" cm="1" t="str">
        <f t="array" ref="D36">IFERROR(_xlfn.LET(_xlpm.a,'F7-1 Spill Zone'!$C$36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$17:$L$17),"✔ CLEAR","✘ TRY AGAIN"))),"✘ TRY AGAIN")</f>
        <v/>
      </c>
      <c r="E36" s="22"/>
      <c r="F36" s="23" cm="1" t="str">
        <f t="array" ref="F36">IF(E36="Show hint",Key!$B$17,"")</f>
        <v/>
      </c>
      <c r="G36" s="24" cm="1">
        <f t="array" ref="G36">IF(LEFT(D36,1)="✔",IF(E36="Show hint",5,10),0)</f>
        <v>0</v>
      </c>
    </row>
    <row r="37" spans="1:7" ht="35.5" customHeight="1">
      <c r="A37" s="18" t="s">
        <v>210</v>
      </c>
      <c r="B37" s="8" t="s">
        <v>186</v>
      </c>
      <c r="C37" s="20"/>
      <c r="D37" s="21" cm="1" t="str">
        <f t="array" ref="D37">IFERROR(_xlfn.LET(_xlpm.a,'F7-1 Spill Zone'!$C$37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$18:$E$18),"✔ CLEAR","✘ TRY AGAIN"))),"✘ TRY AGAIN")</f>
        <v/>
      </c>
      <c r="E37" s="22"/>
      <c r="F37" s="23" cm="1" t="str">
        <f t="array" ref="F37">IF(E37="Show hint",Key!$B$18,"")</f>
        <v/>
      </c>
      <c r="G37" s="24" cm="1">
        <f t="array" ref="G37">IF(LEFT(D37,1)="✔",IF(E37="Show hint",5,10),0)</f>
        <v>0</v>
      </c>
    </row>
    <row r="38" spans="1:7" ht="35.5" customHeight="1">
      <c r="A38" s="18" t="s">
        <v>217</v>
      </c>
      <c r="B38" s="8" t="s">
        <v>193</v>
      </c>
      <c r="C38" s="20"/>
      <c r="D38" s="21" cm="1" t="str">
        <f t="array" ref="D38">IFERROR(_xlfn.LET(_xlpm.a,'F7-1 Spill Zone'!$C$38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$19:$J$19),"✔ CLEAR","✘ TRY AGAIN"))),"✘ TRY AGAIN")</f>
        <v/>
      </c>
      <c r="E38" s="22"/>
      <c r="F38" s="23" cm="1" t="str">
        <f t="array" ref="F38">IF(E38="Show hint",Key!$B$19,"")</f>
        <v/>
      </c>
      <c r="G38" s="24" cm="1">
        <f t="array" ref="G38">IF(LEFT(D38,1)="✔",IF(E38="Show hint",5,10),0)</f>
        <v>0</v>
      </c>
    </row>
    <row r="39" spans="1:7" ht="35.5" customHeight="1">
      <c r="A39" s="18" t="s">
        <v>220</v>
      </c>
      <c r="B39" s="8" t="s">
        <v>221</v>
      </c>
      <c r="C39" s="11" t="s">
        <v>222</v>
      </c>
      <c r="D39" s="21" cm="1" t="str">
        <f t="array" ref="D39">IF(ISBLANK('F7-1 Arena'!$K$6),"",IF(NOT(_xlfn.ISFORMULA('F7-1 Arena'!$K$6)),"✘ That's a typed value · enter a formula",IF(ISERROR('F7-1 Arena'!$K$6),"✘ Your formula returns "&amp;IFERROR(CHOOSE(ERROR.TYPE('F7-1 Arena'!$K$6),"#NULL!","#DIV/0!","#VALUE!","#REF!","#NAME?","#NUM!","#N/A","#GETTING_DATA","#SPILL!","#CONNECT!","#BLOCKED!","#UNKNOWN!","#FIELD!","#CALC!"),"an error"),IF(IFERROR(AND(ROWS(_xlfn.ANCHORARRAY('F7-1 Arena'!$K$6))=ROWS(_xlfn.ANCHORARRAY(Key!$E$2001)),COLUMNS(_xlfn.ANCHORARRAY('F7-1 Arena'!$K$6))=COLUMNS(_xlfn.ANCHORARRAY(Key!$E$2001)),SUM(--(_xlfn.ANCHORARRAY('F7-1 Arena'!$K$6)=_xlfn.ANCHORARRAY(Key!$E$2001)))=ROWS(_xlfn.ANCHORARRAY(Key!$E$2001))*COLUMNS(_xlfn.ANCHORARRAY(Key!$E$2001))),FALSE),IF(AND(OR(ISNUMBER(FIND({"=","(",",","+","-","*","/","&amp;"," ","&lt;","&gt;",":","@","^"}&amp;"SEQUENCE"&amp;"(",UPPER(_xlfn.FORMULATEXT('F7-1 Arena'!$K$6)))))),"✔ CLEAR","✘ CLOSE · right result, but use SEQUENCE"),"✘ TRY AGAIN"))))</f>
        <v/>
      </c>
      <c r="E39" s="22"/>
      <c r="F39" s="23" cm="1" t="str">
        <f t="array" ref="F39">IF(E39="Show hint",Key!$B$20,"")</f>
        <v/>
      </c>
      <c r="G39" s="24" cm="1">
        <f t="array" ref="G39">IF(LEFT(D39,1)="✔",IF(E39="Show hint",5,10),0)</f>
        <v>0</v>
      </c>
    </row>
    <row r="40" spans="1:7" ht="51.25" customHeight="1">
      <c r="A40" s="18" t="s">
        <v>225</v>
      </c>
      <c r="B40" s="8" t="s">
        <v>226</v>
      </c>
      <c r="C40" s="11" t="s">
        <v>227</v>
      </c>
      <c r="D40" s="21" cm="1" t="str">
        <f t="array" ref="D40">IF(IFERROR(AND(_xlfn.ISFORMULA('F7-1 Arena'!$M$6),ROWS(_xlfn.ANCHORARRAY('F7-1 Arena'!$M$6))=5),FALSE),"✔ CLEAR","· not yet")</f>
        <v>· not yet</v>
      </c>
      <c r="E40" s="22"/>
      <c r="F40" s="23" cm="1" t="str">
        <f t="array" ref="F40">IF(E40="Show hint",Key!$B$21,"")</f>
        <v/>
      </c>
      <c r="G40" s="24" cm="1">
        <f t="array" ref="G40">IF(LEFT(D40,1)="✔",IF(E40="Show hint",5,10),0)</f>
        <v>0</v>
      </c>
    </row>
    <row r="41" spans="1:7" ht="35.5" customHeight="1">
      <c r="A41" s="18" t="s">
        <v>230</v>
      </c>
      <c r="B41" s="8" t="s">
        <v>231</v>
      </c>
      <c r="C41" s="11" t="s">
        <v>232</v>
      </c>
      <c r="D41" s="21" cm="1" t="str">
        <f t="array" ref="D41">IF(ISBLANK('F7-1 Arena'!$K$20),"",IF(NOT(_xlfn.ISFORMULA('F7-1 Arena'!$K$20)),"✘ That's a typed value · enter a formula",IF(ISERROR('F7-1 Arena'!$K$20),"✘ Your formula returns "&amp;IFERROR(CHOOSE(ERROR.TYPE('F7-1 Arena'!$K$20),"#NULL!","#DIV/0!","#VALUE!","#REF!","#NAME?","#NUM!","#N/A","#GETTING_DATA","#SPILL!","#CONNECT!","#BLOCKED!","#UNKNOWN!","#FIELD!","#CALC!"),"an error"),IF(NOT(AND(IFERROR(AND(ISNUMBER('F7-1 Arena'!$K$20),ABS('F7-1 Arena'!$K$20-Key!$C$22)&lt;=1E-9*MAX(1,ABS(Key!$C$22))),FALSE))),"✘ TRY AGAIN",IF(ISNUMBER(FIND("#",_xlfn.FORMULATEXT('F7-1 Arena'!$K$20))),"✔ CLEAR","✘ CLOSE · your formula needs #")))))</f>
        <v/>
      </c>
      <c r="E41" s="22"/>
      <c r="F41" s="23" cm="1" t="str">
        <f t="array" ref="F41">IF(E41="Show hint",Key!$B$22,"")</f>
        <v/>
      </c>
      <c r="G41" s="24" cm="1">
        <f t="array" ref="G41">IF(LEFT(D41,1)="✔",IF(E41="Show hint",5,10),0)</f>
        <v>0</v>
      </c>
    </row>
  </sheetData>
  <sheetProtection sheet="1" objects="1" scenarios="1" formatColumns="0" formatRows="0"/>
  <conditionalFormatting sqref="D14:D41">
    <cfRule type="expression" dxfId="0" priority="1">
      <formula>LEFT($D14,1)="✔"</formula>
    </cfRule>
    <cfRule type="expression" dxfId="1" priority="2">
      <formula>LEFT($D14,1)="✘"</formula>
    </cfRule>
    <cfRule type="expression" dxfId="2" priority="3">
      <formula>$D14="LOCKED"</formula>
    </cfRule>
  </conditionalFormatting>
  <dataValidations count="39"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3"/>
    <dataValidation type="list" allowBlank="1" showInputMessage="1" showErrorMessage="1" promptTitle="Need a hint?" prompt="Pick 'Show hint' (Alt+Down). This question then gives 5 XP instead of 10." sqref="E23">
      <formula1>"Show hint"</formula1>
    </dataValidation>
    <dataValidation type="list" allowBlank="1" showInputMessage="1" showErrorMessage="1" promptTitle="Pick an answer" prompt="Press Alt+Down to open the list, choose with the arrow keys, then press Enter." sqref="C27">
      <formula1>Key!$E$12:$H$12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Pick an answer" prompt="Press Alt+Down to open the list, choose with the arrow keys, then press Enter." sqref="C28">
      <formula1>Key!$E$13:$H$13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type="list" allowBlank="1" showInputMessage="1" showErrorMessage="1" promptTitle="Pick an answer" prompt="Press Alt+Down to open the list, choose with the arrow keys, then press Enter." sqref="C29">
      <formula1>Key!$E$14:$H$14</formula1>
    </dataValidation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type="list" allowBlank="1" showInputMessage="1" showErrorMessage="1" promptTitle="Pick an answer" prompt="Press Alt+Down to open the list, choose with the arrow keys, then press Enter." sqref="C30">
      <formula1>Key!$E$15:$H$15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5"/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6"/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7"/>
    <dataValidation type="list" allowBlank="1" showInputMessage="1" showErrorMessage="1" promptTitle="Need a hint?" prompt="Pick 'Show hint' (Alt+Down). This question then gives 5 XP instead of 10." sqref="E3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8"/>
    <dataValidation type="list" allowBlank="1" showInputMessage="1" showErrorMessage="1" promptTitle="Need a hint?" prompt="Pick 'Show hint' (Alt+Down). This question then gives 5 XP instead of 10." sqref="E38">
      <formula1>"Show hint"</formula1>
    </dataValidation>
    <dataValidation type="list" allowBlank="1" showInputMessage="1" showErrorMessage="1" promptTitle="Need a hint?" prompt="Pick 'Show hint' (Alt+Down). This question then gives 5 XP instead of 10." sqref="E39">
      <formula1>"Show hint"</formula1>
    </dataValidation>
    <dataValidation type="list" allowBlank="1" showInputMessage="1" showErrorMessage="1" promptTitle="Need a hint?" prompt="Pick 'Show hint' (Alt+Down). This question then gives 5 XP instead of 10." sqref="E40">
      <formula1>"Show hint"</formula1>
    </dataValidation>
    <dataValidation type="list" allowBlank="1" showInputMessage="1" showErrorMessage="1" promptTitle="Need a hint?" prompt="Pick 'Show hint' (Alt+Down). This question then gives 5 XP instead of 10." sqref="E41">
      <formula1>"Show hint"</formula1>
    </dataValidation>
  </dataValidations>
  <hyperlinks>
    <hyperlink ref="B33" location="'F7-1 Arena'!A1" display="▶ Open F7-1 Arena (or press Ctrl+PgDn)"/>
    <hyperlink ref="C39" location="'F7-1 Arena'!K6" tooltip="Go to F7-1 Arena, cell K6" display="▶ ARENA C5 (cell K6)"/>
    <hyperlink ref="C40" location="'F7-1 Arena'!M8" tooltip="Go to F7-1 Arena, cell M8" display="▶ ARENA C6 (cell M8)"/>
    <hyperlink ref="C41" location="'F7-1 Arena'!K20" tooltip="Go to F7-1 Arena, cell K20" display="▶ ARENA C7 (cell K20)"/>
  </hyperlink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cols>
    <col min="1" max="1" width="14.7109375" customWidth="1"/>
    <col min="2" max="2" width="13.7109375" customWidth="1"/>
    <col min="3" max="3" width="11.7109375" customWidth="1"/>
    <col min="4" max="26" width="13.7109375" customWidth="1"/>
  </cols>
  <sheetData>
    <row r="1" spans="1:15">
      <c r="A1" s="1" t="s">
        <v>4</v>
      </c>
    </row>
    <row r="2" spans="1:15">
      <c r="A2" s="3" t="s">
        <v>5</v>
      </c>
    </row>
    <row r="3" spans="1:15">
      <c r="A3" s="25" t="s">
        <v>6</v>
      </c>
      <c r="B3" s="26" t="s">
        <v>7</v>
      </c>
      <c r="D3" s="11" t="s">
        <v>8</v>
      </c>
    </row>
    <row r="5" spans="1:15">
      <c r="B5" s="27" t="s">
        <v>9</v>
      </c>
      <c r="C5" s="27" t="s">
        <v>10</v>
      </c>
      <c r="D5" s="27" t="s">
        <v>11</v>
      </c>
      <c r="E5" s="27" t="s">
        <v>12</v>
      </c>
      <c r="F5" s="27" t="s">
        <v>13</v>
      </c>
      <c r="G5" s="27" t="s">
        <v>14</v>
      </c>
      <c r="H5" s="27" t="s">
        <v>15</v>
      </c>
      <c r="K5" s="27" t="s">
        <v>47</v>
      </c>
      <c r="M5" s="27" t="s">
        <v>48</v>
      </c>
      <c r="O5" s="27" t="s">
        <v>50</v>
      </c>
    </row>
    <row r="6" spans="1:15">
      <c r="B6" s="5" t="s">
        <v>16</v>
      </c>
      <c r="C6" s="28">
        <v>46027</v>
      </c>
      <c r="D6" s="5" t="s">
        <v>17</v>
      </c>
      <c r="E6" s="5" t="s">
        <v>18</v>
      </c>
      <c r="F6" s="5" t="s">
        <v>19</v>
      </c>
      <c r="G6" s="5">
        <v>40</v>
      </c>
      <c r="H6" s="5">
        <v>1200</v>
      </c>
      <c r="K6" s="29"/>
      <c r="M6" s="5" cm="1" t="str">
        <f t="array" ref="M6">_xlfn.SEQUENCE(5)</f>
        <v>#SPILL!</v>
      </c>
      <c r="O6" s="5" cm="1">
        <f t="array" ref="O6">_xlfn.SEQUENCE(4,1,10,10)</f>
        <v>10</v>
      </c>
    </row>
    <row r="7" spans="1:15">
      <c r="B7" s="5" t="s">
        <v>20</v>
      </c>
      <c r="C7" s="28">
        <v>46031</v>
      </c>
      <c r="D7" s="5" t="s">
        <v>21</v>
      </c>
      <c r="E7" s="5" t="s">
        <v>22</v>
      </c>
      <c r="F7" s="5" t="s">
        <v>23</v>
      </c>
      <c r="G7" s="5">
        <v>15</v>
      </c>
      <c r="H7" s="5">
        <v>900</v>
      </c>
    </row>
    <row r="8" spans="1:15">
      <c r="B8" s="5" t="s">
        <v>24</v>
      </c>
      <c r="C8" s="28">
        <v>46036</v>
      </c>
      <c r="D8" s="5" t="s">
        <v>25</v>
      </c>
      <c r="E8" s="5" t="s">
        <v>26</v>
      </c>
      <c r="F8" s="5" t="s">
        <v>19</v>
      </c>
      <c r="G8" s="5">
        <v>55</v>
      </c>
      <c r="H8" s="5">
        <v>1650</v>
      </c>
      <c r="M8" s="7" t="s">
        <v>49</v>
      </c>
    </row>
    <row r="9" spans="1:15">
      <c r="B9" s="5" t="s">
        <v>27</v>
      </c>
      <c r="C9" s="28">
        <v>46042</v>
      </c>
      <c r="D9" s="5" t="s">
        <v>17</v>
      </c>
      <c r="E9" s="5" t="s">
        <v>18</v>
      </c>
      <c r="F9" s="5" t="s">
        <v>28</v>
      </c>
      <c r="G9" s="5">
        <v>20</v>
      </c>
      <c r="H9" s="5">
        <v>1000</v>
      </c>
    </row>
    <row r="10" spans="1:15">
      <c r="B10" s="5" t="s">
        <v>29</v>
      </c>
      <c r="C10" s="28">
        <v>46055</v>
      </c>
      <c r="D10" s="5" t="s">
        <v>30</v>
      </c>
      <c r="E10" s="5" t="s">
        <v>31</v>
      </c>
      <c r="F10" s="5" t="s">
        <v>23</v>
      </c>
      <c r="G10" s="5">
        <v>60</v>
      </c>
      <c r="H10" s="5">
        <v>3600</v>
      </c>
    </row>
    <row r="11" spans="1:15">
      <c r="B11" s="5" t="s">
        <v>32</v>
      </c>
      <c r="C11" s="28">
        <v>46060</v>
      </c>
      <c r="D11" s="5" t="s">
        <v>21</v>
      </c>
      <c r="E11" s="5" t="s">
        <v>22</v>
      </c>
      <c r="F11" s="5" t="s">
        <v>19</v>
      </c>
      <c r="G11" s="5">
        <v>35</v>
      </c>
      <c r="H11" s="5">
        <v>1050</v>
      </c>
    </row>
    <row r="12" spans="1:15">
      <c r="B12" s="5" t="s">
        <v>33</v>
      </c>
      <c r="C12" s="28">
        <v>46064</v>
      </c>
      <c r="D12" s="5" t="s">
        <v>17</v>
      </c>
      <c r="E12" s="5" t="s">
        <v>26</v>
      </c>
      <c r="F12" s="5" t="s">
        <v>23</v>
      </c>
      <c r="G12" s="5">
        <v>25</v>
      </c>
      <c r="H12" s="5">
        <v>1500</v>
      </c>
    </row>
    <row r="13" spans="1:15">
      <c r="B13" s="5" t="s">
        <v>34</v>
      </c>
      <c r="C13" s="28">
        <v>46072</v>
      </c>
      <c r="D13" s="5" t="s">
        <v>25</v>
      </c>
      <c r="E13" s="5" t="s">
        <v>31</v>
      </c>
      <c r="F13" s="5" t="s">
        <v>28</v>
      </c>
      <c r="G13" s="5">
        <v>45</v>
      </c>
      <c r="H13" s="5">
        <v>2250</v>
      </c>
    </row>
    <row r="14" spans="1:15">
      <c r="B14" s="5" t="s">
        <v>35</v>
      </c>
      <c r="C14" s="28">
        <v>46084</v>
      </c>
      <c r="D14" s="5" t="s">
        <v>21</v>
      </c>
      <c r="E14" s="5" t="s">
        <v>18</v>
      </c>
      <c r="F14" s="5" t="s">
        <v>28</v>
      </c>
      <c r="G14" s="5">
        <v>10</v>
      </c>
      <c r="H14" s="5">
        <v>500</v>
      </c>
    </row>
    <row r="15" spans="1:15">
      <c r="B15" s="5" t="s">
        <v>36</v>
      </c>
      <c r="C15" s="28">
        <v>46089</v>
      </c>
      <c r="D15" s="5" t="s">
        <v>17</v>
      </c>
      <c r="E15" s="5" t="s">
        <v>22</v>
      </c>
      <c r="F15" s="5" t="s">
        <v>19</v>
      </c>
      <c r="G15" s="5">
        <v>70</v>
      </c>
      <c r="H15" s="5">
        <v>2100</v>
      </c>
    </row>
    <row r="16" spans="1:15">
      <c r="B16" s="5" t="s">
        <v>37</v>
      </c>
      <c r="C16" s="28">
        <v>46096</v>
      </c>
      <c r="D16" s="5" t="s">
        <v>30</v>
      </c>
      <c r="E16" s="5" t="s">
        <v>26</v>
      </c>
      <c r="F16" s="5" t="s">
        <v>19</v>
      </c>
      <c r="G16" s="5">
        <v>30</v>
      </c>
      <c r="H16" s="5">
        <v>900</v>
      </c>
    </row>
    <row r="17" spans="2:11">
      <c r="B17" s="5" t="s">
        <v>38</v>
      </c>
      <c r="C17" s="28">
        <v>46103</v>
      </c>
      <c r="D17" s="5" t="s">
        <v>25</v>
      </c>
      <c r="E17" s="5" t="s">
        <v>18</v>
      </c>
      <c r="F17" s="5" t="s">
        <v>23</v>
      </c>
      <c r="G17" s="5">
        <v>50</v>
      </c>
      <c r="H17" s="5">
        <v>3000</v>
      </c>
    </row>
    <row r="18" spans="2:11">
      <c r="B18" s="5" t="s">
        <v>39</v>
      </c>
      <c r="C18" s="28">
        <v>46113</v>
      </c>
      <c r="D18" s="5" t="s">
        <v>17</v>
      </c>
      <c r="E18" s="5" t="s">
        <v>31</v>
      </c>
      <c r="F18" s="5" t="s">
        <v>28</v>
      </c>
      <c r="G18" s="5">
        <v>65</v>
      </c>
      <c r="H18" s="5">
        <v>3250</v>
      </c>
    </row>
    <row r="19" spans="2:11">
      <c r="B19" s="5" t="s">
        <v>40</v>
      </c>
      <c r="C19" s="28">
        <v>46118</v>
      </c>
      <c r="D19" s="5" t="s">
        <v>21</v>
      </c>
      <c r="E19" s="5" t="s">
        <v>26</v>
      </c>
      <c r="F19" s="5" t="s">
        <v>23</v>
      </c>
      <c r="G19" s="5">
        <v>20</v>
      </c>
      <c r="H19" s="5">
        <v>1200</v>
      </c>
      <c r="K19" s="7" t="s">
        <v>51</v>
      </c>
    </row>
    <row r="20" spans="2:11">
      <c r="B20" s="5" t="s">
        <v>41</v>
      </c>
      <c r="C20" s="28">
        <v>46125</v>
      </c>
      <c r="D20" s="5" t="s">
        <v>30</v>
      </c>
      <c r="E20" s="5" t="s">
        <v>22</v>
      </c>
      <c r="F20" s="5" t="s">
        <v>28</v>
      </c>
      <c r="G20" s="5">
        <v>15</v>
      </c>
      <c r="H20" s="5">
        <v>750</v>
      </c>
      <c r="K20" s="29"/>
    </row>
    <row r="21" spans="2:11">
      <c r="B21" s="5" t="s">
        <v>42</v>
      </c>
      <c r="C21" s="28">
        <v>46133</v>
      </c>
      <c r="D21" s="5" t="s">
        <v>17</v>
      </c>
      <c r="E21" s="5" t="s">
        <v>18</v>
      </c>
      <c r="F21" s="5" t="s">
        <v>19</v>
      </c>
      <c r="G21" s="5">
        <v>50</v>
      </c>
      <c r="H21" s="5">
        <v>1500</v>
      </c>
    </row>
    <row r="22" spans="2:11">
      <c r="B22" s="5" t="s">
        <v>43</v>
      </c>
      <c r="C22" s="28">
        <v>46146</v>
      </c>
      <c r="D22" s="5" t="s">
        <v>25</v>
      </c>
      <c r="E22" s="5" t="s">
        <v>22</v>
      </c>
      <c r="F22" s="5" t="s">
        <v>19</v>
      </c>
      <c r="G22" s="5">
        <v>25</v>
      </c>
      <c r="H22" s="5">
        <v>750</v>
      </c>
    </row>
    <row r="23" spans="2:11">
      <c r="B23" s="5" t="s">
        <v>44</v>
      </c>
      <c r="C23" s="28">
        <v>46154</v>
      </c>
      <c r="D23" s="5" t="s">
        <v>21</v>
      </c>
      <c r="E23" s="5" t="s">
        <v>31</v>
      </c>
      <c r="F23" s="5" t="s">
        <v>23</v>
      </c>
      <c r="G23" s="5">
        <v>40</v>
      </c>
      <c r="H23" s="5">
        <v>2400</v>
      </c>
    </row>
    <row r="24" spans="2:11">
      <c r="B24" s="5" t="s">
        <v>45</v>
      </c>
      <c r="C24" s="28">
        <v>46161</v>
      </c>
      <c r="D24" s="5" t="s">
        <v>30</v>
      </c>
      <c r="E24" s="5" t="s">
        <v>18</v>
      </c>
      <c r="F24" s="5" t="s">
        <v>28</v>
      </c>
      <c r="G24" s="5">
        <v>35</v>
      </c>
      <c r="H24" s="5">
        <v>1750</v>
      </c>
    </row>
    <row r="25" spans="2:11">
      <c r="B25" s="5" t="s">
        <v>46</v>
      </c>
      <c r="C25" s="28">
        <v>46169</v>
      </c>
      <c r="D25" s="5" t="s">
        <v>17</v>
      </c>
      <c r="E25" s="5" t="s">
        <v>26</v>
      </c>
      <c r="F25" s="5" t="s">
        <v>23</v>
      </c>
      <c r="G25" s="5">
        <v>55</v>
      </c>
      <c r="H25" s="5">
        <v>3300</v>
      </c>
    </row>
  </sheetData>
  <hyperlinks>
    <hyperlink ref="D3" location="'F7-1 Spill Zone'!A1" display="◀ Back to F7-1 Spill Zon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38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325</v>
      </c>
      <c r="B1" s="2"/>
      <c r="C1" s="2"/>
      <c r="D1" s="2"/>
      <c r="E1" s="2"/>
      <c r="F1" s="2"/>
      <c r="G1" s="2"/>
    </row>
    <row r="2" spans="1:7">
      <c r="A2" s="3" t="s">
        <v>326</v>
      </c>
    </row>
    <row r="3" spans="1:7" ht="26" customHeight="1">
      <c r="A3" s="14" cm="1" t="str">
        <f t="array" ref="A3">"SCORE "&amp;TEXT(SUM($G$13:$G$38),"0000")&amp;" / 0190"</f>
        <v>SCORE 0000 / 0190</v>
      </c>
      <c r="C3" s="15" cm="1" t="str">
        <f t="array" ref="C3">IF(SUM($G$13:$G$38)&gt;=190,"★★★",IF(SUM($G$13:$G$38)&gt;=190*0.8,"★★☆",IF(SUM($G$13:$G$38)&gt;=190*0.5,"★☆☆","☆☆☆")))</f>
        <v>☆☆☆</v>
      </c>
      <c r="D3" s="16" cm="1" t="str">
        <f t="array" ref="D3">REPT("█",ROUND(10*SUM($G$13:$G$38)/190,0))&amp;REPT("░",10-ROUND(10*SUM($G$13:$G$38)/190,0))&amp;"  "&amp;TEXT(SUM($G$13:$G$38)/190,"0%")</f>
        <v>░░░░░░░░░░  0%</v>
      </c>
      <c r="F3" s="17" cm="1" t="str">
        <f t="array" ref="F3">IF(SUM($G$13:$G$38)&gt;=190*0.5,"STAGE CLEAR! ▶ Next: F7-3 Sorter","")</f>
        <v/>
      </c>
    </row>
    <row r="5" spans="1:7" ht="22" customHeight="1">
      <c r="A5" s="4" t="s">
        <v>52</v>
      </c>
      <c r="B5" s="4"/>
      <c r="C5" s="4"/>
      <c r="D5" s="4"/>
      <c r="E5" s="4"/>
      <c r="F5" s="4"/>
      <c r="G5" s="4"/>
    </row>
    <row r="6" spans="1:7">
      <c r="A6" s="6" t="s">
        <v>53</v>
      </c>
      <c r="B6" s="6" t="s">
        <v>54</v>
      </c>
      <c r="C6" s="6" t="s">
        <v>55</v>
      </c>
      <c r="D6" s="6"/>
      <c r="E6" s="6"/>
      <c r="F6" s="6"/>
      <c r="G6" s="6"/>
    </row>
    <row r="7" spans="1:7" ht="51.25" customHeight="1">
      <c r="A7" s="18" t="s">
        <v>56</v>
      </c>
      <c r="B7" s="8" t="s">
        <v>241</v>
      </c>
      <c r="C7" s="19" t="s">
        <v>190</v>
      </c>
    </row>
    <row r="8" spans="1:7" ht="51.25" customHeight="1">
      <c r="A8" s="18" t="s">
        <v>59</v>
      </c>
      <c r="B8" s="8" t="s">
        <v>242</v>
      </c>
      <c r="C8" s="19" t="s">
        <v>175</v>
      </c>
    </row>
    <row r="9" spans="1:7" ht="51.25" customHeight="1">
      <c r="A9" s="18" t="s">
        <v>62</v>
      </c>
      <c r="B9" s="8" t="s">
        <v>243</v>
      </c>
      <c r="C9" s="19" t="s">
        <v>174</v>
      </c>
    </row>
    <row r="11" spans="1:7" ht="22" customHeight="1">
      <c r="A11" s="4" t="s">
        <v>68</v>
      </c>
      <c r="B11" s="4"/>
      <c r="C11" s="4"/>
      <c r="D11" s="4"/>
      <c r="E11" s="4"/>
      <c r="F11" s="4"/>
      <c r="G11" s="4"/>
    </row>
    <row r="12" spans="1:7">
      <c r="A12" s="6" t="s">
        <v>53</v>
      </c>
      <c r="B12" s="6" t="s">
        <v>69</v>
      </c>
      <c r="C12" s="6" t="s">
        <v>70</v>
      </c>
      <c r="D12" s="6" t="s">
        <v>71</v>
      </c>
      <c r="E12" s="6" t="s">
        <v>72</v>
      </c>
      <c r="F12" s="6" t="s">
        <v>1</v>
      </c>
      <c r="G12" s="6" t="s">
        <v>73</v>
      </c>
    </row>
    <row r="13" spans="1:7" ht="51.25" customHeight="1">
      <c r="A13" s="18" t="s">
        <v>82</v>
      </c>
      <c r="B13" s="8" t="s">
        <v>245</v>
      </c>
      <c r="C13" s="20"/>
      <c r="D13" s="21" cm="1" t="str">
        <f t="array" ref="D13">IFERROR(_xlfn.LET(_xlpm.a,'F7-2 Sifter'!$C$13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$23:$G$23),"✔ CLEAR","✘ TRY AGAIN"))),"✘ TRY AGAIN")</f>
        <v/>
      </c>
      <c r="E13" s="22"/>
      <c r="F13" s="23" cm="1" t="str">
        <f t="array" ref="F13">IF(E13="Show hint",Key!$B$23,"")</f>
        <v/>
      </c>
      <c r="G13" s="24" cm="1">
        <f t="array" ref="G13">IF(LEFT(D13,1)="✔",IF(E13="Show hint",5,10),0)</f>
        <v>0</v>
      </c>
    </row>
    <row r="14" spans="1:7" ht="35.5" customHeight="1">
      <c r="A14" s="18" t="s">
        <v>92</v>
      </c>
      <c r="B14" s="8" t="s">
        <v>247</v>
      </c>
      <c r="C14" s="20"/>
      <c r="D14" s="21" cm="1" t="str">
        <f t="array" ref="D14">IFERROR(_xlfn.LET(_xlpm.a,'F7-2 Sifter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$24:$L$24),"✔ CLEAR","✘ TRY AGAIN"))),"✘ TRY AGAIN")</f>
        <v/>
      </c>
      <c r="E14" s="22"/>
      <c r="F14" s="23" cm="1" t="str">
        <f t="array" ref="F14">IF(E14="Show hint",Key!$B$24,"")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102</v>
      </c>
      <c r="B15" s="8" t="s">
        <v>249</v>
      </c>
      <c r="C15" s="20"/>
      <c r="D15" s="21" cm="1" t="str">
        <f t="array" ref="D15">IFERROR(_xlfn.LET(_xlpm.a,'F7-2 Sifter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$25:$E$25),"✔ CLEAR","✘ TRY AGAIN"))),"✘ TRY AGAIN")</f>
        <v/>
      </c>
      <c r="E15" s="22"/>
      <c r="F15" s="23" cm="1" t="str">
        <f t="array" ref="F15">IF(E15="Show hint",Key!$B$25,"")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111</v>
      </c>
      <c r="B16" s="8" t="s">
        <v>251</v>
      </c>
      <c r="C16" s="20"/>
      <c r="D16" s="21" cm="1" t="str">
        <f t="array" ref="D16">IFERROR(_xlfn.LET(_xlpm.a,'F7-2 Sifter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$26:$J$26),"✔ CLEAR","✘ TRY AGAIN"))),"✘ TRY AGAIN")</f>
        <v/>
      </c>
      <c r="E16" s="22"/>
      <c r="F16" s="23" cm="1" t="str">
        <f t="array" ref="F16">IF(E16="Show hint",Key!$B$26,"")</f>
        <v/>
      </c>
      <c r="G16" s="24" cm="1">
        <f t="array" ref="G16">IF(LEFT(D16,1)="✔",IF(E16="Show hint",5,10),0)</f>
        <v>0</v>
      </c>
    </row>
    <row r="17" spans="1:7" ht="51.25" customHeight="1">
      <c r="A17" s="18" t="s">
        <v>120</v>
      </c>
      <c r="B17" s="8" t="s">
        <v>256</v>
      </c>
      <c r="C17" s="20"/>
      <c r="D17" s="21" cm="1" t="str">
        <f t="array" ref="D17">IFERROR(_xlfn.LET(_xlpm.a,'F7-2 Sifter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$27:$F$27),"✔ CLEAR","✘ TRY AGAIN"))),"✘ TRY AGAIN")</f>
        <v/>
      </c>
      <c r="E17" s="22"/>
      <c r="F17" s="23" cm="1" t="str">
        <f t="array" ref="F17">IF(E17="Show hint",Key!$B$27,"")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129</v>
      </c>
      <c r="B18" s="8" t="s">
        <v>263</v>
      </c>
      <c r="C18" s="20"/>
      <c r="D18" s="21" cm="1" t="str">
        <f t="array" ref="D18">IFERROR(_xlfn.LET(_xlpm.a,'F7-2 Sifter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$28:$H$28),"✔ CLEAR","✘ TRY AGAIN"))),"✘ TRY AGAIN")</f>
        <v/>
      </c>
      <c r="E18" s="22"/>
      <c r="F18" s="23" cm="1" t="str">
        <f t="array" ref="F18">IF(E18="Show hint",Key!$B$28,"")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139</v>
      </c>
      <c r="B19" s="8" t="s">
        <v>272</v>
      </c>
      <c r="C19" s="20"/>
      <c r="D19" s="21" cm="1" t="str">
        <f t="array" ref="D19">IFERROR(_xlfn.LET(_xlpm.a,'F7-2 Sifter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$29:$J$29),"✔ CLEAR","✘ TRY AGAIN"))),"✘ TRY AGAIN")</f>
        <v/>
      </c>
      <c r="E19" s="22"/>
      <c r="F19" s="23" cm="1" t="str">
        <f t="array" ref="F19">IF(E19="Show hint",Key!$B$29,"")</f>
        <v/>
      </c>
      <c r="G19" s="24" cm="1">
        <f t="array" ref="G19">IF(LEFT(D19,1)="✔",IF(E19="Show hint",5,10),0)</f>
        <v>0</v>
      </c>
    </row>
    <row r="20" spans="1:7" ht="51.25" customHeight="1">
      <c r="A20" s="18" t="s">
        <v>149</v>
      </c>
      <c r="B20" s="8" t="s">
        <v>275</v>
      </c>
      <c r="C20" s="20"/>
      <c r="D20" s="21" cm="1" t="str">
        <f t="array" ref="D20">IFERROR(_xlfn.LET(_xlpm.a,'F7-2 Sifter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$30:$J$30),"✔ CLEAR","✘ TRY AGAIN"))),"✘ TRY AGAIN")</f>
        <v/>
      </c>
      <c r="E20" s="22"/>
      <c r="F20" s="23" cm="1" t="str">
        <f t="array" ref="F20">IF(E20="Show hint",Key!$B$30,"")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159</v>
      </c>
      <c r="B21" s="8" t="s">
        <v>279</v>
      </c>
      <c r="C21" s="20"/>
      <c r="D21" s="21" cm="1" t="str">
        <f t="array" ref="D21">IFERROR(_xlfn.LET(_xlpm.a,'F7-2 Sifter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$31:$E$31),"✔ CLEAR","✘ TRY AGAIN"))),"✘ TRY AGAIN")</f>
        <v/>
      </c>
      <c r="E21" s="22"/>
      <c r="F21" s="23" cm="1" t="str">
        <f t="array" ref="F21">IF(E21="Show hint",Key!$B$31,"")</f>
        <v/>
      </c>
      <c r="G21" s="24" cm="1">
        <f t="array" ref="G21">IF(LEFT(D21,1)="✔",IF(E21="Show hint",5,10),0)</f>
        <v>0</v>
      </c>
    </row>
    <row r="22" spans="1:7" ht="35.5" customHeight="1">
      <c r="A22" s="18" t="s">
        <v>169</v>
      </c>
      <c r="B22" s="8" t="s">
        <v>286</v>
      </c>
      <c r="C22" s="20"/>
      <c r="D22" s="21" cm="1" t="str">
        <f t="array" ref="D22">IFERROR(_xlfn.LET(_xlpm.a,'F7-2 Sifter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$32:$H$32),"✔ CLEAR","✘ TRY AGAIN"))),"✘ TRY AGAIN")</f>
        <v/>
      </c>
      <c r="E22" s="22"/>
      <c r="F22" s="23" cm="1" t="str">
        <f t="array" ref="F22">IF(E22="Show hint",Key!$B$32,"")</f>
        <v/>
      </c>
      <c r="G22" s="24" cm="1">
        <f t="array" ref="G22">IF(LEFT(D22,1)="✔",IF(E22="Show hint",5,10),0)</f>
        <v>0</v>
      </c>
    </row>
    <row r="24" spans="1:7" ht="22" customHeight="1">
      <c r="A24" s="4" t="s">
        <v>171</v>
      </c>
      <c r="B24" s="4"/>
      <c r="C24" s="4"/>
      <c r="D24" s="4"/>
      <c r="E24" s="4"/>
      <c r="F24" s="4"/>
      <c r="G24" s="4"/>
    </row>
    <row r="25" spans="1:7">
      <c r="A25" s="6" t="s">
        <v>53</v>
      </c>
      <c r="B25" s="6" t="s">
        <v>69</v>
      </c>
      <c r="C25" s="6" t="s">
        <v>70</v>
      </c>
      <c r="D25" s="6" t="s">
        <v>71</v>
      </c>
      <c r="E25" s="6" t="s">
        <v>72</v>
      </c>
      <c r="F25" s="6" t="s">
        <v>1</v>
      </c>
      <c r="G25" s="6" t="s">
        <v>73</v>
      </c>
    </row>
    <row r="26" spans="1:7" ht="35.5" customHeight="1">
      <c r="A26" s="18" t="s">
        <v>176</v>
      </c>
      <c r="B26" s="8" t="s">
        <v>291</v>
      </c>
      <c r="C26" s="20"/>
      <c r="D26" s="21" cm="1" t="str">
        <f t="array" ref="D26">IFERROR(IF('F7-2 Sifter'!$C$26&amp;""="","",IF('F7-2 Sifter'!$C$26&amp;""=Key!$C$33&amp;"","✔ CLEAR","✘ TRY AGAIN")),"✘ TRY AGAIN")</f>
        <v/>
      </c>
      <c r="E26" s="22"/>
      <c r="F26" s="23" cm="1" t="str">
        <f t="array" ref="F26">IF(E26="Show hint",Key!$B$33,"")</f>
        <v/>
      </c>
      <c r="G26" s="24" cm="1">
        <f t="array" ref="G26">IF(LEFT(D26,1)="✔",IF(E26="Show hint",5,10),0)</f>
        <v>0</v>
      </c>
    </row>
    <row r="27" spans="1:7" ht="35.5" customHeight="1">
      <c r="A27" s="18" t="s">
        <v>181</v>
      </c>
      <c r="B27" s="8" t="s">
        <v>294</v>
      </c>
      <c r="C27" s="20"/>
      <c r="D27" s="21" cm="1" t="str">
        <f t="array" ref="D27">IFERROR(IF('F7-2 Sifter'!$C$27&amp;""="","",IF('F7-2 Sifter'!$C$27&amp;""=Key!$C$34&amp;"","✔ CLEAR","✘ TRY AGAIN")),"✘ TRY AGAIN")</f>
        <v/>
      </c>
      <c r="E27" s="22"/>
      <c r="F27" s="23" cm="1" t="str">
        <f t="array" ref="F27">IF(E27="Show hint",Key!$B$34,"")</f>
        <v/>
      </c>
      <c r="G27" s="24" cm="1">
        <f t="array" ref="G27">IF(LEFT(D27,1)="✔",IF(E27="Show hint",5,10),0)</f>
        <v>0</v>
      </c>
    </row>
    <row r="28" spans="1:7" ht="35.5" customHeight="1">
      <c r="A28" s="18" t="s">
        <v>185</v>
      </c>
      <c r="B28" s="8" t="s">
        <v>297</v>
      </c>
      <c r="C28" s="20"/>
      <c r="D28" s="21" cm="1" t="str">
        <f t="array" ref="D28">IFERROR(IF('F7-2 Sifter'!$C$28&amp;""="","",IF('F7-2 Sifter'!$C$28&amp;""=Key!$C$35&amp;"","✔ CLEAR","✘ TRY AGAIN")),"✘ TRY AGAIN")</f>
        <v/>
      </c>
      <c r="E28" s="22"/>
      <c r="F28" s="23" cm="1" t="str">
        <f t="array" ref="F28">IF(E28="Show hint",Key!$B$35,"")</f>
        <v/>
      </c>
      <c r="G28" s="24" cm="1">
        <f t="array" ref="G28">IF(LEFT(D28,1)="✔",IF(E28="Show hint",5,10),0)</f>
        <v>0</v>
      </c>
    </row>
    <row r="30" spans="1:7" ht="22" customHeight="1">
      <c r="A30" s="4" t="s">
        <v>194</v>
      </c>
      <c r="B30" s="4"/>
      <c r="C30" s="4"/>
      <c r="D30" s="4"/>
      <c r="E30" s="4"/>
      <c r="F30" s="4"/>
      <c r="G30" s="4"/>
    </row>
    <row r="31" spans="1:7">
      <c r="B31" s="11" t="s">
        <v>298</v>
      </c>
    </row>
    <row r="32" spans="1:7">
      <c r="A32" s="6" t="s">
        <v>53</v>
      </c>
      <c r="B32" s="6" t="s">
        <v>69</v>
      </c>
      <c r="C32" s="6" t="s">
        <v>70</v>
      </c>
      <c r="D32" s="6" t="s">
        <v>71</v>
      </c>
      <c r="E32" s="6" t="s">
        <v>72</v>
      </c>
      <c r="F32" s="6" t="s">
        <v>1</v>
      </c>
      <c r="G32" s="6" t="s">
        <v>73</v>
      </c>
    </row>
    <row r="33" spans="1:7" ht="35.5" customHeight="1">
      <c r="A33" s="18" t="s">
        <v>200</v>
      </c>
      <c r="B33" s="8" t="s">
        <v>291</v>
      </c>
      <c r="C33" s="20"/>
      <c r="D33" s="21" cm="1" t="str">
        <f t="array" ref="D33">IFERROR(_xlfn.LET(_xlpm.a,'F7-2 Sifter'!$C$33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$36:$J$36),"✔ CLEAR","✘ TRY AGAIN"))),"✘ TRY AGAIN")</f>
        <v/>
      </c>
      <c r="E33" s="22"/>
      <c r="F33" s="23" cm="1" t="str">
        <f t="array" ref="F33">IF(E33="Show hint",Key!$B$36,"")</f>
        <v/>
      </c>
      <c r="G33" s="24" cm="1">
        <f t="array" ref="G33">IF(LEFT(D33,1)="✔",IF(E33="Show hint",5,10),0)</f>
        <v>0</v>
      </c>
    </row>
    <row r="34" spans="1:7" ht="35.5" customHeight="1">
      <c r="A34" s="18" t="s">
        <v>208</v>
      </c>
      <c r="B34" s="8" t="s">
        <v>308</v>
      </c>
      <c r="C34" s="20"/>
      <c r="D34" s="21" cm="1" t="str">
        <f t="array" ref="D34">IFERROR(_xlfn.LET(_xlpm.a,'F7-2 Sifter'!$C$34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$37:$F$37),"✔ CLEAR","✘ TRY AGAIN"))),"✘ TRY AGAIN")</f>
        <v/>
      </c>
      <c r="E34" s="22"/>
      <c r="F34" s="23" cm="1" t="str">
        <f t="array" ref="F34">IF(E34="Show hint",Key!$B$37,"")</f>
        <v/>
      </c>
      <c r="G34" s="24" cm="1">
        <f t="array" ref="G34">IF(LEFT(D34,1)="✔",IF(E34="Show hint",5,10),0)</f>
        <v>0</v>
      </c>
    </row>
    <row r="35" spans="1:7" ht="35.5" customHeight="1">
      <c r="A35" s="18" t="s">
        <v>210</v>
      </c>
      <c r="B35" s="8" t="s">
        <v>297</v>
      </c>
      <c r="C35" s="20"/>
      <c r="D35" s="21" cm="1" t="str">
        <f t="array" ref="D35">IFERROR(_xlfn.LET(_xlpm.a,'F7-2 Sifter'!$C$35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$38:$H$38),"✔ CLEAR","✘ TRY AGAIN"))),"✘ TRY AGAIN")</f>
        <v/>
      </c>
      <c r="E35" s="22"/>
      <c r="F35" s="23" cm="1" t="str">
        <f t="array" ref="F35">IF(E35="Show hint",Key!$B$38,"")</f>
        <v/>
      </c>
      <c r="G35" s="24" cm="1">
        <f t="array" ref="G35">IF(LEFT(D35,1)="✔",IF(E35="Show hint",5,10),0)</f>
        <v>0</v>
      </c>
    </row>
    <row r="36" spans="1:7" ht="35.5" customHeight="1">
      <c r="A36" s="18" t="s">
        <v>217</v>
      </c>
      <c r="B36" s="8" t="s">
        <v>315</v>
      </c>
      <c r="C36" s="11" t="s">
        <v>316</v>
      </c>
      <c r="D36" s="21" cm="1" t="str">
        <f t="array" ref="D36">IF(ISBLANK('F7-2 Arena'!$K$6),"",IF(NOT(_xlfn.ISFORMULA('F7-2 Arena'!$K$6)),"✘ That's a typed value · enter a formula",IF(ISERROR('F7-2 Arena'!$K$6),"✘ Your formula returns "&amp;IFERROR(CHOOSE(ERROR.TYPE('F7-2 Arena'!$K$6),"#NULL!","#DIV/0!","#VALUE!","#REF!","#NAME?","#NUM!","#N/A","#GETTING_DATA","#SPILL!","#CONNECT!","#BLOCKED!","#UNKNOWN!","#FIELD!","#CALC!"),"an error"),IF(IFERROR(AND(ROWS(_xlfn.ANCHORARRAY('F7-2 Arena'!$K$6))=ROWS(_xlfn.ANCHORARRAY(Key!$E$2101)),COLUMNS(_xlfn.ANCHORARRAY('F7-2 Arena'!$K$6))=COLUMNS(_xlfn.ANCHORARRAY(Key!$E$2101)),SUM(--(_xlfn.ANCHORARRAY('F7-2 Arena'!$K$6)=_xlfn.ANCHORARRAY(Key!$E$2101)))=ROWS(_xlfn.ANCHORARRAY(Key!$E$2101))*COLUMNS(_xlfn.ANCHORARRAY(Key!$E$2101))),FALSE),IF(AND(OR(ISNUMBER(FIND({"=","(",",","+","-","*","/","&amp;"," ","&lt;","&gt;",":","@","^"}&amp;"FILTER"&amp;"(",UPPER(_xlfn.FORMULATEXT('F7-2 Arena'!$K$6)))))),"✔ CLEAR","✘ CLOSE · right result, but use FILTER"),"✘ TRY AGAIN"))))</f>
        <v/>
      </c>
      <c r="E36" s="22"/>
      <c r="F36" s="23" cm="1" t="str">
        <f t="array" ref="F36">IF(E36="Show hint",Key!$B$39,"")</f>
        <v/>
      </c>
      <c r="G36" s="24" cm="1">
        <f t="array" ref="G36">IF(LEFT(D36,1)="✔",IF(E36="Show hint",5,10),0)</f>
        <v>0</v>
      </c>
    </row>
    <row r="37" spans="1:7" ht="51.25" customHeight="1">
      <c r="A37" s="18" t="s">
        <v>220</v>
      </c>
      <c r="B37" s="8" t="s">
        <v>319</v>
      </c>
      <c r="C37" s="11" t="s">
        <v>320</v>
      </c>
      <c r="D37" s="21" cm="1" t="str">
        <f t="array" ref="D37">IF(ISBLANK('F7-2 Arena'!$K$20),"",IF(NOT(_xlfn.ISFORMULA('F7-2 Arena'!$K$20)),"✘ That's a typed value · enter a formula",IF(ISERROR('F7-2 Arena'!$K$20),"✘ Your formula returns "&amp;IFERROR(CHOOSE(ERROR.TYPE('F7-2 Arena'!$K$20),"#NULL!","#DIV/0!","#VALUE!","#REF!","#NAME?","#NUM!","#N/A","#GETTING_DATA","#SPILL!","#CONNECT!","#BLOCKED!","#UNKNOWN!","#FIELD!","#CALC!"),"an error"),IF(IFERROR(AND(ROWS(_xlfn.ANCHORARRAY('F7-2 Arena'!$K$20))=ROWS(_xlfn.ANCHORARRAY(Key!$E$2201)),COLUMNS(_xlfn.ANCHORARRAY('F7-2 Arena'!$K$20))=COLUMNS(_xlfn.ANCHORARRAY(Key!$E$2201)),SUM(--(_xlfn.ANCHORARRAY('F7-2 Arena'!$K$20)=_xlfn.ANCHORARRAY(Key!$E$2201)))=ROWS(_xlfn.ANCHORARRAY(Key!$E$2201))*COLUMNS(_xlfn.ANCHORARRAY(Key!$E$2201))),FALSE),IF(AND(OR(ISNUMBER(FIND({"=","(",",","+","-","*","/","&amp;"," ","&lt;","&gt;",":","@","^"}&amp;"FILTER"&amp;"(",UPPER(_xlfn.FORMULATEXT('F7-2 Arena'!$K$20)))))),"✔ CLEAR","✘ CLOSE · right result, but use FILTER"),"✘ TRY AGAIN"))))</f>
        <v/>
      </c>
      <c r="E37" s="22"/>
      <c r="F37" s="23" cm="1" t="str">
        <f t="array" ref="F37">IF(E37="Show hint",Key!$B$40,"")</f>
        <v/>
      </c>
      <c r="G37" s="24" cm="1">
        <f t="array" ref="G37">IF(LEFT(D37,1)="✔",IF(E37="Show hint",5,10),0)</f>
        <v>0</v>
      </c>
    </row>
    <row r="38" spans="1:7" ht="51.25" customHeight="1">
      <c r="A38" s="18" t="s">
        <v>225</v>
      </c>
      <c r="B38" s="8" t="s">
        <v>323</v>
      </c>
      <c r="C38" s="11" t="s">
        <v>324</v>
      </c>
      <c r="D38" s="21" cm="1" t="str">
        <f t="array" ref="D38">IF(ISBLANK('F7-2 Arena'!$K$30),"",IF(NOT(_xlfn.ISFORMULA('F7-2 Arena'!$K$30)),"✘ That's a typed value · enter a formula",IF(ISERROR('F7-2 Arena'!$K$30),"✘ Your formula returns "&amp;IFERROR(CHOOSE(ERROR.TYPE('F7-2 Arena'!$K$30),"#NULL!","#DIV/0!","#VALUE!","#REF!","#NAME?","#NUM!","#N/A","#GETTING_DATA","#SPILL!","#CONNECT!","#BLOCKED!","#UNKNOWN!","#FIELD!","#CALC!"),"an error"),IF(NOT(AND(IFERROR(AND(ISTEXT('F7-2 Arena'!$K$30),'F7-2 Arena'!$K$30=Key!$C$41),FALSE))),"✘ TRY AGAIN",IF(AND(OR(ISNUMBER(FIND({"=","(",",","+","-","*","/","&amp;"," ","&lt;","&gt;",":","@","^"}&amp;"FILTER"&amp;"(",UPPER(_xlfn.FORMULATEXT('F7-2 Arena'!$K$30)))))),"✔ CLEAR","✘ CLOSE · right value, but use FILTER")))))</f>
        <v/>
      </c>
      <c r="E38" s="22"/>
      <c r="F38" s="23" cm="1" t="str">
        <f t="array" ref="F38">IF(E38="Show hint",Key!$B$41,"")</f>
        <v/>
      </c>
      <c r="G38" s="24" cm="1">
        <f t="array" ref="G38">IF(LEFT(D38,1)="✔",IF(E38="Show hint",5,10),0)</f>
        <v>0</v>
      </c>
    </row>
  </sheetData>
  <sheetProtection sheet="1" objects="1" scenarios="1" formatColumns="0" formatRows="0"/>
  <conditionalFormatting sqref="D13:D38">
    <cfRule type="expression" dxfId="0" priority="1">
      <formula>LEFT($D13,1)="✔"</formula>
    </cfRule>
    <cfRule type="expression" dxfId="1" priority="2">
      <formula>LEFT($D13,1)="✘"</formula>
    </cfRule>
    <cfRule type="expression" dxfId="2" priority="3">
      <formula>$D13="LOCKED"</formula>
    </cfRule>
  </conditionalFormatting>
  <dataValidations count="35">
    <dataValidation allowBlank="1" showInputMessage="1" showErrorMessage="1" promptTitle="Type your answer" prompt="Type keys joined with +, like Ctrl+Shift+L. For a function, type its name, like SUMIFS. Case and spaces don't matter." sqref="C13"/>
    <dataValidation type="list" allowBlank="1" showInputMessage="1" showErrorMessage="1" promptTitle="Need a hint?" prompt="Pick 'Show hint' (Alt+Down). This question then gives 5 XP instead of 10." sqref="E1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type="list" allowBlank="1" showInputMessage="1" showErrorMessage="1" promptTitle="Pick an answer" prompt="Press Alt+Down to open the list, choose with the arrow keys, then press Enter." sqref="C26">
      <formula1>Key!$E$33:$H$33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type="list" allowBlank="1" showInputMessage="1" showErrorMessage="1" promptTitle="Pick an answer" prompt="Press Alt+Down to open the list, choose with the arrow keys, then press Enter." sqref="C27">
      <formula1>Key!$E$34:$H$34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Pick an answer" prompt="Press Alt+Down to open the list, choose with the arrow keys, then press Enter." sqref="C28">
      <formula1>Key!$E$35:$H$35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3"/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4"/>
    <dataValidation type="list" allowBlank="1" showInputMessage="1" showErrorMessage="1" promptTitle="Need a hint?" prompt="Pick 'Show hint' (Alt+Down). This question then gives 5 XP instead of 10." sqref="E3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5"/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type="list" allowBlank="1" showInputMessage="1" showErrorMessage="1" promptTitle="Need a hint?" prompt="Pick 'Show hint' (Alt+Down). This question then gives 5 XP instead of 10." sqref="E37">
      <formula1>"Show hint"</formula1>
    </dataValidation>
    <dataValidation type="list" allowBlank="1" showInputMessage="1" showErrorMessage="1" promptTitle="Need a hint?" prompt="Pick 'Show hint' (Alt+Down). This question then gives 5 XP instead of 10." sqref="E38">
      <formula1>"Show hint"</formula1>
    </dataValidation>
  </dataValidations>
  <hyperlinks>
    <hyperlink ref="B31" location="'F7-2 Arena'!A1" display="▶ Open F7-2 Arena (or press Ctrl+PgDn)"/>
    <hyperlink ref="C36" location="'F7-2 Arena'!K6" tooltip="Go to F7-2 Arena, cell K6" display="▶ ARENA C4 (cell K6)"/>
    <hyperlink ref="C37" location="'F7-2 Arena'!K20" tooltip="Go to F7-2 Arena, cell K20" display="▶ ARENA C5 (cell K20)"/>
    <hyperlink ref="C38" location="'F7-2 Arena'!K30" tooltip="Go to F7-2 Arena, cell K30" display="▶ ARENA C6 (cell K30)"/>
  </hyperlink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FormatPr defaultRowHeight="15"/>
  <cols>
    <col min="1" max="1" width="14.7109375" customWidth="1"/>
    <col min="2" max="2" width="13.7109375" customWidth="1"/>
    <col min="3" max="3" width="11.7109375" customWidth="1"/>
    <col min="4" max="26" width="13.7109375" customWidth="1"/>
  </cols>
  <sheetData>
    <row r="1" spans="1:11">
      <c r="A1" s="1" t="s">
        <v>235</v>
      </c>
    </row>
    <row r="2" spans="1:11">
      <c r="A2" s="3" t="s">
        <v>5</v>
      </c>
    </row>
    <row r="3" spans="1:11">
      <c r="A3" s="25" t="s">
        <v>6</v>
      </c>
      <c r="B3" s="26" t="s">
        <v>236</v>
      </c>
      <c r="D3" s="11" t="s">
        <v>237</v>
      </c>
    </row>
    <row r="5" spans="1:11">
      <c r="B5" s="27" t="s">
        <v>9</v>
      </c>
      <c r="C5" s="27" t="s">
        <v>10</v>
      </c>
      <c r="D5" s="27" t="s">
        <v>11</v>
      </c>
      <c r="E5" s="27" t="s">
        <v>12</v>
      </c>
      <c r="F5" s="27" t="s">
        <v>13</v>
      </c>
      <c r="G5" s="27" t="s">
        <v>14</v>
      </c>
      <c r="H5" s="27" t="s">
        <v>15</v>
      </c>
      <c r="K5" s="27" t="s">
        <v>238</v>
      </c>
    </row>
    <row r="6" spans="1:11">
      <c r="B6" s="5" t="s">
        <v>16</v>
      </c>
      <c r="C6" s="28">
        <v>46027</v>
      </c>
      <c r="D6" s="5" t="s">
        <v>17</v>
      </c>
      <c r="E6" s="5" t="s">
        <v>18</v>
      </c>
      <c r="F6" s="5" t="s">
        <v>19</v>
      </c>
      <c r="G6" s="5">
        <v>40</v>
      </c>
      <c r="H6" s="5">
        <v>1200</v>
      </c>
      <c r="K6" s="29"/>
    </row>
    <row r="7" spans="1:11">
      <c r="B7" s="5" t="s">
        <v>20</v>
      </c>
      <c r="C7" s="28">
        <v>46031</v>
      </c>
      <c r="D7" s="5" t="s">
        <v>21</v>
      </c>
      <c r="E7" s="5" t="s">
        <v>22</v>
      </c>
      <c r="F7" s="5" t="s">
        <v>23</v>
      </c>
      <c r="G7" s="5">
        <v>15</v>
      </c>
      <c r="H7" s="5">
        <v>900</v>
      </c>
    </row>
    <row r="8" spans="1:11">
      <c r="B8" s="5" t="s">
        <v>24</v>
      </c>
      <c r="C8" s="28">
        <v>46036</v>
      </c>
      <c r="D8" s="5" t="s">
        <v>25</v>
      </c>
      <c r="E8" s="5" t="s">
        <v>26</v>
      </c>
      <c r="F8" s="5" t="s">
        <v>19</v>
      </c>
      <c r="G8" s="5">
        <v>55</v>
      </c>
      <c r="H8" s="5">
        <v>1650</v>
      </c>
    </row>
    <row r="9" spans="1:11">
      <c r="B9" s="5" t="s">
        <v>27</v>
      </c>
      <c r="C9" s="28">
        <v>46042</v>
      </c>
      <c r="D9" s="5" t="s">
        <v>17</v>
      </c>
      <c r="E9" s="5" t="s">
        <v>18</v>
      </c>
      <c r="F9" s="5" t="s">
        <v>28</v>
      </c>
      <c r="G9" s="5">
        <v>20</v>
      </c>
      <c r="H9" s="5">
        <v>1000</v>
      </c>
    </row>
    <row r="10" spans="1:11">
      <c r="B10" s="5" t="s">
        <v>29</v>
      </c>
      <c r="C10" s="28">
        <v>46055</v>
      </c>
      <c r="D10" s="5" t="s">
        <v>30</v>
      </c>
      <c r="E10" s="5" t="s">
        <v>31</v>
      </c>
      <c r="F10" s="5" t="s">
        <v>23</v>
      </c>
      <c r="G10" s="5">
        <v>60</v>
      </c>
      <c r="H10" s="5">
        <v>3600</v>
      </c>
    </row>
    <row r="11" spans="1:11">
      <c r="B11" s="5" t="s">
        <v>32</v>
      </c>
      <c r="C11" s="28">
        <v>46060</v>
      </c>
      <c r="D11" s="5" t="s">
        <v>21</v>
      </c>
      <c r="E11" s="5" t="s">
        <v>22</v>
      </c>
      <c r="F11" s="5" t="s">
        <v>19</v>
      </c>
      <c r="G11" s="5">
        <v>35</v>
      </c>
      <c r="H11" s="5">
        <v>1050</v>
      </c>
    </row>
    <row r="12" spans="1:11">
      <c r="B12" s="5" t="s">
        <v>33</v>
      </c>
      <c r="C12" s="28">
        <v>46064</v>
      </c>
      <c r="D12" s="5" t="s">
        <v>17</v>
      </c>
      <c r="E12" s="5" t="s">
        <v>26</v>
      </c>
      <c r="F12" s="5" t="s">
        <v>23</v>
      </c>
      <c r="G12" s="5">
        <v>25</v>
      </c>
      <c r="H12" s="5">
        <v>1500</v>
      </c>
    </row>
    <row r="13" spans="1:11">
      <c r="B13" s="5" t="s">
        <v>34</v>
      </c>
      <c r="C13" s="28">
        <v>46072</v>
      </c>
      <c r="D13" s="5" t="s">
        <v>25</v>
      </c>
      <c r="E13" s="5" t="s">
        <v>31</v>
      </c>
      <c r="F13" s="5" t="s">
        <v>28</v>
      </c>
      <c r="G13" s="5">
        <v>45</v>
      </c>
      <c r="H13" s="5">
        <v>2250</v>
      </c>
    </row>
    <row r="14" spans="1:11">
      <c r="B14" s="5" t="s">
        <v>35</v>
      </c>
      <c r="C14" s="28">
        <v>46084</v>
      </c>
      <c r="D14" s="5" t="s">
        <v>21</v>
      </c>
      <c r="E14" s="5" t="s">
        <v>18</v>
      </c>
      <c r="F14" s="5" t="s">
        <v>28</v>
      </c>
      <c r="G14" s="5">
        <v>10</v>
      </c>
      <c r="H14" s="5">
        <v>500</v>
      </c>
    </row>
    <row r="15" spans="1:11">
      <c r="B15" s="5" t="s">
        <v>36</v>
      </c>
      <c r="C15" s="28">
        <v>46089</v>
      </c>
      <c r="D15" s="5" t="s">
        <v>17</v>
      </c>
      <c r="E15" s="5" t="s">
        <v>22</v>
      </c>
      <c r="F15" s="5" t="s">
        <v>19</v>
      </c>
      <c r="G15" s="5">
        <v>70</v>
      </c>
      <c r="H15" s="5">
        <v>2100</v>
      </c>
    </row>
    <row r="16" spans="1:11">
      <c r="B16" s="5" t="s">
        <v>37</v>
      </c>
      <c r="C16" s="28">
        <v>46096</v>
      </c>
      <c r="D16" s="5" t="s">
        <v>30</v>
      </c>
      <c r="E16" s="5" t="s">
        <v>26</v>
      </c>
      <c r="F16" s="5" t="s">
        <v>19</v>
      </c>
      <c r="G16" s="5">
        <v>30</v>
      </c>
      <c r="H16" s="5">
        <v>900</v>
      </c>
    </row>
    <row r="17" spans="2:11">
      <c r="B17" s="5" t="s">
        <v>38</v>
      </c>
      <c r="C17" s="28">
        <v>46103</v>
      </c>
      <c r="D17" s="5" t="s">
        <v>25</v>
      </c>
      <c r="E17" s="5" t="s">
        <v>18</v>
      </c>
      <c r="F17" s="5" t="s">
        <v>23</v>
      </c>
      <c r="G17" s="5">
        <v>50</v>
      </c>
      <c r="H17" s="5">
        <v>3000</v>
      </c>
    </row>
    <row r="18" spans="2:11">
      <c r="B18" s="5" t="s">
        <v>39</v>
      </c>
      <c r="C18" s="28">
        <v>46113</v>
      </c>
      <c r="D18" s="5" t="s">
        <v>17</v>
      </c>
      <c r="E18" s="5" t="s">
        <v>31</v>
      </c>
      <c r="F18" s="5" t="s">
        <v>28</v>
      </c>
      <c r="G18" s="5">
        <v>65</v>
      </c>
      <c r="H18" s="5">
        <v>3250</v>
      </c>
    </row>
    <row r="19" spans="2:11">
      <c r="B19" s="5" t="s">
        <v>40</v>
      </c>
      <c r="C19" s="28">
        <v>46118</v>
      </c>
      <c r="D19" s="5" t="s">
        <v>21</v>
      </c>
      <c r="E19" s="5" t="s">
        <v>26</v>
      </c>
      <c r="F19" s="5" t="s">
        <v>23</v>
      </c>
      <c r="G19" s="5">
        <v>20</v>
      </c>
      <c r="H19" s="5">
        <v>1200</v>
      </c>
      <c r="K19" s="27" t="s">
        <v>239</v>
      </c>
    </row>
    <row r="20" spans="2:11">
      <c r="B20" s="5" t="s">
        <v>41</v>
      </c>
      <c r="C20" s="28">
        <v>46125</v>
      </c>
      <c r="D20" s="5" t="s">
        <v>30</v>
      </c>
      <c r="E20" s="5" t="s">
        <v>22</v>
      </c>
      <c r="F20" s="5" t="s">
        <v>28</v>
      </c>
      <c r="G20" s="5">
        <v>15</v>
      </c>
      <c r="H20" s="5">
        <v>750</v>
      </c>
      <c r="K20" s="29"/>
    </row>
    <row r="21" spans="2:11">
      <c r="B21" s="5" t="s">
        <v>42</v>
      </c>
      <c r="C21" s="28">
        <v>46133</v>
      </c>
      <c r="D21" s="5" t="s">
        <v>17</v>
      </c>
      <c r="E21" s="5" t="s">
        <v>18</v>
      </c>
      <c r="F21" s="5" t="s">
        <v>19</v>
      </c>
      <c r="G21" s="5">
        <v>50</v>
      </c>
      <c r="H21" s="5">
        <v>1500</v>
      </c>
    </row>
    <row r="22" spans="2:11">
      <c r="B22" s="5" t="s">
        <v>43</v>
      </c>
      <c r="C22" s="28">
        <v>46146</v>
      </c>
      <c r="D22" s="5" t="s">
        <v>25</v>
      </c>
      <c r="E22" s="5" t="s">
        <v>22</v>
      </c>
      <c r="F22" s="5" t="s">
        <v>19</v>
      </c>
      <c r="G22" s="5">
        <v>25</v>
      </c>
      <c r="H22" s="5">
        <v>750</v>
      </c>
    </row>
    <row r="23" spans="2:11">
      <c r="B23" s="5" t="s">
        <v>44</v>
      </c>
      <c r="C23" s="28">
        <v>46154</v>
      </c>
      <c r="D23" s="5" t="s">
        <v>21</v>
      </c>
      <c r="E23" s="5" t="s">
        <v>31</v>
      </c>
      <c r="F23" s="5" t="s">
        <v>23</v>
      </c>
      <c r="G23" s="5">
        <v>40</v>
      </c>
      <c r="H23" s="5">
        <v>2400</v>
      </c>
    </row>
    <row r="24" spans="2:11">
      <c r="B24" s="5" t="s">
        <v>45</v>
      </c>
      <c r="C24" s="28">
        <v>46161</v>
      </c>
      <c r="D24" s="5" t="s">
        <v>30</v>
      </c>
      <c r="E24" s="5" t="s">
        <v>18</v>
      </c>
      <c r="F24" s="5" t="s">
        <v>28</v>
      </c>
      <c r="G24" s="5">
        <v>35</v>
      </c>
      <c r="H24" s="5">
        <v>1750</v>
      </c>
    </row>
    <row r="25" spans="2:11">
      <c r="B25" s="5" t="s">
        <v>46</v>
      </c>
      <c r="C25" s="28">
        <v>46169</v>
      </c>
      <c r="D25" s="5" t="s">
        <v>17</v>
      </c>
      <c r="E25" s="5" t="s">
        <v>26</v>
      </c>
      <c r="F25" s="5" t="s">
        <v>23</v>
      </c>
      <c r="G25" s="5">
        <v>55</v>
      </c>
      <c r="H25" s="5">
        <v>3300</v>
      </c>
    </row>
    <row r="29" spans="2:11">
      <c r="K29" s="27" t="s">
        <v>240</v>
      </c>
    </row>
    <row r="30" spans="2:11">
      <c r="K30" s="29"/>
    </row>
  </sheetData>
  <hyperlinks>
    <hyperlink ref="D3" location="'F7-2 Sifter'!A1" display="◀ Back to F7-2 Sifter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3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448</v>
      </c>
      <c r="B1" s="2"/>
      <c r="C1" s="2"/>
      <c r="D1" s="2"/>
      <c r="E1" s="2"/>
      <c r="F1" s="2"/>
      <c r="G1" s="2"/>
    </row>
    <row r="2" spans="1:7">
      <c r="A2" s="3" t="s">
        <v>449</v>
      </c>
    </row>
    <row r="3" spans="1:7" ht="26" customHeight="1">
      <c r="A3" s="14" cm="1" t="str">
        <f t="array" ref="A3">"SCORE "&amp;TEXT(SUM($G$13:$G$39),"0000")&amp;" / 0200"</f>
        <v>SCORE 0000 / 0200</v>
      </c>
      <c r="C3" s="15" cm="1" t="str">
        <f t="array" ref="C3">IF(SUM($G$13:$G$39)&gt;=200,"★★★",IF(SUM($G$13:$G$39)&gt;=200*0.8,"★★☆",IF(SUM($G$13:$G$39)&gt;=200*0.5,"★☆☆","☆☆☆")))</f>
        <v>☆☆☆</v>
      </c>
      <c r="D3" s="16" cm="1" t="str">
        <f t="array" ref="D3">REPT("█",ROUND(10*SUM($G$13:$G$39)/200,0))&amp;REPT("░",10-ROUND(10*SUM($G$13:$G$39)/200,0))&amp;"  "&amp;TEXT(SUM($G$13:$G$39)/200,"0%")</f>
        <v>░░░░░░░░░░  0%</v>
      </c>
      <c r="F3" s="17" cm="1" t="str">
        <f t="array" ref="F3">IF(SUM($G$13:$G$39)&gt;=200*0.5,"STAGE CLEAR! ▶ Next: F7-4 Combo","")</f>
        <v/>
      </c>
    </row>
    <row r="5" spans="1:7" ht="22" customHeight="1">
      <c r="A5" s="4" t="s">
        <v>52</v>
      </c>
      <c r="B5" s="4"/>
      <c r="C5" s="4"/>
      <c r="D5" s="4"/>
      <c r="E5" s="4"/>
      <c r="F5" s="4"/>
      <c r="G5" s="4"/>
    </row>
    <row r="6" spans="1:7">
      <c r="A6" s="6" t="s">
        <v>53</v>
      </c>
      <c r="B6" s="6" t="s">
        <v>54</v>
      </c>
      <c r="C6" s="6" t="s">
        <v>55</v>
      </c>
      <c r="D6" s="6"/>
      <c r="E6" s="6"/>
      <c r="F6" s="6"/>
      <c r="G6" s="6"/>
    </row>
    <row r="7" spans="1:7" ht="51.25" customHeight="1">
      <c r="A7" s="18" t="s">
        <v>56</v>
      </c>
      <c r="B7" s="8" t="s">
        <v>334</v>
      </c>
      <c r="C7" s="19" t="s">
        <v>290</v>
      </c>
    </row>
    <row r="8" spans="1:7" ht="67" customHeight="1">
      <c r="A8" s="18" t="s">
        <v>59</v>
      </c>
      <c r="B8" s="8" t="s">
        <v>335</v>
      </c>
      <c r="C8" s="19" t="s">
        <v>289</v>
      </c>
    </row>
    <row r="9" spans="1:7" ht="51.25" customHeight="1">
      <c r="A9" s="18" t="s">
        <v>62</v>
      </c>
      <c r="B9" s="8" t="s">
        <v>336</v>
      </c>
      <c r="C9" s="19" t="s">
        <v>191</v>
      </c>
    </row>
    <row r="11" spans="1:7" ht="22" customHeight="1">
      <c r="A11" s="4" t="s">
        <v>68</v>
      </c>
      <c r="B11" s="4"/>
      <c r="C11" s="4"/>
      <c r="D11" s="4"/>
      <c r="E11" s="4"/>
      <c r="F11" s="4"/>
      <c r="G11" s="4"/>
    </row>
    <row r="12" spans="1:7">
      <c r="A12" s="6" t="s">
        <v>53</v>
      </c>
      <c r="B12" s="6" t="s">
        <v>69</v>
      </c>
      <c r="C12" s="6" t="s">
        <v>70</v>
      </c>
      <c r="D12" s="6" t="s">
        <v>71</v>
      </c>
      <c r="E12" s="6" t="s">
        <v>72</v>
      </c>
      <c r="F12" s="6" t="s">
        <v>1</v>
      </c>
      <c r="G12" s="6" t="s">
        <v>73</v>
      </c>
    </row>
    <row r="13" spans="1:7" ht="35.5" customHeight="1">
      <c r="A13" s="18" t="s">
        <v>82</v>
      </c>
      <c r="B13" s="8" t="s">
        <v>338</v>
      </c>
      <c r="C13" s="20"/>
      <c r="D13" s="21" cm="1" t="str">
        <f t="array" ref="D13">IFERROR(_xlfn.LET(_xlpm.a,'F7-3 Sorter'!$C$13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$42:$J$42),"✔ CLEAR","✘ TRY AGAIN"))),"✘ TRY AGAIN")</f>
        <v/>
      </c>
      <c r="E13" s="22"/>
      <c r="F13" s="23" cm="1" t="str">
        <f t="array" ref="F13">IF(E13="Show hint",Key!$B$42,"")</f>
        <v/>
      </c>
      <c r="G13" s="24" cm="1">
        <f t="array" ref="G13">IF(LEFT(D13,1)="✔",IF(E13="Show hint",5,10),0)</f>
        <v>0</v>
      </c>
    </row>
    <row r="14" spans="1:7" ht="35.5" customHeight="1">
      <c r="A14" s="18" t="s">
        <v>92</v>
      </c>
      <c r="B14" s="8" t="s">
        <v>340</v>
      </c>
      <c r="C14" s="20"/>
      <c r="D14" s="21" cm="1" t="str">
        <f t="array" ref="D14">IFERROR(_xlfn.LET(_xlpm.a,'F7-3 Sorter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$43:$F$43),"✔ CLEAR","✘ TRY AGAIN"))),"✘ TRY AGAIN")</f>
        <v/>
      </c>
      <c r="E14" s="22"/>
      <c r="F14" s="23" cm="1" t="str">
        <f t="array" ref="F14">IF(E14="Show hint",Key!$B$43,"")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102</v>
      </c>
      <c r="B15" s="8" t="s">
        <v>342</v>
      </c>
      <c r="C15" s="20"/>
      <c r="D15" s="21" cm="1" t="str">
        <f t="array" ref="D15">IFERROR(_xlfn.LET(_xlpm.a,'F7-3 Sorter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$44:$H$44),"✔ CLEAR","✘ TRY AGAIN"))),"✘ TRY AGAIN")</f>
        <v/>
      </c>
      <c r="E15" s="22"/>
      <c r="F15" s="23" cm="1" t="str">
        <f t="array" ref="F15">IF(E15="Show hint",Key!$B$44,"")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111</v>
      </c>
      <c r="B16" s="8" t="s">
        <v>351</v>
      </c>
      <c r="C16" s="20"/>
      <c r="D16" s="21" cm="1" t="str">
        <f t="array" ref="D16">IFERROR(_xlfn.LET(_xlpm.a,'F7-3 Sorter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$45:$J$45),"✔ CLEAR","✘ TRY AGAIN"))),"✘ TRY AGAIN")</f>
        <v/>
      </c>
      <c r="E16" s="22"/>
      <c r="F16" s="23" cm="1" t="str">
        <f t="array" ref="F16">IF(E16="Show hint",Key!$B$45,"")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120</v>
      </c>
      <c r="B17" s="8" t="s">
        <v>360</v>
      </c>
      <c r="C17" s="20"/>
      <c r="D17" s="21" cm="1" t="str">
        <f t="array" ref="D17">IFERROR(_xlfn.LET(_xlpm.a,'F7-3 Sorter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$46:$J$46),"✔ CLEAR","✘ TRY AGAIN"))),"✘ TRY AGAIN")</f>
        <v/>
      </c>
      <c r="E17" s="22"/>
      <c r="F17" s="23" cm="1" t="str">
        <f t="array" ref="F17">IF(E17="Show hint",Key!$B$46,"")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129</v>
      </c>
      <c r="B18" s="8" t="s">
        <v>369</v>
      </c>
      <c r="C18" s="20"/>
      <c r="D18" s="21" cm="1" t="str">
        <f t="array" ref="D18">IFERROR(_xlfn.LET(_xlpm.a,'F7-3 Sorter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$47:$J$47),"✔ CLEAR","✘ TRY AGAIN"))),"✘ TRY AGAIN")</f>
        <v/>
      </c>
      <c r="E18" s="22"/>
      <c r="F18" s="23" cm="1" t="str">
        <f t="array" ref="F18">IF(E18="Show hint",Key!$B$47,"")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139</v>
      </c>
      <c r="B19" s="8" t="s">
        <v>378</v>
      </c>
      <c r="C19" s="20"/>
      <c r="D19" s="21" cm="1" t="str">
        <f t="array" ref="D19">IFERROR(_xlfn.LET(_xlpm.a,'F7-3 Sorter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$48:$J$48),"✔ CLEAR","✘ TRY AGAIN"))),"✘ TRY AGAIN")</f>
        <v/>
      </c>
      <c r="E19" s="22"/>
      <c r="F19" s="23" cm="1" t="str">
        <f t="array" ref="F19">IF(E19="Show hint",Key!$B$48,"")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149</v>
      </c>
      <c r="B20" s="8" t="s">
        <v>387</v>
      </c>
      <c r="C20" s="20"/>
      <c r="D20" s="21" cm="1" t="str">
        <f t="array" ref="D20">IFERROR(_xlfn.LET(_xlpm.a,'F7-3 Sorter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$49:$J$49),"✔ CLEAR","✘ TRY AGAIN"))),"✘ TRY AGAIN")</f>
        <v/>
      </c>
      <c r="E20" s="22"/>
      <c r="F20" s="23" cm="1" t="str">
        <f t="array" ref="F20">IF(E20="Show hint",Key!$B$49,"")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159</v>
      </c>
      <c r="B21" s="8" t="s">
        <v>396</v>
      </c>
      <c r="C21" s="20"/>
      <c r="D21" s="21" cm="1" t="str">
        <f t="array" ref="D21">IFERROR(_xlfn.LET(_xlpm.a,'F7-3 Sorter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$50:$J$50),"✔ CLEAR","✘ TRY AGAIN"))),"✘ TRY AGAIN")</f>
        <v/>
      </c>
      <c r="E21" s="22"/>
      <c r="F21" s="23" cm="1" t="str">
        <f t="array" ref="F21">IF(E21="Show hint",Key!$B$50,"")</f>
        <v/>
      </c>
      <c r="G21" s="24" cm="1">
        <f t="array" ref="G21">IF(LEFT(D21,1)="✔",IF(E21="Show hint",5,10),0)</f>
        <v>0</v>
      </c>
    </row>
    <row r="22" spans="1:7" ht="35.5" customHeight="1">
      <c r="A22" s="18" t="s">
        <v>169</v>
      </c>
      <c r="B22" s="8" t="s">
        <v>405</v>
      </c>
      <c r="C22" s="20"/>
      <c r="D22" s="21" cm="1" t="str">
        <f t="array" ref="D22">IFERROR(_xlfn.LET(_xlpm.a,'F7-3 Sorter'!$C$22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$51:$J$51),"✔ CLEAR","✘ TRY AGAIN"))),"✘ TRY AGAIN")</f>
        <v/>
      </c>
      <c r="E22" s="22"/>
      <c r="F22" s="23" cm="1" t="str">
        <f t="array" ref="F22">IF(E22="Show hint",Key!$B$51,"")</f>
        <v/>
      </c>
      <c r="G22" s="24" cm="1">
        <f t="array" ref="G22">IF(LEFT(D22,1)="✔",IF(E22="Show hint",5,10),0)</f>
        <v>0</v>
      </c>
    </row>
    <row r="24" spans="1:7" ht="22" customHeight="1">
      <c r="A24" s="4" t="s">
        <v>171</v>
      </c>
      <c r="B24" s="4"/>
      <c r="C24" s="4"/>
      <c r="D24" s="4"/>
      <c r="E24" s="4"/>
      <c r="F24" s="4"/>
      <c r="G24" s="4"/>
    </row>
    <row r="25" spans="1:7">
      <c r="A25" s="6" t="s">
        <v>53</v>
      </c>
      <c r="B25" s="6" t="s">
        <v>69</v>
      </c>
      <c r="C25" s="6" t="s">
        <v>70</v>
      </c>
      <c r="D25" s="6" t="s">
        <v>71</v>
      </c>
      <c r="E25" s="6" t="s">
        <v>72</v>
      </c>
      <c r="F25" s="6" t="s">
        <v>1</v>
      </c>
      <c r="G25" s="6" t="s">
        <v>73</v>
      </c>
    </row>
    <row r="26" spans="1:7" ht="19.75" customHeight="1">
      <c r="A26" s="18" t="s">
        <v>176</v>
      </c>
      <c r="B26" s="8" t="s">
        <v>407</v>
      </c>
      <c r="C26" s="20"/>
      <c r="D26" s="21" cm="1" t="str">
        <f t="array" ref="D26">IFERROR(IF('F7-3 Sorter'!$C$26&amp;""="","",IF('F7-3 Sorter'!$C$26&amp;""=Key!$C$52&amp;"","✔ CLEAR","✘ TRY AGAIN")),"✘ TRY AGAIN")</f>
        <v/>
      </c>
      <c r="E26" s="22"/>
      <c r="F26" s="23" cm="1" t="str">
        <f t="array" ref="F26">IF(E26="Show hint",Key!$B$52,"")</f>
        <v/>
      </c>
      <c r="G26" s="24" cm="1">
        <f t="array" ref="G26">IF(LEFT(D26,1)="✔",IF(E26="Show hint",5,10),0)</f>
        <v>0</v>
      </c>
    </row>
    <row r="27" spans="1:7" ht="19.75" customHeight="1">
      <c r="A27" s="18" t="s">
        <v>181</v>
      </c>
      <c r="B27" s="8" t="s">
        <v>410</v>
      </c>
      <c r="C27" s="20"/>
      <c r="D27" s="21" cm="1" t="str">
        <f t="array" ref="D27">IFERROR(IF('F7-3 Sorter'!$C$27&amp;""="","",IF('F7-3 Sorter'!$C$27&amp;""=Key!$C$53&amp;"","✔ CLEAR","✘ TRY AGAIN")),"✘ TRY AGAIN")</f>
        <v/>
      </c>
      <c r="E27" s="22"/>
      <c r="F27" s="23" cm="1" t="str">
        <f t="array" ref="F27">IF(E27="Show hint",Key!$B$53,"")</f>
        <v/>
      </c>
      <c r="G27" s="24" cm="1">
        <f t="array" ref="G27">IF(LEFT(D27,1)="✔",IF(E27="Show hint",5,10),0)</f>
        <v>0</v>
      </c>
    </row>
    <row r="28" spans="1:7" ht="35.5" customHeight="1">
      <c r="A28" s="18" t="s">
        <v>185</v>
      </c>
      <c r="B28" s="8" t="s">
        <v>413</v>
      </c>
      <c r="C28" s="20"/>
      <c r="D28" s="21" cm="1" t="str">
        <f t="array" ref="D28">IFERROR(IF('F7-3 Sorter'!$C$28&amp;""="","",IF('F7-3 Sorter'!$C$28&amp;""=Key!$C$54&amp;"","✔ CLEAR","✘ TRY AGAIN")),"✘ TRY AGAIN")</f>
        <v/>
      </c>
      <c r="E28" s="22"/>
      <c r="F28" s="23" cm="1" t="str">
        <f t="array" ref="F28">IF(E28="Show hint",Key!$B$54,"")</f>
        <v/>
      </c>
      <c r="G28" s="24" cm="1">
        <f t="array" ref="G28">IF(LEFT(D28,1)="✔",IF(E28="Show hint",5,10),0)</f>
        <v>0</v>
      </c>
    </row>
    <row r="30" spans="1:7" ht="22" customHeight="1">
      <c r="A30" s="4" t="s">
        <v>194</v>
      </c>
      <c r="B30" s="4"/>
      <c r="C30" s="4"/>
      <c r="D30" s="4"/>
      <c r="E30" s="4"/>
      <c r="F30" s="4"/>
      <c r="G30" s="4"/>
    </row>
    <row r="31" spans="1:7">
      <c r="B31" s="11" t="s">
        <v>414</v>
      </c>
    </row>
    <row r="32" spans="1:7">
      <c r="A32" s="6" t="s">
        <v>53</v>
      </c>
      <c r="B32" s="6" t="s">
        <v>69</v>
      </c>
      <c r="C32" s="6" t="s">
        <v>70</v>
      </c>
      <c r="D32" s="6" t="s">
        <v>71</v>
      </c>
      <c r="E32" s="6" t="s">
        <v>72</v>
      </c>
      <c r="F32" s="6" t="s">
        <v>1</v>
      </c>
      <c r="G32" s="6" t="s">
        <v>73</v>
      </c>
    </row>
    <row r="33" spans="1:7" ht="19.75" customHeight="1">
      <c r="A33" s="18" t="s">
        <v>200</v>
      </c>
      <c r="B33" s="8" t="s">
        <v>407</v>
      </c>
      <c r="C33" s="20"/>
      <c r="D33" s="21" cm="1" t="str">
        <f t="array" ref="D33">IFERROR(_xlfn.LET(_xlpm.a,'F7-3 Sorter'!$C$33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$55:$J$55),"✔ CLEAR","✘ TRY AGAIN"))),"✘ TRY AGAIN")</f>
        <v/>
      </c>
      <c r="E33" s="22"/>
      <c r="F33" s="23" cm="1" t="str">
        <f t="array" ref="F33">IF(E33="Show hint",Key!$B$55,"")</f>
        <v/>
      </c>
      <c r="G33" s="24" cm="1">
        <f t="array" ref="G33">IF(LEFT(D33,1)="✔",IF(E33="Show hint",5,10),0)</f>
        <v>0</v>
      </c>
    </row>
    <row r="34" spans="1:7" ht="19.75" customHeight="1">
      <c r="A34" s="18" t="s">
        <v>208</v>
      </c>
      <c r="B34" s="8" t="s">
        <v>410</v>
      </c>
      <c r="C34" s="20"/>
      <c r="D34" s="21" cm="1" t="str">
        <f t="array" ref="D34">IFERROR(_xlfn.LET(_xlpm.a,'F7-3 Sorter'!$C$34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$56:$J$56),"✔ CLEAR","✘ TRY AGAIN"))),"✘ TRY AGAIN")</f>
        <v/>
      </c>
      <c r="E34" s="22"/>
      <c r="F34" s="23" cm="1" t="str">
        <f t="array" ref="F34">IF(E34="Show hint",Key!$B$56,"")</f>
        <v/>
      </c>
      <c r="G34" s="24" cm="1">
        <f t="array" ref="G34">IF(LEFT(D34,1)="✔",IF(E34="Show hint",5,10),0)</f>
        <v>0</v>
      </c>
    </row>
    <row r="35" spans="1:7" ht="35.5" customHeight="1">
      <c r="A35" s="18" t="s">
        <v>210</v>
      </c>
      <c r="B35" s="8" t="s">
        <v>413</v>
      </c>
      <c r="C35" s="20"/>
      <c r="D35" s="21" cm="1" t="str">
        <f t="array" ref="D35">IFERROR(_xlfn.LET(_xlpm.a,'F7-3 Sorter'!$C$35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$57:$J$57),"✔ CLEAR","✘ TRY AGAIN"))),"✘ TRY AGAIN")</f>
        <v/>
      </c>
      <c r="E35" s="22"/>
      <c r="F35" s="23" cm="1" t="str">
        <f t="array" ref="F35">IF(E35="Show hint",Key!$B$57,"")</f>
        <v/>
      </c>
      <c r="G35" s="24" cm="1">
        <f t="array" ref="G35">IF(LEFT(D35,1)="✔",IF(E35="Show hint",5,10),0)</f>
        <v>0</v>
      </c>
    </row>
    <row r="36" spans="1:7" ht="35.5" customHeight="1">
      <c r="A36" s="18" t="s">
        <v>217</v>
      </c>
      <c r="B36" s="8" t="s">
        <v>435</v>
      </c>
      <c r="C36" s="11" t="s">
        <v>316</v>
      </c>
      <c r="D36" s="21" cm="1" t="str">
        <f t="array" ref="D36">IF(ISBLANK('F7-3 Arena'!$K$6),"",IF(NOT(_xlfn.ISFORMULA('F7-3 Arena'!$K$6)),"✘ That's a typed value · enter a formula",IF(ISERROR('F7-3 Arena'!$K$6),"✘ Your formula returns "&amp;IFERROR(CHOOSE(ERROR.TYPE('F7-3 Arena'!$K$6),"#NULL!","#DIV/0!","#VALUE!","#REF!","#NAME?","#NUM!","#N/A","#GETTING_DATA","#SPILL!","#CONNECT!","#BLOCKED!","#UNKNOWN!","#FIELD!","#CALC!"),"an error"),IF(IFERROR(AND(ROWS(_xlfn.ANCHORARRAY('F7-3 Arena'!$K$6))=ROWS(_xlfn.ANCHORARRAY(Key!$E$2301)),COLUMNS(_xlfn.ANCHORARRAY('F7-3 Arena'!$K$6))=COLUMNS(_xlfn.ANCHORARRAY(Key!$E$2301)),SUM(--(_xlfn.ANCHORARRAY('F7-3 Arena'!$K$6)=_xlfn.ANCHORARRAY(Key!$E$2301)))=ROWS(_xlfn.ANCHORARRAY(Key!$E$2301))*COLUMNS(_xlfn.ANCHORARRAY(Key!$E$2301))),FALSE),IF(AND(OR(ISNUMBER(FIND({"=","(",",","+","-","*","/","&amp;"," ","&lt;","&gt;",":","@","^"}&amp;"SORT"&amp;"(",UPPER(_xlfn.FORMULATEXT('F7-3 Arena'!$K$6)))))),"✔ CLEAR","✘ CLOSE · right result, but use SORT"),"✘ TRY AGAIN"))))</f>
        <v/>
      </c>
      <c r="E36" s="22"/>
      <c r="F36" s="23" cm="1" t="str">
        <f t="array" ref="F36">IF(E36="Show hint",Key!$B$58,"")</f>
        <v/>
      </c>
      <c r="G36" s="24" cm="1">
        <f t="array" ref="G36">IF(LEFT(D36,1)="✔",IF(E36="Show hint",5,10),0)</f>
        <v>0</v>
      </c>
    </row>
    <row r="37" spans="1:7" ht="35.5" customHeight="1">
      <c r="A37" s="18" t="s">
        <v>220</v>
      </c>
      <c r="B37" s="8" t="s">
        <v>438</v>
      </c>
      <c r="C37" s="11" t="s">
        <v>439</v>
      </c>
      <c r="D37" s="21" cm="1" t="str">
        <f t="array" ref="D37">IF(ISBLANK('F7-3 Arena'!$M$6),"",IF(NOT(_xlfn.ISFORMULA('F7-3 Arena'!$M$6)),"✘ That's a typed value · enter a formula",IF(ISERROR('F7-3 Arena'!$M$6),"✘ Your formula returns "&amp;IFERROR(CHOOSE(ERROR.TYPE('F7-3 Arena'!$M$6),"#NULL!","#DIV/0!","#VALUE!","#REF!","#NAME?","#NUM!","#N/A","#GETTING_DATA","#SPILL!","#CONNECT!","#BLOCKED!","#UNKNOWN!","#FIELD!","#CALC!"),"an error"),IF(IFERROR(AND(ROWS(_xlfn.ANCHORARRAY('F7-3 Arena'!$M$6))=ROWS(_xlfn.ANCHORARRAY(Key!$E$2401)),COLUMNS(_xlfn.ANCHORARRAY('F7-3 Arena'!$M$6))=COLUMNS(_xlfn.ANCHORARRAY(Key!$E$2401)),SUM(--(_xlfn.ANCHORARRAY('F7-3 Arena'!$M$6)=_xlfn.ANCHORARRAY(Key!$E$2401)))=ROWS(_xlfn.ANCHORARRAY(Key!$E$2401))*COLUMNS(_xlfn.ANCHORARRAY(Key!$E$2401))),FALSE),IF(AND(OR(ISNUMBER(FIND({"=","(",",","+","-","*","/","&amp;"," ","&lt;","&gt;",":","@","^"}&amp;"SORTBY"&amp;"(",UPPER(_xlfn.FORMULATEXT('F7-3 Arena'!$M$6)))))),"✔ CLEAR","✘ CLOSE · right result, but use SORTBY"),"✘ TRY AGAIN"))))</f>
        <v/>
      </c>
      <c r="E37" s="22"/>
      <c r="F37" s="23" cm="1" t="str">
        <f t="array" ref="F37">IF(E37="Show hint",Key!$B$59,"")</f>
        <v/>
      </c>
      <c r="G37" s="24" cm="1">
        <f t="array" ref="G37">IF(LEFT(D37,1)="✔",IF(E37="Show hint",5,10),0)</f>
        <v>0</v>
      </c>
    </row>
    <row r="38" spans="1:7" ht="19.75" customHeight="1">
      <c r="A38" s="18" t="s">
        <v>225</v>
      </c>
      <c r="B38" s="8" t="s">
        <v>442</v>
      </c>
      <c r="C38" s="11" t="s">
        <v>443</v>
      </c>
      <c r="D38" s="21" cm="1" t="str">
        <f t="array" ref="D38">IF(ISBLANK('F7-3 Arena'!$O$6),"",IF(NOT(_xlfn.ISFORMULA('F7-3 Arena'!$O$6)),"✘ That's a typed value · enter a formula",IF(ISERROR('F7-3 Arena'!$O$6),"✘ Your formula returns "&amp;IFERROR(CHOOSE(ERROR.TYPE('F7-3 Arena'!$O$6),"#NULL!","#DIV/0!","#VALUE!","#REF!","#NAME?","#NUM!","#N/A","#GETTING_DATA","#SPILL!","#CONNECT!","#BLOCKED!","#UNKNOWN!","#FIELD!","#CALC!"),"an error"),IF(IFERROR(AND(ROWS(_xlfn.ANCHORARRAY('F7-3 Arena'!$O$6))=ROWS(_xlfn.ANCHORARRAY(Key!$E$2501)),COLUMNS(_xlfn.ANCHORARRAY('F7-3 Arena'!$O$6))=COLUMNS(_xlfn.ANCHORARRAY(Key!$E$2501)),SUM(--(_xlfn.ANCHORARRAY('F7-3 Arena'!$O$6)=_xlfn.ANCHORARRAY(Key!$E$2501)))=ROWS(_xlfn.ANCHORARRAY(Key!$E$2501))*COLUMNS(_xlfn.ANCHORARRAY(Key!$E$2501))),FALSE),IF(AND(OR(ISNUMBER(FIND({"=","(",",","+","-","*","/","&amp;"," ","&lt;","&gt;",":","@","^"}&amp;"UNIQUE"&amp;"(",UPPER(_xlfn.FORMULATEXT('F7-3 Arena'!$O$6)))))),"✔ CLEAR","✘ CLOSE · right result, but use UNIQUE"),"✘ TRY AGAIN"))))</f>
        <v/>
      </c>
      <c r="E38" s="22"/>
      <c r="F38" s="23" cm="1" t="str">
        <f t="array" ref="F38">IF(E38="Show hint",Key!$B$60,"")</f>
        <v/>
      </c>
      <c r="G38" s="24" cm="1">
        <f t="array" ref="G38">IF(LEFT(D38,1)="✔",IF(E38="Show hint",5,10),0)</f>
        <v>0</v>
      </c>
    </row>
    <row r="39" spans="1:7" ht="35.5" customHeight="1">
      <c r="A39" s="18" t="s">
        <v>230</v>
      </c>
      <c r="B39" s="8" t="s">
        <v>446</v>
      </c>
      <c r="C39" s="11" t="s">
        <v>447</v>
      </c>
      <c r="D39" s="21" cm="1" t="str">
        <f t="array" ref="D39">IF(ISBLANK('F7-3 Arena'!$Q$6),"",IF(NOT(_xlfn.ISFORMULA('F7-3 Arena'!$Q$6)),"✘ That's a typed value · enter a formula",IF(ISERROR('F7-3 Arena'!$Q$6),"✘ Your formula returns "&amp;IFERROR(CHOOSE(ERROR.TYPE('F7-3 Arena'!$Q$6),"#NULL!","#DIV/0!","#VALUE!","#REF!","#NAME?","#NUM!","#N/A","#GETTING_DATA","#SPILL!","#CONNECT!","#BLOCKED!","#UNKNOWN!","#FIELD!","#CALC!"),"an error"),IF(NOT(AND(IFERROR(AND(ISNUMBER('F7-3 Arena'!$Q$6),ABS('F7-3 Arena'!$Q$6-Key!$C$61)&lt;=1E-9*MAX(1,ABS(Key!$C$61))),FALSE))),"✘ TRY AGAIN",IF(AND(OR(ISNUMBER(FIND({"=","(",",","+","-","*","/","&amp;"," ","&lt;","&gt;",":","@","^"}&amp;"COUNTA"&amp;"(",UPPER(_xlfn.FORMULATEXT('F7-3 Arena'!$Q$6))))),OR(ISNUMBER(FIND({"=","(",",","+","-","*","/","&amp;"," ","&lt;","&gt;",":","@","^"}&amp;"UNIQUE"&amp;"(",UPPER(_xlfn.FORMULATEXT('F7-3 Arena'!$Q$6)))))),"✔ CLEAR","✘ CLOSE · right value, but use COUNTA and UNIQUE")))))</f>
        <v/>
      </c>
      <c r="E39" s="22"/>
      <c r="F39" s="23" cm="1" t="str">
        <f t="array" ref="F39">IF(E39="Show hint",Key!$B$61,"")</f>
        <v/>
      </c>
      <c r="G39" s="24" cm="1">
        <f t="array" ref="G39">IF(LEFT(D39,1)="✔",IF(E39="Show hint",5,10),0)</f>
        <v>0</v>
      </c>
    </row>
  </sheetData>
  <sheetProtection sheet="1" objects="1" scenarios="1" formatColumns="0" formatRows="0"/>
  <conditionalFormatting sqref="D13:D39">
    <cfRule type="expression" dxfId="0" priority="1">
      <formula>LEFT($D13,1)="✔"</formula>
    </cfRule>
    <cfRule type="expression" dxfId="1" priority="2">
      <formula>LEFT($D13,1)="✘"</formula>
    </cfRule>
    <cfRule type="expression" dxfId="2" priority="3">
      <formula>$D13="LOCKED"</formula>
    </cfRule>
  </conditionalFormatting>
  <dataValidations count="36">
    <dataValidation allowBlank="1" showInputMessage="1" showErrorMessage="1" promptTitle="Type your answer" prompt="Type keys joined with +, like Ctrl+Shift+L. For a function, type its name, like SUMIFS. Case and spaces don't matter." sqref="C13"/>
    <dataValidation type="list" allowBlank="1" showInputMessage="1" showErrorMessage="1" promptTitle="Need a hint?" prompt="Pick 'Show hint' (Alt+Down). This question then gives 5 XP instead of 10." sqref="E1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2"/>
    <dataValidation type="list" allowBlank="1" showInputMessage="1" showErrorMessage="1" promptTitle="Need a hint?" prompt="Pick 'Show hint' (Alt+Down). This question then gives 5 XP instead of 10." sqref="E22">
      <formula1>"Show hint"</formula1>
    </dataValidation>
    <dataValidation type="list" allowBlank="1" showInputMessage="1" showErrorMessage="1" promptTitle="Pick an answer" prompt="Press Alt+Down to open the list, choose with the arrow keys, then press Enter." sqref="C26">
      <formula1>Key!$E$52:$H$52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type="list" allowBlank="1" showInputMessage="1" showErrorMessage="1" promptTitle="Pick an answer" prompt="Press Alt+Down to open the list, choose with the arrow keys, then press Enter." sqref="C27">
      <formula1>Key!$E$53:$H$53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Pick an answer" prompt="Press Alt+Down to open the list, choose with the arrow keys, then press Enter." sqref="C28">
      <formula1>Key!$E$54:$H$54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3"/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4"/>
    <dataValidation type="list" allowBlank="1" showInputMessage="1" showErrorMessage="1" promptTitle="Need a hint?" prompt="Pick 'Show hint' (Alt+Down). This question then gives 5 XP instead of 10." sqref="E3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5"/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type="list" allowBlank="1" showInputMessage="1" showErrorMessage="1" promptTitle="Need a hint?" prompt="Pick 'Show hint' (Alt+Down). This question then gives 5 XP instead of 10." sqref="E36">
      <formula1>"Show hint"</formula1>
    </dataValidation>
    <dataValidation type="list" allowBlank="1" showInputMessage="1" showErrorMessage="1" promptTitle="Need a hint?" prompt="Pick 'Show hint' (Alt+Down). This question then gives 5 XP instead of 10." sqref="E37">
      <formula1>"Show hint"</formula1>
    </dataValidation>
    <dataValidation type="list" allowBlank="1" showInputMessage="1" showErrorMessage="1" promptTitle="Need a hint?" prompt="Pick 'Show hint' (Alt+Down). This question then gives 5 XP instead of 10." sqref="E38">
      <formula1>"Show hint"</formula1>
    </dataValidation>
    <dataValidation type="list" allowBlank="1" showInputMessage="1" showErrorMessage="1" promptTitle="Need a hint?" prompt="Pick 'Show hint' (Alt+Down). This question then gives 5 XP instead of 10." sqref="E39">
      <formula1>"Show hint"</formula1>
    </dataValidation>
  </dataValidations>
  <hyperlinks>
    <hyperlink ref="B31" location="'F7-3 Arena'!A1" display="▶ Open F7-3 Arena (or press Ctrl+PgDn)"/>
    <hyperlink ref="C36" location="'F7-3 Arena'!K6" tooltip="Go to F7-3 Arena, cell K6" display="▶ ARENA C4 (cell K6)"/>
    <hyperlink ref="C37" location="'F7-3 Arena'!M6" tooltip="Go to F7-3 Arena, cell M6" display="▶ ARENA C5 (cell M6)"/>
    <hyperlink ref="C38" location="'F7-3 Arena'!O6" tooltip="Go to F7-3 Arena, cell O6" display="▶ ARENA C6 (cell O6)"/>
    <hyperlink ref="C39" location="'F7-3 Arena'!Q6" tooltip="Go to F7-3 Arena, cell Q6" display="▶ ARENA C7 (cell Q6)"/>
  </hyperlinks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sheetFormatPr defaultRowHeight="15"/>
  <cols>
    <col min="1" max="1" width="14.7109375" customWidth="1"/>
    <col min="2" max="2" width="13.7109375" customWidth="1"/>
    <col min="3" max="3" width="11.7109375" customWidth="1"/>
    <col min="4" max="26" width="13.7109375" customWidth="1"/>
  </cols>
  <sheetData>
    <row r="1" spans="1:17">
      <c r="A1" s="1" t="s">
        <v>327</v>
      </c>
    </row>
    <row r="2" spans="1:17">
      <c r="A2" s="3" t="s">
        <v>5</v>
      </c>
    </row>
    <row r="3" spans="1:17">
      <c r="A3" s="25" t="s">
        <v>6</v>
      </c>
      <c r="B3" s="26" t="s">
        <v>328</v>
      </c>
      <c r="D3" s="11" t="s">
        <v>329</v>
      </c>
    </row>
    <row r="5" spans="1:17">
      <c r="B5" s="27" t="s">
        <v>9</v>
      </c>
      <c r="C5" s="27" t="s">
        <v>10</v>
      </c>
      <c r="D5" s="27" t="s">
        <v>11</v>
      </c>
      <c r="E5" s="27" t="s">
        <v>12</v>
      </c>
      <c r="F5" s="27" t="s">
        <v>13</v>
      </c>
      <c r="G5" s="27" t="s">
        <v>14</v>
      </c>
      <c r="H5" s="27" t="s">
        <v>15</v>
      </c>
      <c r="K5" s="27" t="s">
        <v>330</v>
      </c>
      <c r="M5" s="27" t="s">
        <v>331</v>
      </c>
      <c r="O5" s="27" t="s">
        <v>332</v>
      </c>
      <c r="Q5" s="27" t="s">
        <v>333</v>
      </c>
    </row>
    <row r="6" spans="1:17">
      <c r="B6" s="5" t="s">
        <v>16</v>
      </c>
      <c r="C6" s="28">
        <v>46027</v>
      </c>
      <c r="D6" s="5" t="s">
        <v>17</v>
      </c>
      <c r="E6" s="5" t="s">
        <v>18</v>
      </c>
      <c r="F6" s="5" t="s">
        <v>19</v>
      </c>
      <c r="G6" s="5">
        <v>40</v>
      </c>
      <c r="H6" s="5">
        <v>1200</v>
      </c>
      <c r="K6" s="29"/>
      <c r="M6" s="29"/>
      <c r="O6" s="29"/>
      <c r="Q6" s="29"/>
    </row>
    <row r="7" spans="1:17">
      <c r="B7" s="5" t="s">
        <v>20</v>
      </c>
      <c r="C7" s="28">
        <v>46031</v>
      </c>
      <c r="D7" s="5" t="s">
        <v>21</v>
      </c>
      <c r="E7" s="5" t="s">
        <v>22</v>
      </c>
      <c r="F7" s="5" t="s">
        <v>23</v>
      </c>
      <c r="G7" s="5">
        <v>15</v>
      </c>
      <c r="H7" s="5">
        <v>900</v>
      </c>
    </row>
    <row r="8" spans="1:17">
      <c r="B8" s="5" t="s">
        <v>24</v>
      </c>
      <c r="C8" s="28">
        <v>46036</v>
      </c>
      <c r="D8" s="5" t="s">
        <v>25</v>
      </c>
      <c r="E8" s="5" t="s">
        <v>26</v>
      </c>
      <c r="F8" s="5" t="s">
        <v>19</v>
      </c>
      <c r="G8" s="5">
        <v>55</v>
      </c>
      <c r="H8" s="5">
        <v>1650</v>
      </c>
    </row>
    <row r="9" spans="1:17">
      <c r="B9" s="5" t="s">
        <v>27</v>
      </c>
      <c r="C9" s="28">
        <v>46042</v>
      </c>
      <c r="D9" s="5" t="s">
        <v>17</v>
      </c>
      <c r="E9" s="5" t="s">
        <v>18</v>
      </c>
      <c r="F9" s="5" t="s">
        <v>28</v>
      </c>
      <c r="G9" s="5">
        <v>20</v>
      </c>
      <c r="H9" s="5">
        <v>1000</v>
      </c>
    </row>
    <row r="10" spans="1:17">
      <c r="B10" s="5" t="s">
        <v>29</v>
      </c>
      <c r="C10" s="28">
        <v>46055</v>
      </c>
      <c r="D10" s="5" t="s">
        <v>30</v>
      </c>
      <c r="E10" s="5" t="s">
        <v>31</v>
      </c>
      <c r="F10" s="5" t="s">
        <v>23</v>
      </c>
      <c r="G10" s="5">
        <v>60</v>
      </c>
      <c r="H10" s="5">
        <v>3600</v>
      </c>
    </row>
    <row r="11" spans="1:17">
      <c r="B11" s="5" t="s">
        <v>32</v>
      </c>
      <c r="C11" s="28">
        <v>46060</v>
      </c>
      <c r="D11" s="5" t="s">
        <v>21</v>
      </c>
      <c r="E11" s="5" t="s">
        <v>22</v>
      </c>
      <c r="F11" s="5" t="s">
        <v>19</v>
      </c>
      <c r="G11" s="5">
        <v>35</v>
      </c>
      <c r="H11" s="5">
        <v>1050</v>
      </c>
    </row>
    <row r="12" spans="1:17">
      <c r="B12" s="5" t="s">
        <v>33</v>
      </c>
      <c r="C12" s="28">
        <v>46064</v>
      </c>
      <c r="D12" s="5" t="s">
        <v>17</v>
      </c>
      <c r="E12" s="5" t="s">
        <v>26</v>
      </c>
      <c r="F12" s="5" t="s">
        <v>23</v>
      </c>
      <c r="G12" s="5">
        <v>25</v>
      </c>
      <c r="H12" s="5">
        <v>1500</v>
      </c>
    </row>
    <row r="13" spans="1:17">
      <c r="B13" s="5" t="s">
        <v>34</v>
      </c>
      <c r="C13" s="28">
        <v>46072</v>
      </c>
      <c r="D13" s="5" t="s">
        <v>25</v>
      </c>
      <c r="E13" s="5" t="s">
        <v>31</v>
      </c>
      <c r="F13" s="5" t="s">
        <v>28</v>
      </c>
      <c r="G13" s="5">
        <v>45</v>
      </c>
      <c r="H13" s="5">
        <v>2250</v>
      </c>
    </row>
    <row r="14" spans="1:17">
      <c r="B14" s="5" t="s">
        <v>35</v>
      </c>
      <c r="C14" s="28">
        <v>46084</v>
      </c>
      <c r="D14" s="5" t="s">
        <v>21</v>
      </c>
      <c r="E14" s="5" t="s">
        <v>18</v>
      </c>
      <c r="F14" s="5" t="s">
        <v>28</v>
      </c>
      <c r="G14" s="5">
        <v>10</v>
      </c>
      <c r="H14" s="5">
        <v>500</v>
      </c>
    </row>
    <row r="15" spans="1:17">
      <c r="B15" s="5" t="s">
        <v>36</v>
      </c>
      <c r="C15" s="28">
        <v>46089</v>
      </c>
      <c r="D15" s="5" t="s">
        <v>17</v>
      </c>
      <c r="E15" s="5" t="s">
        <v>22</v>
      </c>
      <c r="F15" s="5" t="s">
        <v>19</v>
      </c>
      <c r="G15" s="5">
        <v>70</v>
      </c>
      <c r="H15" s="5">
        <v>2100</v>
      </c>
    </row>
    <row r="16" spans="1:17">
      <c r="B16" s="5" t="s">
        <v>37</v>
      </c>
      <c r="C16" s="28">
        <v>46096</v>
      </c>
      <c r="D16" s="5" t="s">
        <v>30</v>
      </c>
      <c r="E16" s="5" t="s">
        <v>26</v>
      </c>
      <c r="F16" s="5" t="s">
        <v>19</v>
      </c>
      <c r="G16" s="5">
        <v>30</v>
      </c>
      <c r="H16" s="5">
        <v>900</v>
      </c>
    </row>
    <row r="17" spans="2:8">
      <c r="B17" s="5" t="s">
        <v>38</v>
      </c>
      <c r="C17" s="28">
        <v>46103</v>
      </c>
      <c r="D17" s="5" t="s">
        <v>25</v>
      </c>
      <c r="E17" s="5" t="s">
        <v>18</v>
      </c>
      <c r="F17" s="5" t="s">
        <v>23</v>
      </c>
      <c r="G17" s="5">
        <v>50</v>
      </c>
      <c r="H17" s="5">
        <v>3000</v>
      </c>
    </row>
    <row r="18" spans="2:8">
      <c r="B18" s="5" t="s">
        <v>39</v>
      </c>
      <c r="C18" s="28">
        <v>46113</v>
      </c>
      <c r="D18" s="5" t="s">
        <v>17</v>
      </c>
      <c r="E18" s="5" t="s">
        <v>31</v>
      </c>
      <c r="F18" s="5" t="s">
        <v>28</v>
      </c>
      <c r="G18" s="5">
        <v>65</v>
      </c>
      <c r="H18" s="5">
        <v>3250</v>
      </c>
    </row>
    <row r="19" spans="2:8">
      <c r="B19" s="5" t="s">
        <v>40</v>
      </c>
      <c r="C19" s="28">
        <v>46118</v>
      </c>
      <c r="D19" s="5" t="s">
        <v>21</v>
      </c>
      <c r="E19" s="5" t="s">
        <v>26</v>
      </c>
      <c r="F19" s="5" t="s">
        <v>23</v>
      </c>
      <c r="G19" s="5">
        <v>20</v>
      </c>
      <c r="H19" s="5">
        <v>1200</v>
      </c>
    </row>
    <row r="20" spans="2:8">
      <c r="B20" s="5" t="s">
        <v>41</v>
      </c>
      <c r="C20" s="28">
        <v>46125</v>
      </c>
      <c r="D20" s="5" t="s">
        <v>30</v>
      </c>
      <c r="E20" s="5" t="s">
        <v>22</v>
      </c>
      <c r="F20" s="5" t="s">
        <v>28</v>
      </c>
      <c r="G20" s="5">
        <v>15</v>
      </c>
      <c r="H20" s="5">
        <v>750</v>
      </c>
    </row>
    <row r="21" spans="2:8">
      <c r="B21" s="5" t="s">
        <v>42</v>
      </c>
      <c r="C21" s="28">
        <v>46133</v>
      </c>
      <c r="D21" s="5" t="s">
        <v>17</v>
      </c>
      <c r="E21" s="5" t="s">
        <v>18</v>
      </c>
      <c r="F21" s="5" t="s">
        <v>19</v>
      </c>
      <c r="G21" s="5">
        <v>50</v>
      </c>
      <c r="H21" s="5">
        <v>1500</v>
      </c>
    </row>
    <row r="22" spans="2:8">
      <c r="B22" s="5" t="s">
        <v>43</v>
      </c>
      <c r="C22" s="28">
        <v>46146</v>
      </c>
      <c r="D22" s="5" t="s">
        <v>25</v>
      </c>
      <c r="E22" s="5" t="s">
        <v>22</v>
      </c>
      <c r="F22" s="5" t="s">
        <v>19</v>
      </c>
      <c r="G22" s="5">
        <v>25</v>
      </c>
      <c r="H22" s="5">
        <v>750</v>
      </c>
    </row>
    <row r="23" spans="2:8">
      <c r="B23" s="5" t="s">
        <v>44</v>
      </c>
      <c r="C23" s="28">
        <v>46154</v>
      </c>
      <c r="D23" s="5" t="s">
        <v>21</v>
      </c>
      <c r="E23" s="5" t="s">
        <v>31</v>
      </c>
      <c r="F23" s="5" t="s">
        <v>23</v>
      </c>
      <c r="G23" s="5">
        <v>40</v>
      </c>
      <c r="H23" s="5">
        <v>2400</v>
      </c>
    </row>
    <row r="24" spans="2:8">
      <c r="B24" s="5" t="s">
        <v>45</v>
      </c>
      <c r="C24" s="28">
        <v>46161</v>
      </c>
      <c r="D24" s="5" t="s">
        <v>30</v>
      </c>
      <c r="E24" s="5" t="s">
        <v>18</v>
      </c>
      <c r="F24" s="5" t="s">
        <v>28</v>
      </c>
      <c r="G24" s="5">
        <v>35</v>
      </c>
      <c r="H24" s="5">
        <v>1750</v>
      </c>
    </row>
    <row r="25" spans="2:8">
      <c r="B25" s="5" t="s">
        <v>46</v>
      </c>
      <c r="C25" s="28">
        <v>46169</v>
      </c>
      <c r="D25" s="5" t="s">
        <v>17</v>
      </c>
      <c r="E25" s="5" t="s">
        <v>26</v>
      </c>
      <c r="F25" s="5" t="s">
        <v>23</v>
      </c>
      <c r="G25" s="5">
        <v>55</v>
      </c>
      <c r="H25" s="5">
        <v>3300</v>
      </c>
    </row>
  </sheetData>
  <hyperlinks>
    <hyperlink ref="D3" location="'F7-3 Sorter'!A1" display="◀ Back to F7-3 Sorter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C2185B"/>
    <pageSetUpPr fitToPage="1"/>
  </sheetPr>
  <dimension ref="A1:G3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553</v>
      </c>
      <c r="B1" s="2"/>
      <c r="C1" s="2"/>
      <c r="D1" s="2"/>
      <c r="E1" s="2"/>
      <c r="F1" s="2"/>
      <c r="G1" s="2"/>
    </row>
    <row r="2" spans="1:7">
      <c r="A2" s="3" t="s">
        <v>554</v>
      </c>
    </row>
    <row r="3" spans="1:7" ht="26" customHeight="1">
      <c r="A3" s="14" cm="1" t="str">
        <f t="array" ref="A3">"SCORE "&amp;TEXT(SUM($G$12:$G$36),"0000")&amp;" / 0180"</f>
        <v>SCORE 0000 / 0180</v>
      </c>
      <c r="C3" s="15" cm="1" t="str">
        <f t="array" ref="C3">IF(SUM($G$12:$G$36)&gt;=180,"★★★",IF(SUM($G$12:$G$36)&gt;=180*0.8,"★★☆",IF(SUM($G$12:$G$36)&gt;=180*0.5,"★☆☆","☆☆☆")))</f>
        <v>☆☆☆</v>
      </c>
      <c r="D3" s="16" cm="1" t="str">
        <f t="array" ref="D3">REPT("█",ROUND(10*SUM($G$12:$G$36)/180,0))&amp;REPT("░",10-ROUND(10*SUM($G$12:$G$36)/180,0))&amp;"  "&amp;TEXT(SUM($G$12:$G$36)/180,"0%")</f>
        <v>░░░░░░░░░░  0%</v>
      </c>
      <c r="F3" s="17" cm="1" t="str">
        <f t="array" ref="F3">IF(SUM($G$12:$G$36)&gt;=180*0.5,"STAGE CLEAR! ▶ Next: Boss","")</f>
        <v/>
      </c>
    </row>
    <row r="5" spans="1:7" ht="22" customHeight="1">
      <c r="A5" s="4" t="s">
        <v>52</v>
      </c>
      <c r="B5" s="4"/>
      <c r="C5" s="4"/>
      <c r="D5" s="4"/>
      <c r="E5" s="4"/>
      <c r="F5" s="4"/>
      <c r="G5" s="4"/>
    </row>
    <row r="6" spans="1:7">
      <c r="A6" s="6" t="s">
        <v>53</v>
      </c>
      <c r="B6" s="6" t="s">
        <v>54</v>
      </c>
      <c r="C6" s="6" t="s">
        <v>55</v>
      </c>
      <c r="D6" s="6"/>
      <c r="E6" s="6"/>
      <c r="F6" s="6"/>
      <c r="G6" s="6"/>
    </row>
    <row r="7" spans="1:7" ht="51.25" customHeight="1">
      <c r="A7" s="18" t="s">
        <v>56</v>
      </c>
      <c r="B7" s="8" t="s">
        <v>458</v>
      </c>
      <c r="C7" s="19" t="s">
        <v>189</v>
      </c>
    </row>
    <row r="8" spans="1:7" ht="67" customHeight="1">
      <c r="A8" s="18" t="s">
        <v>59</v>
      </c>
      <c r="B8" s="8" t="s">
        <v>459</v>
      </c>
      <c r="C8" s="19" t="s">
        <v>180</v>
      </c>
    </row>
    <row r="10" spans="1:7" ht="22" customHeight="1">
      <c r="A10" s="4" t="s">
        <v>68</v>
      </c>
      <c r="B10" s="4"/>
      <c r="C10" s="4"/>
      <c r="D10" s="4"/>
      <c r="E10" s="4"/>
      <c r="F10" s="4"/>
      <c r="G10" s="4"/>
    </row>
    <row r="11" spans="1:7">
      <c r="A11" s="6" t="s">
        <v>53</v>
      </c>
      <c r="B11" s="6" t="s">
        <v>69</v>
      </c>
      <c r="C11" s="6" t="s">
        <v>70</v>
      </c>
      <c r="D11" s="6" t="s">
        <v>71</v>
      </c>
      <c r="E11" s="6" t="s">
        <v>72</v>
      </c>
      <c r="F11" s="6" t="s">
        <v>1</v>
      </c>
      <c r="G11" s="6" t="s">
        <v>73</v>
      </c>
    </row>
    <row r="12" spans="1:7" ht="35.5" customHeight="1">
      <c r="A12" s="18" t="s">
        <v>82</v>
      </c>
      <c r="B12" s="8" t="s">
        <v>461</v>
      </c>
      <c r="C12" s="20"/>
      <c r="D12" s="21" cm="1" t="str">
        <f t="array" ref="D12">IFERROR(_xlfn.LET(_xlpm.a,'F7-4 Combo'!$C$12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$62:$J$62),"✔ CLEAR","✘ TRY AGAIN"))),"✘ TRY AGAIN")</f>
        <v/>
      </c>
      <c r="E12" s="22"/>
      <c r="F12" s="23" cm="1" t="str">
        <f t="array" ref="F12">IF(E12="Show hint",Key!$B$62,"")</f>
        <v/>
      </c>
      <c r="G12" s="24" cm="1">
        <f t="array" ref="G12">IF(LEFT(D12,1)="✔",IF(E12="Show hint",5,10),0)</f>
        <v>0</v>
      </c>
    </row>
    <row r="13" spans="1:7" ht="35.5" customHeight="1">
      <c r="A13" s="18" t="s">
        <v>92</v>
      </c>
      <c r="B13" s="8" t="s">
        <v>463</v>
      </c>
      <c r="C13" s="20"/>
      <c r="D13" s="21" cm="1" t="str">
        <f t="array" ref="D13">IFERROR(_xlfn.LET(_xlpm.a,'F7-4 Combo'!$C$13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$63:$J$63),"✔ CLEAR","✘ TRY AGAIN"))),"✘ TRY AGAIN")</f>
        <v/>
      </c>
      <c r="E13" s="22"/>
      <c r="F13" s="23" cm="1" t="str">
        <f t="array" ref="F13">IF(E13="Show hint",Key!$B$63,"")</f>
        <v/>
      </c>
      <c r="G13" s="24" cm="1">
        <f t="array" ref="G13">IF(LEFT(D13,1)="✔",IF(E13="Show hint",5,10),0)</f>
        <v>0</v>
      </c>
    </row>
    <row r="14" spans="1:7" ht="35.5" customHeight="1">
      <c r="A14" s="18" t="s">
        <v>102</v>
      </c>
      <c r="B14" s="8" t="s">
        <v>465</v>
      </c>
      <c r="C14" s="20"/>
      <c r="D14" s="21" cm="1" t="str">
        <f t="array" ref="D14">IFERROR(_xlfn.LET(_xlpm.a,'F7-4 Combo'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$64:$J$64),"✔ CLEAR","✘ TRY AGAIN"))),"✘ TRY AGAIN")</f>
        <v/>
      </c>
      <c r="E14" s="22"/>
      <c r="F14" s="23" cm="1" t="str">
        <f t="array" ref="F14">IF(E14="Show hint",Key!$B$64,"")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111</v>
      </c>
      <c r="B15" s="8" t="s">
        <v>474</v>
      </c>
      <c r="C15" s="20"/>
      <c r="D15" s="21" cm="1" t="str">
        <f t="array" ref="D15">IFERROR(_xlfn.LET(_xlpm.a,'F7-4 Combo'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$65:$J$65),"✔ CLEAR","✘ TRY AGAIN"))),"✘ TRY AGAIN")</f>
        <v/>
      </c>
      <c r="E15" s="22"/>
      <c r="F15" s="23" cm="1" t="str">
        <f t="array" ref="F15">IF(E15="Show hint",Key!$B$65,"")</f>
        <v/>
      </c>
      <c r="G15" s="24" cm="1">
        <f t="array" ref="G15">IF(LEFT(D15,1)="✔",IF(E15="Show hint",5,10),0)</f>
        <v>0</v>
      </c>
    </row>
    <row r="16" spans="1:7" ht="35.5" customHeight="1">
      <c r="A16" s="18" t="s">
        <v>120</v>
      </c>
      <c r="B16" s="8" t="s">
        <v>479</v>
      </c>
      <c r="C16" s="20"/>
      <c r="D16" s="21" cm="1" t="str">
        <f t="array" ref="D16">IFERROR(_xlfn.LET(_xlpm.a,'F7-4 Combo'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$66:$F$66),"✔ CLEAR","✘ TRY AGAIN"))),"✘ TRY AGAIN")</f>
        <v/>
      </c>
      <c r="E16" s="22"/>
      <c r="F16" s="23" cm="1" t="str">
        <f t="array" ref="F16">IF(E16="Show hint",Key!$B$66,"")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129</v>
      </c>
      <c r="B17" s="8" t="s">
        <v>488</v>
      </c>
      <c r="C17" s="20"/>
      <c r="D17" s="21" cm="1" t="str">
        <f t="array" ref="D17">IFERROR(_xlfn.LET(_xlpm.a,'F7-4 Combo'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$67:$J$67),"✔ CLEAR","✘ TRY AGAIN"))),"✘ TRY AGAIN")</f>
        <v/>
      </c>
      <c r="E17" s="22"/>
      <c r="F17" s="23" cm="1" t="str">
        <f t="array" ref="F17">IF(E17="Show hint",Key!$B$67,"")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139</v>
      </c>
      <c r="B18" s="8" t="s">
        <v>497</v>
      </c>
      <c r="C18" s="20"/>
      <c r="D18" s="21" cm="1" t="str">
        <f t="array" ref="D18">IFERROR(_xlfn.LET(_xlpm.a,'F7-4 Combo'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$68:$J$68),"✔ CLEAR","✘ TRY AGAIN"))),"✘ TRY AGAIN")</f>
        <v/>
      </c>
      <c r="E18" s="22"/>
      <c r="F18" s="23" cm="1" t="str">
        <f t="array" ref="F18">IF(E18="Show hint",Key!$B$68,"")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149</v>
      </c>
      <c r="B19" s="8" t="s">
        <v>506</v>
      </c>
      <c r="C19" s="20"/>
      <c r="D19" s="21" cm="1" t="str">
        <f t="array" ref="D19">IFERROR(_xlfn.LET(_xlpm.a,'F7-4 Combo'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$69:$J$69),"✔ CLEAR","✘ TRY AGAIN"))),"✘ TRY AGAIN")</f>
        <v/>
      </c>
      <c r="E19" s="22"/>
      <c r="F19" s="23" cm="1" t="str">
        <f t="array" ref="F19">IF(E19="Show hint",Key!$B$69,"")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159</v>
      </c>
      <c r="B20" s="8" t="s">
        <v>515</v>
      </c>
      <c r="C20" s="20"/>
      <c r="D20" s="21" cm="1" t="str">
        <f t="array" ref="D20">IFERROR(_xlfn.LET(_xlpm.a,'F7-4 Combo'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$70:$J$70),"✔ CLEAR","✘ TRY AGAIN"))),"✘ TRY AGAIN")</f>
        <v/>
      </c>
      <c r="E20" s="22"/>
      <c r="F20" s="23" cm="1" t="str">
        <f t="array" ref="F20">IF(E20="Show hint",Key!$B$70,"")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169</v>
      </c>
      <c r="B21" s="8" t="s">
        <v>524</v>
      </c>
      <c r="C21" s="20"/>
      <c r="D21" s="21" cm="1" t="str">
        <f t="array" ref="D21">IFERROR(_xlfn.LET(_xlpm.a,'F7-4 Combo'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$71:$J$71),"✔ CLEAR","✘ TRY AGAIN"))),"✘ TRY AGAIN")</f>
        <v/>
      </c>
      <c r="E21" s="22"/>
      <c r="F21" s="23" cm="1" t="str">
        <f t="array" ref="F21">IF(E21="Show hint",Key!$B$71,"")</f>
        <v/>
      </c>
      <c r="G21" s="24" cm="1">
        <f t="array" ref="G21">IF(LEFT(D21,1)="✔",IF(E21="Show hint",5,10),0)</f>
        <v>0</v>
      </c>
    </row>
    <row r="23" spans="1:7" ht="22" customHeight="1">
      <c r="A23" s="4" t="s">
        <v>171</v>
      </c>
      <c r="B23" s="4"/>
      <c r="C23" s="4"/>
      <c r="D23" s="4"/>
      <c r="E23" s="4"/>
      <c r="F23" s="4"/>
      <c r="G23" s="4"/>
    </row>
    <row r="24" spans="1:7">
      <c r="A24" s="6" t="s">
        <v>53</v>
      </c>
      <c r="B24" s="6" t="s">
        <v>69</v>
      </c>
      <c r="C24" s="6" t="s">
        <v>70</v>
      </c>
      <c r="D24" s="6" t="s">
        <v>71</v>
      </c>
      <c r="E24" s="6" t="s">
        <v>72</v>
      </c>
      <c r="F24" s="6" t="s">
        <v>1</v>
      </c>
      <c r="G24" s="6" t="s">
        <v>73</v>
      </c>
    </row>
    <row r="25" spans="1:7" ht="35.5" customHeight="1">
      <c r="A25" s="18" t="s">
        <v>176</v>
      </c>
      <c r="B25" s="8" t="s">
        <v>527</v>
      </c>
      <c r="C25" s="20"/>
      <c r="D25" s="21" cm="1" t="str">
        <f t="array" ref="D25">IFERROR(IF('F7-4 Combo'!$C$25&amp;""="","",IF('F7-4 Combo'!$C$25&amp;""=Key!$C$72&amp;"","✔ CLEAR","✘ TRY AGAIN")),"✘ TRY AGAIN")</f>
        <v/>
      </c>
      <c r="E25" s="22"/>
      <c r="F25" s="23" cm="1" t="str">
        <f t="array" ref="F25">IF(E25="Show hint",Key!$B$72,"")</f>
        <v/>
      </c>
      <c r="G25" s="24" cm="1">
        <f t="array" ref="G25">IF(LEFT(D25,1)="✔",IF(E25="Show hint",5,10),0)</f>
        <v>0</v>
      </c>
    </row>
    <row r="26" spans="1:7" ht="35.5" customHeight="1">
      <c r="A26" s="18" t="s">
        <v>181</v>
      </c>
      <c r="B26" s="8" t="s">
        <v>530</v>
      </c>
      <c r="C26" s="20"/>
      <c r="D26" s="21" cm="1" t="str">
        <f t="array" ref="D26">IFERROR(IF('F7-4 Combo'!$C$26&amp;""="","",IF('F7-4 Combo'!$C$26&amp;""=Key!$C$73&amp;"","✔ CLEAR","✘ TRY AGAIN")),"✘ TRY AGAIN")</f>
        <v/>
      </c>
      <c r="E26" s="22"/>
      <c r="F26" s="23" cm="1" t="str">
        <f t="array" ref="F26">IF(E26="Show hint",Key!$B$73,"")</f>
        <v/>
      </c>
      <c r="G26" s="24" cm="1">
        <f t="array" ref="G26">IF(LEFT(D26,1)="✔",IF(E26="Show hint",5,10),0)</f>
        <v>0</v>
      </c>
    </row>
    <row r="28" spans="1:7" ht="22" customHeight="1">
      <c r="A28" s="4" t="s">
        <v>194</v>
      </c>
      <c r="B28" s="4"/>
      <c r="C28" s="4"/>
      <c r="D28" s="4"/>
      <c r="E28" s="4"/>
      <c r="F28" s="4"/>
      <c r="G28" s="4"/>
    </row>
    <row r="29" spans="1:7">
      <c r="B29" s="11" t="s">
        <v>531</v>
      </c>
    </row>
    <row r="30" spans="1:7">
      <c r="A30" s="6" t="s">
        <v>53</v>
      </c>
      <c r="B30" s="6" t="s">
        <v>69</v>
      </c>
      <c r="C30" s="6" t="s">
        <v>70</v>
      </c>
      <c r="D30" s="6" t="s">
        <v>71</v>
      </c>
      <c r="E30" s="6" t="s">
        <v>72</v>
      </c>
      <c r="F30" s="6" t="s">
        <v>1</v>
      </c>
      <c r="G30" s="6" t="s">
        <v>73</v>
      </c>
    </row>
    <row r="31" spans="1:7" ht="35.5" customHeight="1">
      <c r="A31" s="18" t="s">
        <v>200</v>
      </c>
      <c r="B31" s="8" t="s">
        <v>527</v>
      </c>
      <c r="C31" s="20"/>
      <c r="D31" s="21" cm="1" t="str">
        <f t="array" ref="D31">IFERROR(_xlfn.LET(_xlpm.a,'F7-4 Combo'!$C$31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$74:$J$74),"✔ CLEAR","✘ TRY AGAIN"))),"✘ TRY AGAIN")</f>
        <v/>
      </c>
      <c r="E31" s="22"/>
      <c r="F31" s="23" cm="1" t="str">
        <f t="array" ref="F31">IF(E31="Show hint",Key!$B$74,"")</f>
        <v/>
      </c>
      <c r="G31" s="24" cm="1">
        <f t="array" ref="G31">IF(LEFT(D31,1)="✔",IF(E31="Show hint",5,10),0)</f>
        <v>0</v>
      </c>
    </row>
    <row r="32" spans="1:7" ht="35.5" customHeight="1">
      <c r="A32" s="18" t="s">
        <v>208</v>
      </c>
      <c r="B32" s="8" t="s">
        <v>539</v>
      </c>
      <c r="C32" s="20"/>
      <c r="D32" s="21" cm="1" t="str">
        <f t="array" ref="D32">IFERROR(_xlfn.LET(_xlpm.a,'F7-4 Combo'!$C$32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$75:$J$75),"✔ CLEAR","✘ TRY AGAIN"))),"✘ TRY AGAIN")</f>
        <v/>
      </c>
      <c r="E32" s="22"/>
      <c r="F32" s="23" cm="1" t="str">
        <f t="array" ref="F32">IF(E32="Show hint",Key!$B$75,"")</f>
        <v/>
      </c>
      <c r="G32" s="24" cm="1">
        <f t="array" ref="G32">IF(LEFT(D32,1)="✔",IF(E32="Show hint",5,10),0)</f>
        <v>0</v>
      </c>
    </row>
    <row r="33" spans="1:7" ht="35.5" customHeight="1">
      <c r="A33" s="18" t="s">
        <v>210</v>
      </c>
      <c r="B33" s="8" t="s">
        <v>542</v>
      </c>
      <c r="C33" s="11" t="s">
        <v>543</v>
      </c>
      <c r="D33" s="21" cm="1" t="str">
        <f t="array" ref="D33">IF(ISBLANK('F7-4 Arena'!$K$6),"",IF(NOT(_xlfn.ISFORMULA('F7-4 Arena'!$K$6)),"✘ That's a typed value · enter a formula",IF(ISERROR('F7-4 Arena'!$K$6),"✘ Your formula returns "&amp;IFERROR(CHOOSE(ERROR.TYPE('F7-4 Arena'!$K$6),"#NULL!","#DIV/0!","#VALUE!","#REF!","#NAME?","#NUM!","#N/A","#GETTING_DATA","#SPILL!","#CONNECT!","#BLOCKED!","#UNKNOWN!","#FIELD!","#CALC!"),"an error"),IF(NOT(AND(IFERROR(AND(ISNUMBER('F7-4 Arena'!$K$6),ABS('F7-4 Arena'!$K$6-Key!$C$76)&lt;=1E-9*MAX(1,ABS(Key!$C$76))),FALSE))),"✘ TRY AGAIN",IF(AND(OR(ISNUMBER(FIND({"=","(",",","+","-","*","/","&amp;"," ","&lt;","&gt;",":","@","^"}&amp;"LET"&amp;"(",UPPER(_xlfn.FORMULATEXT('F7-4 Arena'!$K$6)))))),"✔ CLEAR","✘ CLOSE · right value, but use LET")))))</f>
        <v/>
      </c>
      <c r="E33" s="22"/>
      <c r="F33" s="23" cm="1" t="str">
        <f t="array" ref="F33">IF(E33="Show hint",Key!$B$76,"")</f>
        <v/>
      </c>
      <c r="G33" s="24" cm="1">
        <f t="array" ref="G33">IF(LEFT(D33,1)="✔",IF(E33="Show hint",5,10),0)</f>
        <v>0</v>
      </c>
    </row>
    <row r="34" spans="1:7" ht="35.5" customHeight="1">
      <c r="A34" s="18" t="s">
        <v>217</v>
      </c>
      <c r="B34" s="8" t="s">
        <v>546</v>
      </c>
      <c r="C34" s="11" t="s">
        <v>547</v>
      </c>
      <c r="D34" s="21" cm="1" t="str">
        <f t="array" ref="D34">IF(ISBLANK('F7-4 Arena'!$K$10),"",IF(NOT(_xlfn.ISFORMULA('F7-4 Arena'!$K$10)),"✘ That's a typed value · enter a formula",IF(ISERROR('F7-4 Arena'!$K$10),"✘ Your formula returns "&amp;IFERROR(CHOOSE(ERROR.TYPE('F7-4 Arena'!$K$10),"#NULL!","#DIV/0!","#VALUE!","#REF!","#NAME?","#NUM!","#N/A","#GETTING_DATA","#SPILL!","#CONNECT!","#BLOCKED!","#UNKNOWN!","#FIELD!","#CALC!"),"an error"),IF(IFERROR(AND(ROWS(_xlfn.ANCHORARRAY('F7-4 Arena'!$K$10))=ROWS(_xlfn.ANCHORARRAY(Key!$E$2601)),COLUMNS(_xlfn.ANCHORARRAY('F7-4 Arena'!$K$10))=COLUMNS(_xlfn.ANCHORARRAY(Key!$E$2601)),SUM(--(_xlfn.ANCHORARRAY('F7-4 Arena'!$K$10)=_xlfn.ANCHORARRAY(Key!$E$2601)))=ROWS(_xlfn.ANCHORARRAY(Key!$E$2601))*COLUMNS(_xlfn.ANCHORARRAY(Key!$E$2601))),FALSE),IF(AND(OR(ISNUMBER(FIND({"=","(",",","+","-","*","/","&amp;"," ","&lt;","&gt;",":","@","^"}&amp;"SORT"&amp;"(",UPPER(_xlfn.FORMULATEXT('F7-4 Arena'!$K$10))))),OR(ISNUMBER(FIND({"=","(",",","+","-","*","/","&amp;"," ","&lt;","&gt;",":","@","^"}&amp;"UNIQUE"&amp;"(",UPPER(_xlfn.FORMULATEXT('F7-4 Arena'!$K$10)))))),"✔ CLEAR","✘ CLOSE · right result, but use SORT and UNIQUE"),"✘ TRY AGAIN"))))</f>
        <v/>
      </c>
      <c r="E34" s="22"/>
      <c r="F34" s="23" cm="1" t="str">
        <f t="array" ref="F34">IF(E34="Show hint",Key!$B$77,"")</f>
        <v/>
      </c>
      <c r="G34" s="24" cm="1">
        <f t="array" ref="G34">IF(LEFT(D34,1)="✔",IF(E34="Show hint",5,10),0)</f>
        <v>0</v>
      </c>
    </row>
    <row r="35" spans="1:7" ht="51.25" customHeight="1">
      <c r="A35" s="18" t="s">
        <v>220</v>
      </c>
      <c r="B35" s="8" t="s">
        <v>550</v>
      </c>
      <c r="C35" s="11" t="s">
        <v>320</v>
      </c>
      <c r="D35" s="21" cm="1" t="str">
        <f t="array" ref="D35">IF(ISBLANK('F7-4 Arena'!$K$20),"",IF(NOT(_xlfn.ISFORMULA('F7-4 Arena'!$K$20)),"✘ That's a typed value · enter a formula",IF(ISERROR('F7-4 Arena'!$K$20),"✘ Your formula returns "&amp;IFERROR(CHOOSE(ERROR.TYPE('F7-4 Arena'!$K$20),"#NULL!","#DIV/0!","#VALUE!","#REF!","#NAME?","#NUM!","#N/A","#GETTING_DATA","#SPILL!","#CONNECT!","#BLOCKED!","#UNKNOWN!","#FIELD!","#CALC!"),"an error"),IF(IFERROR(AND(ROWS(_xlfn.ANCHORARRAY('F7-4 Arena'!$K$20))=ROWS(_xlfn.ANCHORARRAY(Key!$E$2701)),COLUMNS(_xlfn.ANCHORARRAY('F7-4 Arena'!$K$20))=COLUMNS(_xlfn.ANCHORARRAY(Key!$E$2701)),SUM(--(_xlfn.ANCHORARRAY('F7-4 Arena'!$K$20)=_xlfn.ANCHORARRAY(Key!$E$2701)))=ROWS(_xlfn.ANCHORARRAY(Key!$E$2701))*COLUMNS(_xlfn.ANCHORARRAY(Key!$E$2701))),FALSE),IF(AND(OR(ISNUMBER(FIND({"=","(",",","+","-","*","/","&amp;"," ","&lt;","&gt;",":","@","^"}&amp;"SORT"&amp;"(",UPPER(_xlfn.FORMULATEXT('F7-4 Arena'!$K$20))))),OR(ISNUMBER(FIND({"=","(",",","+","-","*","/","&amp;"," ","&lt;","&gt;",":","@","^"}&amp;"UNIQUE"&amp;"(",UPPER(_xlfn.FORMULATEXT('F7-4 Arena'!$K$20))))),OR(ISNUMBER(FIND({"=","(",",","+","-","*","/","&amp;"," ","&lt;","&gt;",":","@","^"}&amp;"FILTER"&amp;"(",UPPER(_xlfn.FORMULATEXT('F7-4 Arena'!$K$20)))))),"✔ CLEAR","✘ CLOSE · right result, but use SORT and UNIQUE and FILTER"),"✘ TRY AGAIN"))))</f>
        <v/>
      </c>
      <c r="E35" s="22"/>
      <c r="F35" s="23" cm="1" t="str">
        <f t="array" ref="F35">IF(E35="Show hint",Key!$B$78,"")</f>
        <v/>
      </c>
      <c r="G35" s="24" cm="1">
        <f t="array" ref="G35">IF(LEFT(D35,1)="✔",IF(E35="Show hint",5,10),0)</f>
        <v>0</v>
      </c>
    </row>
    <row r="36" spans="1:7" ht="35.5" customHeight="1">
      <c r="A36" s="18" t="s">
        <v>225</v>
      </c>
      <c r="B36" s="8" t="s">
        <v>552</v>
      </c>
      <c r="C36" s="11" t="s">
        <v>324</v>
      </c>
      <c r="D36" s="21" cm="1" t="str">
        <f t="array" ref="D36">IF(ISBLANK('F7-4 Arena'!$K$30),"",IF(NOT(_xlfn.ISFORMULA('F7-4 Arena'!$K$30)),"✘ That's a typed value · enter a formula",IF(ISERROR('F7-4 Arena'!$K$30),"✘ Your formula returns "&amp;IFERROR(CHOOSE(ERROR.TYPE('F7-4 Arena'!$K$30),"#NULL!","#DIV/0!","#VALUE!","#REF!","#NAME?","#NUM!","#N/A","#GETTING_DATA","#SPILL!","#CONNECT!","#BLOCKED!","#UNKNOWN!","#FIELD!","#CALC!"),"an error"),IF(NOT(AND(IFERROR(AND(ISNUMBER('F7-4 Arena'!$K$30),ABS('F7-4 Arena'!$K$30-Key!$C$79)&lt;=1E-9*MAX(1,ABS(Key!$C$79))),FALSE))),"✘ TRY AGAIN",IF(ISNUMBER(FIND("#",_xlfn.FORMULATEXT('F7-4 Arena'!$K$30))),"✔ CLEAR","✘ CLOSE · your formula needs #")))))</f>
        <v/>
      </c>
      <c r="E36" s="22"/>
      <c r="F36" s="23" cm="1" t="str">
        <f t="array" ref="F36">IF(E36="Show hint",Key!$B$79,"")</f>
        <v/>
      </c>
      <c r="G36" s="24" cm="1">
        <f t="array" ref="G36">IF(LEFT(D36,1)="✔",IF(E36="Show hint",5,10),0)</f>
        <v>0</v>
      </c>
    </row>
  </sheetData>
  <sheetProtection sheet="1" objects="1" scenarios="1" formatColumns="0" formatRows="0"/>
  <conditionalFormatting sqref="D12:D36">
    <cfRule type="expression" dxfId="0" priority="1">
      <formula>LEFT($D12,1)="✔"</formula>
    </cfRule>
    <cfRule type="expression" dxfId="1" priority="2">
      <formula>LEFT($D12,1)="✘"</formula>
    </cfRule>
    <cfRule type="expression" dxfId="2" priority="3">
      <formula>$D12="LOCKED"</formula>
    </cfRule>
  </conditionalFormatting>
  <dataValidations count="32">
    <dataValidation allowBlank="1" showInputMessage="1" showErrorMessage="1" promptTitle="Type your answer" prompt="Type keys joined with +, like Ctrl+Shift+L. For a function, type its name, like SUMIFS. Case and spaces don't matter." sqref="C12"/>
    <dataValidation type="list" allowBlank="1" showInputMessage="1" showErrorMessage="1" promptTitle="Need a hint?" prompt="Pick 'Show hint' (Alt+Down). This question then gives 5 XP instead of 10." sqref="E12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3"/>
    <dataValidation type="list" allowBlank="1" showInputMessage="1" showErrorMessage="1" promptTitle="Need a hint?" prompt="Pick 'Show hint' (Alt+Down). This question then gives 5 XP instead of 10." sqref="E13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type="list" allowBlank="1" showInputMessage="1" showErrorMessage="1" promptTitle="Pick an answer" prompt="Press Alt+Down to open the list, choose with the arrow keys, then press Enter." sqref="C25">
      <formula1>Key!$E$72:$H$72</formula1>
    </dataValidation>
    <dataValidation type="list" allowBlank="1" showInputMessage="1" showErrorMessage="1" promptTitle="Need a hint?" prompt="Pick 'Show hint' (Alt+Down). This question then gives 5 XP instead of 10." sqref="E25">
      <formula1>"Show hint"</formula1>
    </dataValidation>
    <dataValidation type="list" allowBlank="1" showInputMessage="1" showErrorMessage="1" promptTitle="Pick an answer" prompt="Press Alt+Down to open the list, choose with the arrow keys, then press Enter." sqref="C26">
      <formula1>Key!$E$73:$H$73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1"/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32"/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type="list" allowBlank="1" showInputMessage="1" showErrorMessage="1" promptTitle="Need a hint?" prompt="Pick 'Show hint' (Alt+Down). This question then gives 5 XP instead of 10." sqref="E34">
      <formula1>"Show hint"</formula1>
    </dataValidation>
    <dataValidation type="list" allowBlank="1" showInputMessage="1" showErrorMessage="1" promptTitle="Need a hint?" prompt="Pick 'Show hint' (Alt+Down). This question then gives 5 XP instead of 10." sqref="E35">
      <formula1>"Show hint"</formula1>
    </dataValidation>
    <dataValidation type="list" allowBlank="1" showInputMessage="1" showErrorMessage="1" promptTitle="Need a hint?" prompt="Pick 'Show hint' (Alt+Down). This question then gives 5 XP instead of 10." sqref="E36">
      <formula1>"Show hint"</formula1>
    </dataValidation>
  </dataValidations>
  <hyperlinks>
    <hyperlink ref="B29" location="'F7-4 Arena'!A1" display="▶ Open F7-4 Arena (or press Ctrl+PgDn)"/>
    <hyperlink ref="C33" location="'F7-4 Arena'!K6" tooltip="Go to F7-4 Arena, cell K6" display="▶ ARENA C3 (cell K6)"/>
    <hyperlink ref="C34" location="'F7-4 Arena'!K10" tooltip="Go to F7-4 Arena, cell K10" display="▶ ARENA C4 (cell K10)"/>
    <hyperlink ref="C35" location="'F7-4 Arena'!K20" tooltip="Go to F7-4 Arena, cell K20" display="▶ ARENA C5 (cell K20)"/>
    <hyperlink ref="C36" location="'F7-4 Arena'!K30" tooltip="Go to F7-4 Arena, cell K30" display="▶ ARENA C6 (cell K30)"/>
  </hyperlinks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FormatPr defaultRowHeight="15"/>
  <cols>
    <col min="1" max="1" width="14.7109375" customWidth="1"/>
    <col min="2" max="2" width="13.7109375" customWidth="1"/>
    <col min="3" max="3" width="11.7109375" customWidth="1"/>
    <col min="4" max="26" width="13.7109375" customWidth="1"/>
  </cols>
  <sheetData>
    <row r="1" spans="1:17">
      <c r="A1" s="1" t="s">
        <v>450</v>
      </c>
    </row>
    <row r="2" spans="1:17">
      <c r="A2" s="3" t="s">
        <v>5</v>
      </c>
    </row>
    <row r="3" spans="1:17">
      <c r="A3" s="25" t="s">
        <v>6</v>
      </c>
      <c r="B3" s="26" t="s">
        <v>451</v>
      </c>
      <c r="D3" s="11" t="s">
        <v>452</v>
      </c>
    </row>
    <row r="5" spans="1:17">
      <c r="B5" s="27" t="s">
        <v>9</v>
      </c>
      <c r="C5" s="27" t="s">
        <v>10</v>
      </c>
      <c r="D5" s="27" t="s">
        <v>11</v>
      </c>
      <c r="E5" s="27" t="s">
        <v>12</v>
      </c>
      <c r="F5" s="27" t="s">
        <v>13</v>
      </c>
      <c r="G5" s="27" t="s">
        <v>14</v>
      </c>
      <c r="H5" s="27" t="s">
        <v>15</v>
      </c>
      <c r="K5" s="27" t="s">
        <v>453</v>
      </c>
      <c r="Q5" s="27" t="s">
        <v>457</v>
      </c>
    </row>
    <row r="6" spans="1:17">
      <c r="B6" s="5" t="s">
        <v>16</v>
      </c>
      <c r="C6" s="28">
        <v>46027</v>
      </c>
      <c r="D6" s="5" t="s">
        <v>17</v>
      </c>
      <c r="E6" s="5" t="s">
        <v>18</v>
      </c>
      <c r="F6" s="5" t="s">
        <v>19</v>
      </c>
      <c r="G6" s="5">
        <v>40</v>
      </c>
      <c r="H6" s="5">
        <v>1200</v>
      </c>
      <c r="K6" s="29"/>
      <c r="Q6" s="5" cm="1" t="str">
        <f t="array" ref="Q6">_xlfn.UNIQUE(D6:D25)</f>
        <v>East</v>
      </c>
    </row>
    <row r="7" spans="1:17">
      <c r="B7" s="5" t="s">
        <v>20</v>
      </c>
      <c r="C7" s="28">
        <v>46031</v>
      </c>
      <c r="D7" s="5" t="s">
        <v>21</v>
      </c>
      <c r="E7" s="5" t="s">
        <v>22</v>
      </c>
      <c r="F7" s="5" t="s">
        <v>23</v>
      </c>
      <c r="G7" s="5">
        <v>15</v>
      </c>
      <c r="H7" s="5">
        <v>900</v>
      </c>
    </row>
    <row r="8" spans="1:17">
      <c r="B8" s="5" t="s">
        <v>24</v>
      </c>
      <c r="C8" s="28">
        <v>46036</v>
      </c>
      <c r="D8" s="5" t="s">
        <v>25</v>
      </c>
      <c r="E8" s="5" t="s">
        <v>26</v>
      </c>
      <c r="F8" s="5" t="s">
        <v>19</v>
      </c>
      <c r="G8" s="5">
        <v>55</v>
      </c>
      <c r="H8" s="5">
        <v>1650</v>
      </c>
    </row>
    <row r="9" spans="1:17">
      <c r="B9" s="5" t="s">
        <v>27</v>
      </c>
      <c r="C9" s="28">
        <v>46042</v>
      </c>
      <c r="D9" s="5" t="s">
        <v>17</v>
      </c>
      <c r="E9" s="5" t="s">
        <v>18</v>
      </c>
      <c r="F9" s="5" t="s">
        <v>28</v>
      </c>
      <c r="G9" s="5">
        <v>20</v>
      </c>
      <c r="H9" s="5">
        <v>1000</v>
      </c>
      <c r="K9" s="27" t="s">
        <v>454</v>
      </c>
    </row>
    <row r="10" spans="1:17">
      <c r="B10" s="5" t="s">
        <v>29</v>
      </c>
      <c r="C10" s="28">
        <v>46055</v>
      </c>
      <c r="D10" s="5" t="s">
        <v>30</v>
      </c>
      <c r="E10" s="5" t="s">
        <v>31</v>
      </c>
      <c r="F10" s="5" t="s">
        <v>23</v>
      </c>
      <c r="G10" s="5">
        <v>60</v>
      </c>
      <c r="H10" s="5">
        <v>3600</v>
      </c>
      <c r="K10" s="29"/>
    </row>
    <row r="11" spans="1:17">
      <c r="B11" s="5" t="s">
        <v>32</v>
      </c>
      <c r="C11" s="28">
        <v>46060</v>
      </c>
      <c r="D11" s="5" t="s">
        <v>21</v>
      </c>
      <c r="E11" s="5" t="s">
        <v>22</v>
      </c>
      <c r="F11" s="5" t="s">
        <v>19</v>
      </c>
      <c r="G11" s="5">
        <v>35</v>
      </c>
      <c r="H11" s="5">
        <v>1050</v>
      </c>
    </row>
    <row r="12" spans="1:17">
      <c r="B12" s="5" t="s">
        <v>33</v>
      </c>
      <c r="C12" s="28">
        <v>46064</v>
      </c>
      <c r="D12" s="5" t="s">
        <v>17</v>
      </c>
      <c r="E12" s="5" t="s">
        <v>26</v>
      </c>
      <c r="F12" s="5" t="s">
        <v>23</v>
      </c>
      <c r="G12" s="5">
        <v>25</v>
      </c>
      <c r="H12" s="5">
        <v>1500</v>
      </c>
    </row>
    <row r="13" spans="1:17">
      <c r="B13" s="5" t="s">
        <v>34</v>
      </c>
      <c r="C13" s="28">
        <v>46072</v>
      </c>
      <c r="D13" s="5" t="s">
        <v>25</v>
      </c>
      <c r="E13" s="5" t="s">
        <v>31</v>
      </c>
      <c r="F13" s="5" t="s">
        <v>28</v>
      </c>
      <c r="G13" s="5">
        <v>45</v>
      </c>
      <c r="H13" s="5">
        <v>2250</v>
      </c>
    </row>
    <row r="14" spans="1:17">
      <c r="B14" s="5" t="s">
        <v>35</v>
      </c>
      <c r="C14" s="28">
        <v>46084</v>
      </c>
      <c r="D14" s="5" t="s">
        <v>21</v>
      </c>
      <c r="E14" s="5" t="s">
        <v>18</v>
      </c>
      <c r="F14" s="5" t="s">
        <v>28</v>
      </c>
      <c r="G14" s="5">
        <v>10</v>
      </c>
      <c r="H14" s="5">
        <v>500</v>
      </c>
    </row>
    <row r="15" spans="1:17">
      <c r="B15" s="5" t="s">
        <v>36</v>
      </c>
      <c r="C15" s="28">
        <v>46089</v>
      </c>
      <c r="D15" s="5" t="s">
        <v>17</v>
      </c>
      <c r="E15" s="5" t="s">
        <v>22</v>
      </c>
      <c r="F15" s="5" t="s">
        <v>19</v>
      </c>
      <c r="G15" s="5">
        <v>70</v>
      </c>
      <c r="H15" s="5">
        <v>2100</v>
      </c>
    </row>
    <row r="16" spans="1:17">
      <c r="B16" s="5" t="s">
        <v>37</v>
      </c>
      <c r="C16" s="28">
        <v>46096</v>
      </c>
      <c r="D16" s="5" t="s">
        <v>30</v>
      </c>
      <c r="E16" s="5" t="s">
        <v>26</v>
      </c>
      <c r="F16" s="5" t="s">
        <v>19</v>
      </c>
      <c r="G16" s="5">
        <v>30</v>
      </c>
      <c r="H16" s="5">
        <v>900</v>
      </c>
    </row>
    <row r="17" spans="2:11">
      <c r="B17" s="5" t="s">
        <v>38</v>
      </c>
      <c r="C17" s="28">
        <v>46103</v>
      </c>
      <c r="D17" s="5" t="s">
        <v>25</v>
      </c>
      <c r="E17" s="5" t="s">
        <v>18</v>
      </c>
      <c r="F17" s="5" t="s">
        <v>23</v>
      </c>
      <c r="G17" s="5">
        <v>50</v>
      </c>
      <c r="H17" s="5">
        <v>3000</v>
      </c>
    </row>
    <row r="18" spans="2:11">
      <c r="B18" s="5" t="s">
        <v>39</v>
      </c>
      <c r="C18" s="28">
        <v>46113</v>
      </c>
      <c r="D18" s="5" t="s">
        <v>17</v>
      </c>
      <c r="E18" s="5" t="s">
        <v>31</v>
      </c>
      <c r="F18" s="5" t="s">
        <v>28</v>
      </c>
      <c r="G18" s="5">
        <v>65</v>
      </c>
      <c r="H18" s="5">
        <v>3250</v>
      </c>
    </row>
    <row r="19" spans="2:11">
      <c r="B19" s="5" t="s">
        <v>40</v>
      </c>
      <c r="C19" s="28">
        <v>46118</v>
      </c>
      <c r="D19" s="5" t="s">
        <v>21</v>
      </c>
      <c r="E19" s="5" t="s">
        <v>26</v>
      </c>
      <c r="F19" s="5" t="s">
        <v>23</v>
      </c>
      <c r="G19" s="5">
        <v>20</v>
      </c>
      <c r="H19" s="5">
        <v>1200</v>
      </c>
      <c r="K19" s="27" t="s">
        <v>455</v>
      </c>
    </row>
    <row r="20" spans="2:11">
      <c r="B20" s="5" t="s">
        <v>41</v>
      </c>
      <c r="C20" s="28">
        <v>46125</v>
      </c>
      <c r="D20" s="5" t="s">
        <v>30</v>
      </c>
      <c r="E20" s="5" t="s">
        <v>22</v>
      </c>
      <c r="F20" s="5" t="s">
        <v>28</v>
      </c>
      <c r="G20" s="5">
        <v>15</v>
      </c>
      <c r="H20" s="5">
        <v>750</v>
      </c>
      <c r="K20" s="29"/>
    </row>
    <row r="21" spans="2:11">
      <c r="B21" s="5" t="s">
        <v>42</v>
      </c>
      <c r="C21" s="28">
        <v>46133</v>
      </c>
      <c r="D21" s="5" t="s">
        <v>17</v>
      </c>
      <c r="E21" s="5" t="s">
        <v>18</v>
      </c>
      <c r="F21" s="5" t="s">
        <v>19</v>
      </c>
      <c r="G21" s="5">
        <v>50</v>
      </c>
      <c r="H21" s="5">
        <v>1500</v>
      </c>
    </row>
    <row r="22" spans="2:11">
      <c r="B22" s="5" t="s">
        <v>43</v>
      </c>
      <c r="C22" s="28">
        <v>46146</v>
      </c>
      <c r="D22" s="5" t="s">
        <v>25</v>
      </c>
      <c r="E22" s="5" t="s">
        <v>22</v>
      </c>
      <c r="F22" s="5" t="s">
        <v>19</v>
      </c>
      <c r="G22" s="5">
        <v>25</v>
      </c>
      <c r="H22" s="5">
        <v>750</v>
      </c>
    </row>
    <row r="23" spans="2:11">
      <c r="B23" s="5" t="s">
        <v>44</v>
      </c>
      <c r="C23" s="28">
        <v>46154</v>
      </c>
      <c r="D23" s="5" t="s">
        <v>21</v>
      </c>
      <c r="E23" s="5" t="s">
        <v>31</v>
      </c>
      <c r="F23" s="5" t="s">
        <v>23</v>
      </c>
      <c r="G23" s="5">
        <v>40</v>
      </c>
      <c r="H23" s="5">
        <v>2400</v>
      </c>
    </row>
    <row r="24" spans="2:11">
      <c r="B24" s="5" t="s">
        <v>45</v>
      </c>
      <c r="C24" s="28">
        <v>46161</v>
      </c>
      <c r="D24" s="5" t="s">
        <v>30</v>
      </c>
      <c r="E24" s="5" t="s">
        <v>18</v>
      </c>
      <c r="F24" s="5" t="s">
        <v>28</v>
      </c>
      <c r="G24" s="5">
        <v>35</v>
      </c>
      <c r="H24" s="5">
        <v>1750</v>
      </c>
    </row>
    <row r="25" spans="2:11">
      <c r="B25" s="5" t="s">
        <v>46</v>
      </c>
      <c r="C25" s="28">
        <v>46169</v>
      </c>
      <c r="D25" s="5" t="s">
        <v>17</v>
      </c>
      <c r="E25" s="5" t="s">
        <v>26</v>
      </c>
      <c r="F25" s="5" t="s">
        <v>23</v>
      </c>
      <c r="G25" s="5">
        <v>55</v>
      </c>
      <c r="H25" s="5">
        <v>3300</v>
      </c>
    </row>
    <row r="29" spans="2:11">
      <c r="K29" s="27" t="s">
        <v>456</v>
      </c>
    </row>
    <row r="30" spans="2:11">
      <c r="K30" s="29"/>
    </row>
  </sheetData>
  <hyperlinks>
    <hyperlink ref="D3" location="'F7-4 Combo'!A1" display="◀ Back to F7-4 Combo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B8860B"/>
    <pageSetUpPr fitToPage="1"/>
  </sheetPr>
  <dimension ref="A1:G3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6.7109375" customWidth="1"/>
    <col min="2" max="2" width="58.7109375" customWidth="1"/>
    <col min="3" max="3" width="30.7109375" customWidth="1"/>
    <col min="4" max="4" width="24.7109375" customWidth="1"/>
    <col min="5" max="5" width="12.7109375" customWidth="1"/>
    <col min="6" max="6" width="44.7109375" customWidth="1"/>
    <col min="7" max="7" width="7.7109375" customWidth="1"/>
  </cols>
  <sheetData>
    <row r="1" spans="1:7" ht="34" customHeight="1">
      <c r="A1" s="1" t="s">
        <v>632</v>
      </c>
      <c r="B1" s="2"/>
      <c r="C1" s="2"/>
      <c r="D1" s="2"/>
      <c r="E1" s="2"/>
      <c r="F1" s="2"/>
      <c r="G1" s="2"/>
    </row>
    <row r="2" spans="1:7">
      <c r="A2" s="3" t="s">
        <v>633</v>
      </c>
    </row>
    <row r="3" spans="1:7" ht="26" customHeight="1">
      <c r="A3" s="14" cm="1" t="str">
        <f t="array" ref="A3">"SCORE "&amp;TEXT(SUM($G$14:$G$35),"0000")&amp;" / 0180"</f>
        <v>SCORE 0000 / 0180</v>
      </c>
      <c r="C3" s="15" cm="1" t="str">
        <f t="array" ref="C3">IF(SUM($G$14:$G$35)&gt;=180,"★★★",IF(SUM($G$14:$G$35)&gt;=180*0.8,"★★☆",IF(SUM($G$14:$G$35)&gt;=180*0.5,"★☆☆","☆☆☆")))</f>
        <v>☆☆☆</v>
      </c>
      <c r="D3" s="16" cm="1" t="str">
        <f t="array" ref="D3">REPT("█",ROUND(10*SUM($G$14:$G$35)/180,0))&amp;REPT("░",10-ROUND(10*SUM($G$14:$G$35)/180,0))&amp;"  "&amp;TEXT(SUM($G$14:$G$35)/180,"0%")</f>
        <v>░░░░░░░░░░  0%</v>
      </c>
    </row>
    <row r="5" spans="1:7" ht="22" customHeight="1">
      <c r="A5" s="4" t="s">
        <v>567</v>
      </c>
      <c r="B5" s="4"/>
      <c r="C5" s="4"/>
      <c r="D5" s="4"/>
      <c r="E5" s="4"/>
      <c r="F5" s="4"/>
      <c r="G5" s="4"/>
    </row>
    <row r="6" spans="1:7">
      <c r="B6" s="7" t="s">
        <v>568</v>
      </c>
      <c r="C6" s="30"/>
    </row>
    <row r="7" spans="1:7">
      <c r="B7" s="7" t="s">
        <v>569</v>
      </c>
      <c r="C7" s="30"/>
    </row>
    <row r="8" spans="1:7">
      <c r="B8" s="7" t="s">
        <v>570</v>
      </c>
      <c r="C8" s="31" cm="1" t="str">
        <f t="array" ref="C8">IF(OR(C6="",C7=""),"",ROUND(MOD(C7-C6,1)*1440,0))</f>
        <v/>
      </c>
    </row>
    <row r="9" spans="1:7">
      <c r="B9" s="7" t="s">
        <v>571</v>
      </c>
      <c r="C9" s="31">
        <v>15</v>
      </c>
    </row>
    <row r="10" spans="1:7">
      <c r="B10" s="7" t="s">
        <v>572</v>
      </c>
      <c r="C10" s="12" cm="1" t="str">
        <f t="array" ref="C10">IF(AND(SUM('F7-1 Spill Zone'!$G$14:$G$41)&gt;=210*0.5,SUM('F7-2 Sifter'!$G$13:$G$38)&gt;=190*0.5,SUM('F7-3 Sorter'!$G$13:$G$39)&gt;=200*0.5,SUM('F7-4 Combo'!$G$12:$G$36)&gt;=180*0.5),"OPEN","LOCKED")</f>
        <v>LOCKED</v>
      </c>
      <c r="D10" s="32" cm="1" t="str">
        <f t="array" ref="D10">IF(C10="OPEN","Gate open · go!","Earn ★ on every stage to open the gate")</f>
        <v>Earn ★ on every stage to open the gate</v>
      </c>
    </row>
    <row r="12" spans="1:7" ht="22" customHeight="1">
      <c r="A12" s="4" t="s">
        <v>573</v>
      </c>
      <c r="B12" s="4"/>
      <c r="C12" s="4"/>
      <c r="D12" s="4"/>
      <c r="E12" s="4"/>
      <c r="F12" s="4"/>
      <c r="G12" s="4"/>
    </row>
    <row r="13" spans="1:7">
      <c r="A13" s="6" t="s">
        <v>53</v>
      </c>
      <c r="B13" s="6" t="s">
        <v>69</v>
      </c>
      <c r="C13" s="6" t="s">
        <v>70</v>
      </c>
      <c r="D13" s="6" t="s">
        <v>71</v>
      </c>
      <c r="E13" s="6" t="s">
        <v>72</v>
      </c>
      <c r="F13" s="6" t="s">
        <v>1</v>
      </c>
      <c r="G13" s="6" t="s">
        <v>73</v>
      </c>
    </row>
    <row r="14" spans="1:7" ht="35.5" customHeight="1">
      <c r="A14" s="18" t="s">
        <v>575</v>
      </c>
      <c r="B14" s="32" cm="1" t="str">
        <f t="array" ref="B14">IF($C$10="OPEN","Which function lets you name a value inside a formula?  (from F7-4 Combo)","LOCKED · earn ★ on every stage to open the Boss gate")</f>
        <v>LOCKED · earn ★ on every stage to open the Boss gate</v>
      </c>
      <c r="C14" s="20"/>
      <c r="D14" s="21" cm="1" t="str">
        <f t="array" ref="D14">IF($C$10="OPEN",IFERROR(_xlfn.LET(_xlpm.a,Boss!$C$14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$80:$J$80),"✔ CLEAR","✘ TRY AGAIN"))),"✘ TRY AGAIN"),"LOCKED")</f>
        <v>LOCKED</v>
      </c>
      <c r="E14" s="22"/>
      <c r="F14" s="23" cm="1" t="str">
        <f t="array" ref="F14">IF(E14="Show hint",Key!$B$80,"")</f>
        <v/>
      </c>
      <c r="G14" s="24" cm="1">
        <f t="array" ref="G14">IF(LEFT(D14,1)="✔",IF(E14="Show hint",5,10),0)</f>
        <v>0</v>
      </c>
    </row>
    <row r="15" spans="1:7" ht="35.5" customHeight="1">
      <c r="A15" s="18" t="s">
        <v>577</v>
      </c>
      <c r="B15" s="32" cm="1" t="str">
        <f t="array" ref="B15">IF($C$10="OPEN","In =SORT"&amp;"(UNIQUE"&amp;"(E6:E25)), which function removes the duplicates?  (from F7-4 Combo)","LOCKED · earn ★ on every stage to open the Boss gate")</f>
        <v>LOCKED · earn ★ on every stage to open the Boss gate</v>
      </c>
      <c r="C15" s="20"/>
      <c r="D15" s="21" cm="1" t="str">
        <f t="array" ref="D15">IF($C$10="OPEN",IFERROR(_xlfn.LET(_xlpm.a,Boss!$C$15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$81:$J$81),"✔ CLEAR","✘ TRY AGAIN"))),"✘ TRY AGAIN"),"LOCKED")</f>
        <v>LOCKED</v>
      </c>
      <c r="E15" s="22"/>
      <c r="F15" s="23" cm="1" t="str">
        <f t="array" ref="F15">IF(E15="Show hint",Key!$B$81,"")</f>
        <v/>
      </c>
      <c r="G15" s="24" cm="1">
        <f t="array" ref="G15">IF(LEFT(D15,1)="✔",IF(E15="Show hint",5,10),0)</f>
        <v>0</v>
      </c>
    </row>
    <row r="16" spans="1:7" ht="51.25" customHeight="1">
      <c r="A16" s="18" t="s">
        <v>579</v>
      </c>
      <c r="B16" s="32" cm="1" t="str">
        <f t="array" ref="B16">IF($C$10="OPEN","What is it called when one formula's results flow into neighboring cells?  (from F7-1 Spill Zone)","LOCKED · earn ★ on every stage to open the Boss gate")</f>
        <v>LOCKED · earn ★ on every stage to open the Boss gate</v>
      </c>
      <c r="C16" s="20"/>
      <c r="D16" s="21" cm="1" t="str">
        <f t="array" ref="D16">IF($C$10="OPEN",IFERROR(_xlfn.LET(_xlpm.a,Boss!$C$16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$82:$G$82),"✔ CLEAR","✘ TRY AGAIN"))),"✘ TRY AGAIN"),"LOCKED")</f>
        <v>LOCKED</v>
      </c>
      <c r="E16" s="22"/>
      <c r="F16" s="23" cm="1" t="str">
        <f t="array" ref="F16">IF(E16="Show hint",Key!$B$82,"")</f>
        <v/>
      </c>
      <c r="G16" s="24" cm="1">
        <f t="array" ref="G16">IF(LEFT(D16,1)="✔",IF(E16="Show hint",5,10),0)</f>
        <v>0</v>
      </c>
    </row>
    <row r="17" spans="1:7" ht="35.5" customHeight="1">
      <c r="A17" s="18" t="s">
        <v>581</v>
      </c>
      <c r="B17" s="32" cm="1" t="str">
        <f t="array" ref="B17">IF($C$10="OPEN","Which error appears when a spill range is blocked?  (from F7-1 Spill Zone)","LOCKED · earn ★ on every stage to open the Boss gate")</f>
        <v>LOCKED · earn ★ on every stage to open the Boss gate</v>
      </c>
      <c r="C17" s="20"/>
      <c r="D17" s="21" cm="1" t="str">
        <f t="array" ref="D17">IF($C$10="OPEN",IFERROR(_xlfn.LET(_xlpm.a,Boss!$C$17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$83:$L$83),"✔ CLEAR","✘ TRY AGAIN"))),"✘ TRY AGAIN"),"LOCKED")</f>
        <v>LOCKED</v>
      </c>
      <c r="E17" s="22"/>
      <c r="F17" s="23" cm="1" t="str">
        <f t="array" ref="F17">IF(E17="Show hint",Key!$B$83,"")</f>
        <v/>
      </c>
      <c r="G17" s="24" cm="1">
        <f t="array" ref="G17">IF(LEFT(D17,1)="✔",IF(E17="Show hint",5,10),0)</f>
        <v>0</v>
      </c>
    </row>
    <row r="18" spans="1:7" ht="35.5" customHeight="1">
      <c r="A18" s="18" t="s">
        <v>583</v>
      </c>
      <c r="B18" s="32" cm="1" t="str">
        <f t="array" ref="B18">IF($C$10="OPEN","How do you refer to the whole spill that starts in H5?  (from F7-1 Spill Zone)","LOCKED · earn ★ on every stage to open the Boss gate")</f>
        <v>LOCKED · earn ★ on every stage to open the Boss gate</v>
      </c>
      <c r="C18" s="20"/>
      <c r="D18" s="21" cm="1" t="str">
        <f t="array" ref="D18">IF($C$10="OPEN",IFERROR(_xlfn.LET(_xlpm.a,Boss!$C$18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$84:$E$84),"✔ CLEAR","✘ TRY AGAIN"))),"✘ TRY AGAIN"),"LOCKED")</f>
        <v>LOCKED</v>
      </c>
      <c r="E18" s="22"/>
      <c r="F18" s="23" cm="1" t="str">
        <f t="array" ref="F18">IF(E18="Show hint",Key!$B$84,"")</f>
        <v/>
      </c>
      <c r="G18" s="24" cm="1">
        <f t="array" ref="G18">IF(LEFT(D18,1)="✔",IF(E18="Show hint",5,10),0)</f>
        <v>0</v>
      </c>
    </row>
    <row r="19" spans="1:7" ht="35.5" customHeight="1">
      <c r="A19" s="18" t="s">
        <v>585</v>
      </c>
      <c r="B19" s="32" cm="1" t="str">
        <f t="array" ref="B19">IF($C$10="OPEN","Which function spills a list of sequential numbers?  (from F7-1 Spill Zone)","LOCKED · earn ★ on every stage to open the Boss gate")</f>
        <v>LOCKED · earn ★ on every stage to open the Boss gate</v>
      </c>
      <c r="C19" s="20"/>
      <c r="D19" s="21" cm="1" t="str">
        <f t="array" ref="D19">IF($C$10="OPEN",IFERROR(_xlfn.LET(_xlpm.a,Boss!$C$19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$85:$J$85),"✔ CLEAR","✘ TRY AGAIN"))),"✘ TRY AGAIN"),"LOCKED")</f>
        <v>LOCKED</v>
      </c>
      <c r="E19" s="22"/>
      <c r="F19" s="23" cm="1" t="str">
        <f t="array" ref="F19">IF(E19="Show hint",Key!$B$85,"")</f>
        <v/>
      </c>
      <c r="G19" s="24" cm="1">
        <f t="array" ref="G19">IF(LEFT(D19,1)="✔",IF(E19="Show hint",5,10),0)</f>
        <v>0</v>
      </c>
    </row>
    <row r="20" spans="1:7" ht="35.5" customHeight="1">
      <c r="A20" s="18" t="s">
        <v>587</v>
      </c>
      <c r="B20" s="32" cm="1" t="str">
        <f t="array" ref="B20">IF($C$10="OPEN","Which function returns only the rows that meet a condition?  (from F7-2 Sifter)","LOCKED · earn ★ on every stage to open the Boss gate")</f>
        <v>LOCKED · earn ★ on every stage to open the Boss gate</v>
      </c>
      <c r="C20" s="20"/>
      <c r="D20" s="21" cm="1" t="str">
        <f t="array" ref="D20">IF($C$10="OPEN",IFERROR(_xlfn.LET(_xlpm.a,Boss!$C$20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$86:$J$86),"✔ CLEAR","✘ TRY AGAIN"))),"✘ TRY AGAIN"),"LOCKED")</f>
        <v>LOCKED</v>
      </c>
      <c r="E20" s="22"/>
      <c r="F20" s="23" cm="1" t="str">
        <f t="array" ref="F20">IF(E20="Show hint",Key!$B$86,"")</f>
        <v/>
      </c>
      <c r="G20" s="24" cm="1">
        <f t="array" ref="G20">IF(LEFT(D20,1)="✔",IF(E20="Show hint",5,10),0)</f>
        <v>0</v>
      </c>
    </row>
    <row r="21" spans="1:7" ht="35.5" customHeight="1">
      <c r="A21" s="18" t="s">
        <v>589</v>
      </c>
      <c r="B21" s="32" cm="1" t="str">
        <f t="array" ref="B21">IF($C$10="OPEN","In FILTER, which operator joins two conditions so BOTH must be true?  (from F7-2 Sifter)","LOCKED · earn ★ on every stage to open the Boss gate")</f>
        <v>LOCKED · earn ★ on every stage to open the Boss gate</v>
      </c>
      <c r="C21" s="20"/>
      <c r="D21" s="21" cm="1" t="str">
        <f t="array" ref="D21">IF($C$10="OPEN",IFERROR(_xlfn.LET(_xlpm.a,Boss!$C$21,IF(TRIM(_xlpm.a&amp;"")="","",IF(OR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SUBSTITUTE(UPPER(_xlpm.a)," ",""),"CONTROL","CTRL"),"CTL","CTRL"),"ESCAPE","ESC"),"RETURN","ENTER"),"PAGEDOWN","PGDN"),"PGDOWN","PGDN"),"PAGEUP","PGUP"),"ARROWKEYS","ARROW"),"ARROWKEY","ARROW"),"ARROWS","ARROW"),"DOWNARROW","DOWN"),"UPARROW","UP"),"LEFTARROW","LEFT"),"RIGHTARROW","RIGHT"),"ARROWDOWN","DOWN"),"ARROWUP","UP"),"ARROWLEFT","LEFT"),"ARROWRIGHT","RIGHT"),"↓","DOWN"),"↑","UP"),"←","LEFT"),"→","RIGHT"),"SPACEBAR","SPACE"),"−","-"),"MINUS","-"),"PLUS","+")=Key!$E$87:$F$87),"✔ CLEAR","✘ TRY AGAIN"))),"✘ TRY AGAIN"),"LOCKED")</f>
        <v>LOCKED</v>
      </c>
      <c r="E21" s="22"/>
      <c r="F21" s="23" cm="1" t="str">
        <f t="array" ref="F21">IF(E21="Show hint",Key!$B$87,"")</f>
        <v/>
      </c>
      <c r="G21" s="24" cm="1">
        <f t="array" ref="G21">IF(LEFT(D21,1)="✔",IF(E21="Show hint",5,10),0)</f>
        <v>0</v>
      </c>
    </row>
    <row r="23" spans="1:7" ht="22" customHeight="1">
      <c r="A23" s="4" t="s">
        <v>590</v>
      </c>
      <c r="B23" s="4"/>
      <c r="C23" s="4"/>
      <c r="D23" s="4"/>
      <c r="E23" s="4"/>
      <c r="F23" s="4"/>
      <c r="G23" s="4"/>
    </row>
    <row r="24" spans="1:7">
      <c r="B24" s="11" t="s">
        <v>591</v>
      </c>
    </row>
    <row r="25" spans="1:7">
      <c r="A25" s="6" t="s">
        <v>53</v>
      </c>
      <c r="B25" s="6" t="s">
        <v>69</v>
      </c>
      <c r="C25" s="6" t="s">
        <v>70</v>
      </c>
      <c r="D25" s="6" t="s">
        <v>71</v>
      </c>
      <c r="E25" s="6" t="s">
        <v>72</v>
      </c>
      <c r="F25" s="6" t="s">
        <v>1</v>
      </c>
      <c r="G25" s="6" t="s">
        <v>73</v>
      </c>
    </row>
    <row r="26" spans="1:7" ht="35.5" customHeight="1">
      <c r="A26" s="18" t="s">
        <v>594</v>
      </c>
      <c r="B26" s="32" cm="1" t="str">
        <f t="array" ref="B26">IF($C$10="OPEN","In K6 spill the numbers 1 to 5.","LOCKED · earn ★ on every stage to open the Boss gate")</f>
        <v>LOCKED · earn ★ on every stage to open the Boss gate</v>
      </c>
      <c r="C26" s="11" t="s">
        <v>595</v>
      </c>
      <c r="D26" s="21" cm="1" t="str">
        <f t="array" ref="D26">IF($C$10="OPEN",IF(ISBLANK('Boss Arena'!$K$6),"",IF(NOT(_xlfn.ISFORMULA('Boss Arena'!$K$6)),"✘ That's a typed value · enter a formula",IF(ISERROR('Boss Arena'!$K$6),"✘ Your formula returns "&amp;IFERROR(CHOOSE(ERROR.TYPE('Boss Arena'!$K$6),"#NULL!","#DIV/0!","#VALUE!","#REF!","#NAME?","#NUM!","#N/A","#GETTING_DATA","#SPILL!","#CONNECT!","#BLOCKED!","#UNKNOWN!","#FIELD!","#CALC!"),"an error"),IF(IFERROR(AND(ROWS(_xlfn.ANCHORARRAY('Boss Arena'!$K$6))=ROWS(_xlfn.ANCHORARRAY(Key!$E$2801)),COLUMNS(_xlfn.ANCHORARRAY('Boss Arena'!$K$6))=COLUMNS(_xlfn.ANCHORARRAY(Key!$E$2801)),SUM(--(_xlfn.ANCHORARRAY('Boss Arena'!$K$6)=_xlfn.ANCHORARRAY(Key!$E$2801)))=ROWS(_xlfn.ANCHORARRAY(Key!$E$2801))*COLUMNS(_xlfn.ANCHORARRAY(Key!$E$2801))),FALSE),IF(AND(OR(ISNUMBER(FIND({"=","(",",","+","-","*","/","&amp;"," ","&lt;","&gt;",":","@","^"}&amp;"SEQUENCE"&amp;"(",UPPER(_xlfn.FORMULATEXT('Boss Arena'!$K$6)))))),"✔ CLEAR","✘ CLOSE · right result, but use SEQUENCE"),"✘ TRY AGAIN")))),"LOCKED")</f>
        <v>LOCKED</v>
      </c>
      <c r="E26" s="22"/>
      <c r="F26" s="23" cm="1" t="str">
        <f t="array" ref="F26">IF(E26="Show hint",Key!$B$88,"")</f>
        <v/>
      </c>
      <c r="G26" s="24" cm="1">
        <f t="array" ref="G26">IF(LEFT(D26,1)="✔",IF(E26="Show hint",5,10),0)</f>
        <v>0</v>
      </c>
    </row>
    <row r="27" spans="1:7" ht="35.5" customHeight="1">
      <c r="A27" s="18" t="s">
        <v>598</v>
      </c>
      <c r="B27" s="32" cm="1" t="str">
        <f t="array" ref="B27">IF($C$10="OPEN","In M6 spill the West orders, every column.","LOCKED · earn ★ on every stage to open the Boss gate")</f>
        <v>LOCKED · earn ★ on every stage to open the Boss gate</v>
      </c>
      <c r="C27" s="11" t="s">
        <v>599</v>
      </c>
      <c r="D27" s="21" cm="1" t="str">
        <f t="array" ref="D27">IF($C$10="OPEN",IF(ISBLANK('Boss Arena'!$M$6),"",IF(NOT(_xlfn.ISFORMULA('Boss Arena'!$M$6)),"✘ That's a typed value · enter a formula",IF(ISERROR('Boss Arena'!$M$6),"✘ Your formula returns "&amp;IFERROR(CHOOSE(ERROR.TYPE('Boss Arena'!$M$6),"#NULL!","#DIV/0!","#VALUE!","#REF!","#NAME?","#NUM!","#N/A","#GETTING_DATA","#SPILL!","#CONNECT!","#BLOCKED!","#UNKNOWN!","#FIELD!","#CALC!"),"an error"),IF(IFERROR(AND(ROWS(_xlfn.ANCHORARRAY('Boss Arena'!$M$6))=ROWS(_xlfn.ANCHORARRAY(Key!$E$2901)),COLUMNS(_xlfn.ANCHORARRAY('Boss Arena'!$M$6))=COLUMNS(_xlfn.ANCHORARRAY(Key!$E$2901)),SUM(--(_xlfn.ANCHORARRAY('Boss Arena'!$M$6)=_xlfn.ANCHORARRAY(Key!$E$2901)))=ROWS(_xlfn.ANCHORARRAY(Key!$E$2901))*COLUMNS(_xlfn.ANCHORARRAY(Key!$E$2901))),FALSE),IF(AND(OR(ISNUMBER(FIND({"=","(",",","+","-","*","/","&amp;"," ","&lt;","&gt;",":","@","^"}&amp;"FILTER"&amp;"(",UPPER(_xlfn.FORMULATEXT('Boss Arena'!$M$6)))))),"✔ CLEAR","✘ CLOSE · right result, but use FILTER"),"✘ TRY AGAIN")))),"LOCKED")</f>
        <v>LOCKED</v>
      </c>
      <c r="E27" s="22"/>
      <c r="F27" s="23" cm="1" t="str">
        <f t="array" ref="F27">IF(E27="Show hint",Key!$B$89,"")</f>
        <v/>
      </c>
      <c r="G27" s="24" cm="1">
        <f t="array" ref="G27">IF(LEFT(D27,1)="✔",IF(E27="Show hint",5,10),0)</f>
        <v>0</v>
      </c>
    </row>
    <row r="28" spans="1:7" ht="35.5" customHeight="1">
      <c r="A28" s="18" t="s">
        <v>602</v>
      </c>
      <c r="B28" s="32" cm="1" t="str">
        <f t="array" ref="B28">IF($C$10="OPEN","In K14 spill the Order IDs of Kim's orders with more than 20 units.","LOCKED · earn ★ on every stage to open the Boss gate")</f>
        <v>LOCKED · earn ★ on every stage to open the Boss gate</v>
      </c>
      <c r="C28" s="11" t="s">
        <v>603</v>
      </c>
      <c r="D28" s="21" cm="1" t="str">
        <f t="array" ref="D28">IF($C$10="OPEN",IF(ISBLANK('Boss Arena'!$K$14),"",IF(NOT(_xlfn.ISFORMULA('Boss Arena'!$K$14)),"✘ That's a typed value · enter a formula",IF(ISERROR('Boss Arena'!$K$14),"✘ Your formula returns "&amp;IFERROR(CHOOSE(ERROR.TYPE('Boss Arena'!$K$14),"#NULL!","#DIV/0!","#VALUE!","#REF!","#NAME?","#NUM!","#N/A","#GETTING_DATA","#SPILL!","#CONNECT!","#BLOCKED!","#UNKNOWN!","#FIELD!","#CALC!"),"an error"),IF(IFERROR(AND(ROWS(_xlfn.ANCHORARRAY('Boss Arena'!$K$14))=ROWS(_xlfn.ANCHORARRAY(Key!$E$3001)),COLUMNS(_xlfn.ANCHORARRAY('Boss Arena'!$K$14))=COLUMNS(_xlfn.ANCHORARRAY(Key!$E$3001)),SUM(--(_xlfn.ANCHORARRAY('Boss Arena'!$K$14)=_xlfn.ANCHORARRAY(Key!$E$3001)))=ROWS(_xlfn.ANCHORARRAY(Key!$E$3001))*COLUMNS(_xlfn.ANCHORARRAY(Key!$E$3001))),FALSE),IF(AND(OR(ISNUMBER(FIND({"=","(",",","+","-","*","/","&amp;"," ","&lt;","&gt;",":","@","^"}&amp;"FILTER"&amp;"(",UPPER(_xlfn.FORMULATEXT('Boss Arena'!$K$14)))))),"✔ CLEAR","✘ CLOSE · right result, but use FILTER"),"✘ TRY AGAIN")))),"LOCKED")</f>
        <v>LOCKED</v>
      </c>
      <c r="E28" s="22"/>
      <c r="F28" s="23" cm="1" t="str">
        <f t="array" ref="F28">IF(E28="Show hint",Key!$B$90,"")</f>
        <v/>
      </c>
      <c r="G28" s="24" cm="1">
        <f t="array" ref="G28">IF(LEFT(D28,1)="✔",IF(E28="Show hint",5,10),0)</f>
        <v>0</v>
      </c>
    </row>
    <row r="29" spans="1:7" ht="35.5" customHeight="1">
      <c r="A29" s="18" t="s">
        <v>606</v>
      </c>
      <c r="B29" s="32" cm="1" t="str">
        <f t="array" ref="B29">IF($C$10="OPEN","In K30 spill the Units column sorted largest first.","LOCKED · earn ★ on every stage to open the Boss gate")</f>
        <v>LOCKED · earn ★ on every stage to open the Boss gate</v>
      </c>
      <c r="C29" s="11" t="s">
        <v>607</v>
      </c>
      <c r="D29" s="21" cm="1" t="str">
        <f t="array" ref="D29">IF($C$10="OPEN",IF(ISBLANK('Boss Arena'!$K$30),"",IF(NOT(_xlfn.ISFORMULA('Boss Arena'!$K$30)),"✘ That's a typed value · enter a formula",IF(ISERROR('Boss Arena'!$K$30),"✘ Your formula returns "&amp;IFERROR(CHOOSE(ERROR.TYPE('Boss Arena'!$K$30),"#NULL!","#DIV/0!","#VALUE!","#REF!","#NAME?","#NUM!","#N/A","#GETTING_DATA","#SPILL!","#CONNECT!","#BLOCKED!","#UNKNOWN!","#FIELD!","#CALC!"),"an error"),IF(IFERROR(AND(ROWS(_xlfn.ANCHORARRAY('Boss Arena'!$K$30))=ROWS(_xlfn.ANCHORARRAY(Key!$E$3101)),COLUMNS(_xlfn.ANCHORARRAY('Boss Arena'!$K$30))=COLUMNS(_xlfn.ANCHORARRAY(Key!$E$3101)),SUM(--(_xlfn.ANCHORARRAY('Boss Arena'!$K$30)=_xlfn.ANCHORARRAY(Key!$E$3101)))=ROWS(_xlfn.ANCHORARRAY(Key!$E$3101))*COLUMNS(_xlfn.ANCHORARRAY(Key!$E$3101))),FALSE),IF(AND(OR(OR(ISNUMBER(FIND({"=","(",",","+","-","*","/","&amp;"," ","&lt;","&gt;",":","@","^"}&amp;"SORT"&amp;"(",UPPER(_xlfn.FORMULATEXT('Boss Arena'!$K$30))))),OR(ISNUMBER(FIND({"=","(",",","+","-","*","/","&amp;"," ","&lt;","&gt;",":","@","^"}&amp;"SORTBY"&amp;"(",UPPER(_xlfn.FORMULATEXT('Boss Arena'!$K$30))))))),"✔ CLEAR","✘ CLOSE · right result, but use SORT/SORTBY"),"✘ TRY AGAIN")))),"LOCKED")</f>
        <v>LOCKED</v>
      </c>
      <c r="E29" s="22"/>
      <c r="F29" s="23" cm="1" t="str">
        <f t="array" ref="F29">IF(E29="Show hint",Key!$B$91,"")</f>
        <v/>
      </c>
      <c r="G29" s="24" cm="1">
        <f t="array" ref="G29">IF(LEFT(D29,1)="✔",IF(E29="Show hint",5,10),0)</f>
        <v>0</v>
      </c>
    </row>
    <row r="30" spans="1:7" ht="35.5" customHeight="1">
      <c r="A30" s="18" t="s">
        <v>610</v>
      </c>
      <c r="B30" s="32" cm="1" t="str">
        <f t="array" ref="B30">IF($C$10="OPEN","In M30 spill each Product once.","LOCKED · earn ★ on every stage to open the Boss gate")</f>
        <v>LOCKED · earn ★ on every stage to open the Boss gate</v>
      </c>
      <c r="C30" s="11" t="s">
        <v>611</v>
      </c>
      <c r="D30" s="21" cm="1" t="str">
        <f t="array" ref="D30">IF($C$10="OPEN",IF(ISBLANK('Boss Arena'!$M$30),"",IF(NOT(_xlfn.ISFORMULA('Boss Arena'!$M$30)),"✘ That's a typed value · enter a formula",IF(ISERROR('Boss Arena'!$M$30),"✘ Your formula returns "&amp;IFERROR(CHOOSE(ERROR.TYPE('Boss Arena'!$M$30),"#NULL!","#DIV/0!","#VALUE!","#REF!","#NAME?","#NUM!","#N/A","#GETTING_DATA","#SPILL!","#CONNECT!","#BLOCKED!","#UNKNOWN!","#FIELD!","#CALC!"),"an error"),IF(IFERROR(AND(ROWS(_xlfn.ANCHORARRAY('Boss Arena'!$M$30))=ROWS(_xlfn.ANCHORARRAY(Key!$E$3201)),COLUMNS(_xlfn.ANCHORARRAY('Boss Arena'!$M$30))=COLUMNS(_xlfn.ANCHORARRAY(Key!$E$3201)),SUM(--(_xlfn.ANCHORARRAY('Boss Arena'!$M$30)=_xlfn.ANCHORARRAY(Key!$E$3201)))=ROWS(_xlfn.ANCHORARRAY(Key!$E$3201))*COLUMNS(_xlfn.ANCHORARRAY(Key!$E$3201))),FALSE),IF(AND(OR(ISNUMBER(FIND({"=","(",",","+","-","*","/","&amp;"," ","&lt;","&gt;",":","@","^"}&amp;"UNIQUE"&amp;"(",UPPER(_xlfn.FORMULATEXT('Boss Arena'!$M$30)))))),"✔ CLEAR","✘ CLOSE · right result, but use UNIQUE"),"✘ TRY AGAIN")))),"LOCKED")</f>
        <v>LOCKED</v>
      </c>
      <c r="E30" s="22"/>
      <c r="F30" s="23" cm="1" t="str">
        <f t="array" ref="F30">IF(E30="Show hint",Key!$B$92,"")</f>
        <v/>
      </c>
      <c r="G30" s="24" cm="1">
        <f t="array" ref="G30">IF(LEFT(D30,1)="✔",IF(E30="Show hint",5,10),0)</f>
        <v>0</v>
      </c>
    </row>
    <row r="31" spans="1:7" ht="35.5" customHeight="1">
      <c r="A31" s="18" t="s">
        <v>614</v>
      </c>
      <c r="B31" s="32" cm="1" t="str">
        <f t="array" ref="B31">IF($C$10="OPEN","In O30 count the different Products.","LOCKED · earn ★ on every stage to open the Boss gate")</f>
        <v>LOCKED · earn ★ on every stage to open the Boss gate</v>
      </c>
      <c r="C31" s="11" t="s">
        <v>615</v>
      </c>
      <c r="D31" s="21" cm="1" t="str">
        <f t="array" ref="D31">IF($C$10="OPEN",IF(ISBLANK('Boss Arena'!$O$30),"",IF(NOT(_xlfn.ISFORMULA('Boss Arena'!$O$30)),"✘ That's a typed value · enter a formula",IF(ISERROR('Boss Arena'!$O$30),"✘ Your formula returns "&amp;IFERROR(CHOOSE(ERROR.TYPE('Boss Arena'!$O$30),"#NULL!","#DIV/0!","#VALUE!","#REF!","#NAME?","#NUM!","#N/A","#GETTING_DATA","#SPILL!","#CONNECT!","#BLOCKED!","#UNKNOWN!","#FIELD!","#CALC!"),"an error"),IF(NOT(AND(IFERROR(AND(ISNUMBER('Boss Arena'!$O$30),ABS('Boss Arena'!$O$30-Key!$C$93)&lt;=1E-9*MAX(1,ABS(Key!$C$93))),FALSE))),"✘ TRY AGAIN",IF(AND(OR(OR(ISNUMBER(FIND({"=","(",",","+","-","*","/","&amp;"," ","&lt;","&gt;",":","@","^"}&amp;"COUNTA"&amp;"(",UPPER(_xlfn.FORMULATEXT('Boss Arena'!$O$30))))),OR(ISNUMBER(FIND({"=","(",",","+","-","*","/","&amp;"," ","&lt;","&gt;",":","@","^"}&amp;"ROWS"&amp;"(",UPPER(_xlfn.FORMULATEXT('Boss Arena'!$O$30)))))),OR(ISNUMBER(FIND({"=","(",",","+","-","*","/","&amp;"," ","&lt;","&gt;",":","@","^"}&amp;"UNIQUE"&amp;"(",UPPER(_xlfn.FORMULATEXT('Boss Arena'!$O$30)))))),"✔ CLEAR","✘ CLOSE · right value, but use COUNTA/ROWS and UNIQUE"))))),"LOCKED")</f>
        <v>LOCKED</v>
      </c>
      <c r="E31" s="22"/>
      <c r="F31" s="23" cm="1" t="str">
        <f t="array" ref="F31">IF(E31="Show hint",Key!$B$93,"")</f>
        <v/>
      </c>
      <c r="G31" s="24" cm="1">
        <f t="array" ref="G31">IF(LEFT(D31,1)="✔",IF(E31="Show hint",5,10),0)</f>
        <v>0</v>
      </c>
    </row>
    <row r="32" spans="1:7" ht="35.5" customHeight="1">
      <c r="A32" s="18" t="s">
        <v>618</v>
      </c>
      <c r="B32" s="32" cm="1" t="str">
        <f t="array" ref="B32">IF($C$10="OPEN","In Q30 spill each Rep once, sorted A→Z.","LOCKED · earn ★ on every stage to open the Boss gate")</f>
        <v>LOCKED · earn ★ on every stage to open the Boss gate</v>
      </c>
      <c r="C32" s="11" t="s">
        <v>619</v>
      </c>
      <c r="D32" s="21" cm="1" t="str">
        <f t="array" ref="D32">IF($C$10="OPEN",IF(ISBLANK('Boss Arena'!$Q$30),"",IF(NOT(_xlfn.ISFORMULA('Boss Arena'!$Q$30)),"✘ That's a typed value · enter a formula",IF(ISERROR('Boss Arena'!$Q$30),"✘ Your formula returns "&amp;IFERROR(CHOOSE(ERROR.TYPE('Boss Arena'!$Q$30),"#NULL!","#DIV/0!","#VALUE!","#REF!","#NAME?","#NUM!","#N/A","#GETTING_DATA","#SPILL!","#CONNECT!","#BLOCKED!","#UNKNOWN!","#FIELD!","#CALC!"),"an error"),IF(IFERROR(AND(ROWS(_xlfn.ANCHORARRAY('Boss Arena'!$Q$30))=ROWS(_xlfn.ANCHORARRAY(Key!$E$3301)),COLUMNS(_xlfn.ANCHORARRAY('Boss Arena'!$Q$30))=COLUMNS(_xlfn.ANCHORARRAY(Key!$E$3301)),SUM(--(_xlfn.ANCHORARRAY('Boss Arena'!$Q$30)=_xlfn.ANCHORARRAY(Key!$E$3301)))=ROWS(_xlfn.ANCHORARRAY(Key!$E$3301))*COLUMNS(_xlfn.ANCHORARRAY(Key!$E$3301))),FALSE),IF(AND(OR(OR(ISNUMBER(FIND({"=","(",",","+","-","*","/","&amp;"," ","&lt;","&gt;",":","@","^"}&amp;"SORT"&amp;"(",UPPER(_xlfn.FORMULATEXT('Boss Arena'!$Q$30))))),OR(ISNUMBER(FIND({"=","(",",","+","-","*","/","&amp;"," ","&lt;","&gt;",":","@","^"}&amp;"SORTBY"&amp;"(",UPPER(_xlfn.FORMULATEXT('Boss Arena'!$Q$30)))))),OR(ISNUMBER(FIND({"=","(",",","+","-","*","/","&amp;"," ","&lt;","&gt;",":","@","^"}&amp;"UNIQUE"&amp;"(",UPPER(_xlfn.FORMULATEXT('Boss Arena'!$Q$30)))))),"✔ CLEAR","✘ CLOSE · right result, but use SORT/SORTBY and UNIQUE"),"✘ TRY AGAIN")))),"LOCKED")</f>
        <v>LOCKED</v>
      </c>
      <c r="E32" s="22"/>
      <c r="F32" s="23" cm="1" t="str">
        <f t="array" ref="F32">IF(E32="Show hint",Key!$B$94,"")</f>
        <v/>
      </c>
      <c r="G32" s="24" cm="1">
        <f t="array" ref="G32">IF(LEFT(D32,1)="✔",IF(E32="Show hint",5,10),0)</f>
        <v>0</v>
      </c>
    </row>
    <row r="33" spans="1:7" ht="35.5" customHeight="1">
      <c r="A33" s="18" t="s">
        <v>622</v>
      </c>
      <c r="B33" s="32" cm="1" t="str">
        <f t="array" ref="B33">IF($C$10="OPEN","In U13 add up the whole spill in U6 with U6#.","LOCKED · earn ★ on every stage to open the Boss gate")</f>
        <v>LOCKED · earn ★ on every stage to open the Boss gate</v>
      </c>
      <c r="C33" s="11" t="s">
        <v>623</v>
      </c>
      <c r="D33" s="21" cm="1" t="str">
        <f t="array" ref="D33">IF($C$10="OPEN",IF(ISBLANK('Boss Arena'!$U$13),"",IF(NOT(_xlfn.ISFORMULA('Boss Arena'!$U$13)),"✘ That's a typed value · enter a formula",IF(ISERROR('Boss Arena'!$U$13),"✘ Your formula returns "&amp;IFERROR(CHOOSE(ERROR.TYPE('Boss Arena'!$U$13),"#NULL!","#DIV/0!","#VALUE!","#REF!","#NAME?","#NUM!","#N/A","#GETTING_DATA","#SPILL!","#CONNECT!","#BLOCKED!","#UNKNOWN!","#FIELD!","#CALC!"),"an error"),IF(NOT(AND(IFERROR(AND(ISNUMBER('Boss Arena'!$U$13),ABS('Boss Arena'!$U$13-Key!$C$95)&lt;=1E-9*MAX(1,ABS(Key!$C$95))),FALSE))),"✘ TRY AGAIN",IF(ISNUMBER(FIND("#",_xlfn.FORMULATEXT('Boss Arena'!$U$13))),"✔ CLEAR","✘ CLOSE · your formula needs #"))))),"LOCKED")</f>
        <v>LOCKED</v>
      </c>
      <c r="E33" s="22"/>
      <c r="F33" s="23" cm="1" t="str">
        <f t="array" ref="F33">IF(E33="Show hint",Key!$B$95,"")</f>
        <v/>
      </c>
      <c r="G33" s="24" cm="1">
        <f t="array" ref="G33">IF(LEFT(D33,1)="✔",IF(E33="Show hint",5,10),0)</f>
        <v>0</v>
      </c>
    </row>
    <row r="34" spans="1:7" ht="35.5" customHeight="1">
      <c r="A34" s="18" t="s">
        <v>626</v>
      </c>
      <c r="B34" s="32" cm="1" t="str">
        <f t="array" ref="B34">IF($C$10="OPEN","In W6 spill the Order IDs sorted by Date, newest first, with SORTBY.","LOCKED · earn ★ on every stage to open the Boss gate")</f>
        <v>LOCKED · earn ★ on every stage to open the Boss gate</v>
      </c>
      <c r="C34" s="11" t="s">
        <v>627</v>
      </c>
      <c r="D34" s="21" cm="1" t="str">
        <f t="array" ref="D34">IF($C$10="OPEN",IF(ISBLANK('Boss Arena'!$W$6),"",IF(NOT(_xlfn.ISFORMULA('Boss Arena'!$W$6)),"✘ That's a typed value · enter a formula",IF(ISERROR('Boss Arena'!$W$6),"✘ Your formula returns "&amp;IFERROR(CHOOSE(ERROR.TYPE('Boss Arena'!$W$6),"#NULL!","#DIV/0!","#VALUE!","#REF!","#NAME?","#NUM!","#N/A","#GETTING_DATA","#SPILL!","#CONNECT!","#BLOCKED!","#UNKNOWN!","#FIELD!","#CALC!"),"an error"),IF(IFERROR(AND(ROWS(_xlfn.ANCHORARRAY('Boss Arena'!$W$6))=ROWS(_xlfn.ANCHORARRAY(Key!$E$3401)),COLUMNS(_xlfn.ANCHORARRAY('Boss Arena'!$W$6))=COLUMNS(_xlfn.ANCHORARRAY(Key!$E$3401)),SUM(--(_xlfn.ANCHORARRAY('Boss Arena'!$W$6)=_xlfn.ANCHORARRAY(Key!$E$3401)))=ROWS(_xlfn.ANCHORARRAY(Key!$E$3401))*COLUMNS(_xlfn.ANCHORARRAY(Key!$E$3401))),FALSE),IF(AND(OR(ISNUMBER(FIND({"=","(",",","+","-","*","/","&amp;"," ","&lt;","&gt;",":","@","^"}&amp;"SORTBY"&amp;"(",UPPER(_xlfn.FORMULATEXT('Boss Arena'!$W$6)))))),"✔ CLEAR","✘ CLOSE · right result, but use SORTBY"),"✘ TRY AGAIN")))),"LOCKED")</f>
        <v>LOCKED</v>
      </c>
      <c r="E34" s="22"/>
      <c r="F34" s="23" cm="1" t="str">
        <f t="array" ref="F34">IF(E34="Show hint",Key!$B$96,"")</f>
        <v/>
      </c>
      <c r="G34" s="24" cm="1">
        <f t="array" ref="G34">IF(LEFT(D34,1)="✔",IF(E34="Show hint",5,10),0)</f>
        <v>0</v>
      </c>
    </row>
    <row r="35" spans="1:7" ht="35.5" customHeight="1">
      <c r="A35" s="18" t="s">
        <v>630</v>
      </c>
      <c r="B35" s="32" cm="1" t="str">
        <f t="array" ref="B35">IF($C$10="OPEN","In W30 filter the Order IDs for the region ""Central"" and show None when nothing matches.","LOCKED · earn ★ on every stage to open the Boss gate")</f>
        <v>LOCKED · earn ★ on every stage to open the Boss gate</v>
      </c>
      <c r="C35" s="11" t="s">
        <v>631</v>
      </c>
      <c r="D35" s="21" cm="1" t="str">
        <f t="array" ref="D35">IF($C$10="OPEN",IF(ISBLANK('Boss Arena'!$W$30),"",IF(NOT(_xlfn.ISFORMULA('Boss Arena'!$W$30)),"✘ That's a typed value · enter a formula",IF(ISERROR('Boss Arena'!$W$30),"✘ Your formula returns "&amp;IFERROR(CHOOSE(ERROR.TYPE('Boss Arena'!$W$30),"#NULL!","#DIV/0!","#VALUE!","#REF!","#NAME?","#NUM!","#N/A","#GETTING_DATA","#SPILL!","#CONNECT!","#BLOCKED!","#UNKNOWN!","#FIELD!","#CALC!"),"an error"),IF(NOT(AND(IFERROR(AND(ISTEXT('Boss Arena'!$W$30),'Boss Arena'!$W$30=Key!$C$97),FALSE))),"✘ TRY AGAIN",IF(AND(OR(ISNUMBER(FIND({"=","(",",","+","-","*","/","&amp;"," ","&lt;","&gt;",":","@","^"}&amp;"FILTER"&amp;"(",UPPER(_xlfn.FORMULATEXT('Boss Arena'!$W$30)))))),"✔ CLEAR","✘ CLOSE · right value, but use FILTER"))))),"LOCKED")</f>
        <v>LOCKED</v>
      </c>
      <c r="E35" s="22"/>
      <c r="F35" s="23" cm="1" t="str">
        <f t="array" ref="F35">IF(E35="Show hint",Key!$B$97,"")</f>
        <v/>
      </c>
      <c r="G35" s="24" cm="1">
        <f t="array" ref="G35">IF(LEFT(D35,1)="✔",IF(E35="Show hint",5,10),0)</f>
        <v>0</v>
      </c>
    </row>
  </sheetData>
  <sheetProtection sheet="1" objects="1" scenarios="1" formatColumns="0" formatRows="0"/>
  <conditionalFormatting sqref="D14:D35">
    <cfRule type="expression" dxfId="0" priority="1">
      <formula>LEFT($D14,1)="✔"</formula>
    </cfRule>
    <cfRule type="expression" dxfId="1" priority="2">
      <formula>LEFT($D14,1)="✘"</formula>
    </cfRule>
    <cfRule type="expression" dxfId="2" priority="3">
      <formula>$D14="LOCKED"</formula>
    </cfRule>
  </conditionalFormatting>
  <dataValidations count="28">
    <dataValidation allowBlank="1" showInputMessage="1" showErrorMessage="1" promptTitle="Stamp the time" prompt="Press Ctrl+Shift+: to type the current time." sqref="C6"/>
    <dataValidation allowBlank="1" showInputMessage="1" showErrorMessage="1" promptTitle="Stamp the time" prompt="Press Ctrl+Shift+: to type the current time." sqref="C7"/>
    <dataValidation allowBlank="1" showInputMessage="1" showErrorMessage="1" promptTitle="Type your answer" prompt="Type keys joined with +, like Ctrl+Shift+L. For a function, type its name, like SUMIFS. Case and spaces don't matter." sqref="C14"/>
    <dataValidation type="list" allowBlank="1" showInputMessage="1" showErrorMessage="1" promptTitle="Need a hint?" prompt="Pick 'Show hint' (Alt+Down). This question then gives 5 XP instead of 10." sqref="E14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5"/>
    <dataValidation type="list" allowBlank="1" showInputMessage="1" showErrorMessage="1" promptTitle="Need a hint?" prompt="Pick 'Show hint' (Alt+Down). This question then gives 5 XP instead of 10." sqref="E15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6"/>
    <dataValidation type="list" allowBlank="1" showInputMessage="1" showErrorMessage="1" promptTitle="Need a hint?" prompt="Pick 'Show hint' (Alt+Down). This question then gives 5 XP instead of 10." sqref="E16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7"/>
    <dataValidation type="list" allowBlank="1" showInputMessage="1" showErrorMessage="1" promptTitle="Need a hint?" prompt="Pick 'Show hint' (Alt+Down). This question then gives 5 XP instead of 10." sqref="E17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8"/>
    <dataValidation type="list" allowBlank="1" showInputMessage="1" showErrorMessage="1" promptTitle="Need a hint?" prompt="Pick 'Show hint' (Alt+Down). This question then gives 5 XP instead of 10." sqref="E18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19"/>
    <dataValidation type="list" allowBlank="1" showInputMessage="1" showErrorMessage="1" promptTitle="Need a hint?" prompt="Pick 'Show hint' (Alt+Down). This question then gives 5 XP instead of 10." sqref="E19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0"/>
    <dataValidation type="list" allowBlank="1" showInputMessage="1" showErrorMessage="1" promptTitle="Need a hint?" prompt="Pick 'Show hint' (Alt+Down). This question then gives 5 XP instead of 10." sqref="E20">
      <formula1>"Show hint"</formula1>
    </dataValidation>
    <dataValidation allowBlank="1" showInputMessage="1" showErrorMessage="1" promptTitle="Type your answer" prompt="Type keys joined with +, like Ctrl+Shift+L. For a function, type its name, like SUMIFS. Case and spaces don't matter." sqref="C21"/>
    <dataValidation type="list" allowBlank="1" showInputMessage="1" showErrorMessage="1" promptTitle="Need a hint?" prompt="Pick 'Show hint' (Alt+Down). This question then gives 5 XP instead of 10." sqref="E21">
      <formula1>"Show hint"</formula1>
    </dataValidation>
    <dataValidation type="list" allowBlank="1" showInputMessage="1" showErrorMessage="1" promptTitle="Need a hint?" prompt="Pick 'Show hint' (Alt+Down). This question then gives 5 XP instead of 10." sqref="E26">
      <formula1>"Show hint"</formula1>
    </dataValidation>
    <dataValidation type="list" allowBlank="1" showInputMessage="1" showErrorMessage="1" promptTitle="Need a hint?" prompt="Pick 'Show hint' (Alt+Down). This question then gives 5 XP instead of 10." sqref="E27">
      <formula1>"Show hint"</formula1>
    </dataValidation>
    <dataValidation type="list" allowBlank="1" showInputMessage="1" showErrorMessage="1" promptTitle="Need a hint?" prompt="Pick 'Show hint' (Alt+Down). This question then gives 5 XP instead of 10." sqref="E28">
      <formula1>"Show hint"</formula1>
    </dataValidation>
    <dataValidation type="list" allowBlank="1" showInputMessage="1" showErrorMessage="1" promptTitle="Need a hint?" prompt="Pick 'Show hint' (Alt+Down). This question then gives 5 XP instead of 10." sqref="E29">
      <formula1>"Show hint"</formula1>
    </dataValidation>
    <dataValidation type="list" allowBlank="1" showInputMessage="1" showErrorMessage="1" promptTitle="Need a hint?" prompt="Pick 'Show hint' (Alt+Down). This question then gives 5 XP instead of 10." sqref="E30">
      <formula1>"Show hint"</formula1>
    </dataValidation>
    <dataValidation type="list" allowBlank="1" showInputMessage="1" showErrorMessage="1" promptTitle="Need a hint?" prompt="Pick 'Show hint' (Alt+Down). This question then gives 5 XP instead of 10." sqref="E31">
      <formula1>"Show hint"</formula1>
    </dataValidation>
    <dataValidation type="list" allowBlank="1" showInputMessage="1" showErrorMessage="1" promptTitle="Need a hint?" prompt="Pick 'Show hint' (Alt+Down). This question then gives 5 XP instead of 10." sqref="E32">
      <formula1>"Show hint"</formula1>
    </dataValidation>
    <dataValidation type="list" allowBlank="1" showInputMessage="1" showErrorMessage="1" promptTitle="Need a hint?" prompt="Pick 'Show hint' (Alt+Down). This question then gives 5 XP instead of 10." sqref="E33">
      <formula1>"Show hint"</formula1>
    </dataValidation>
    <dataValidation type="list" allowBlank="1" showInputMessage="1" showErrorMessage="1" promptTitle="Need a hint?" prompt="Pick 'Show hint' (Alt+Down). This question then gives 5 XP instead of 10." sqref="E34">
      <formula1>"Show hint"</formula1>
    </dataValidation>
    <dataValidation type="list" allowBlank="1" showInputMessage="1" showErrorMessage="1" promptTitle="Need a hint?" prompt="Pick 'Show hint' (Alt+Down). This question then gives 5 XP instead of 10." sqref="E35">
      <formula1>"Show hint"</formula1>
    </dataValidation>
  </dataValidations>
  <hyperlinks>
    <hyperlink ref="B24" location="'Boss Arena'!A1" display="▶ Open Boss Arena (or press Ctrl+PgDn)"/>
    <hyperlink ref="C26" location="'Boss Arena'!K6" tooltip="Go to Boss Arena, cell K6" display="▶ ARENA B1 (cell K6)"/>
    <hyperlink ref="C27" location="'Boss Arena'!M6" tooltip="Go to Boss Arena, cell M6" display="▶ ARENA B2 (cell M6)"/>
    <hyperlink ref="C28" location="'Boss Arena'!K14" tooltip="Go to Boss Arena, cell K14" display="▶ ARENA B3 (cell K14)"/>
    <hyperlink ref="C29" location="'Boss Arena'!K30" tooltip="Go to Boss Arena, cell K30" display="▶ ARENA B4 (cell K30)"/>
    <hyperlink ref="C30" location="'Boss Arena'!M30" tooltip="Go to Boss Arena, cell M30" display="▶ ARENA B5 (cell M30)"/>
    <hyperlink ref="C31" location="'Boss Arena'!O30" tooltip="Go to Boss Arena, cell O30" display="▶ ARENA B6 (cell O30)"/>
    <hyperlink ref="C32" location="'Boss Arena'!Q30" tooltip="Go to Boss Arena, cell Q30" display="▶ ARENA B7 (cell Q30)"/>
    <hyperlink ref="C33" location="'Boss Arena'!U13" tooltip="Go to Boss Arena, cell U13" display="▶ ARENA B8 (cell U13)"/>
    <hyperlink ref="C34" location="'Boss Arena'!W6" tooltip="Go to Boss Arena, cell W6" display="▶ ARENA B9 (cell W6)"/>
    <hyperlink ref="C35" location="'Boss Arena'!W30" tooltip="Go to Boss Arena, cell W30" display="▶ ARENA B10 (cell W30)"/>
  </hyperlinks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30"/>
  <sheetViews>
    <sheetView workbookViewId="0"/>
  </sheetViews>
  <sheetFormatPr defaultRowHeight="15"/>
  <cols>
    <col min="1" max="1" width="14.7109375" customWidth="1"/>
    <col min="2" max="2" width="13.7109375" customWidth="1"/>
    <col min="3" max="3" width="11.7109375" customWidth="1"/>
    <col min="4" max="26" width="13.7109375" customWidth="1"/>
  </cols>
  <sheetData>
    <row r="1" spans="1:23">
      <c r="A1" s="1" t="s">
        <v>555</v>
      </c>
    </row>
    <row r="2" spans="1:23">
      <c r="A2" s="3" t="s">
        <v>5</v>
      </c>
    </row>
    <row r="3" spans="1:23">
      <c r="A3" s="25" t="s">
        <v>6</v>
      </c>
      <c r="B3" s="26" t="s">
        <v>556</v>
      </c>
      <c r="D3" s="11" t="s">
        <v>557</v>
      </c>
    </row>
    <row r="5" spans="1:23">
      <c r="B5" s="27" t="s">
        <v>9</v>
      </c>
      <c r="C5" s="27" t="s">
        <v>10</v>
      </c>
      <c r="D5" s="27" t="s">
        <v>11</v>
      </c>
      <c r="E5" s="27" t="s">
        <v>12</v>
      </c>
      <c r="F5" s="27" t="s">
        <v>13</v>
      </c>
      <c r="G5" s="27" t="s">
        <v>14</v>
      </c>
      <c r="H5" s="27" t="s">
        <v>15</v>
      </c>
      <c r="K5" s="27" t="s">
        <v>558</v>
      </c>
      <c r="M5" s="27" t="s">
        <v>559</v>
      </c>
      <c r="U5" s="27" t="s">
        <v>564</v>
      </c>
      <c r="W5" s="27" t="s">
        <v>331</v>
      </c>
    </row>
    <row r="6" spans="1:23">
      <c r="B6" s="5" t="s">
        <v>16</v>
      </c>
      <c r="C6" s="28">
        <v>46027</v>
      </c>
      <c r="D6" s="5" t="s">
        <v>17</v>
      </c>
      <c r="E6" s="5" t="s">
        <v>18</v>
      </c>
      <c r="F6" s="5" t="s">
        <v>19</v>
      </c>
      <c r="G6" s="5">
        <v>40</v>
      </c>
      <c r="H6" s="5">
        <v>1200</v>
      </c>
      <c r="K6" s="29"/>
      <c r="M6" s="29"/>
      <c r="U6" s="5" cm="1">
        <f t="array" ref="U6">_xlfn.SEQUENCE(3,1,5,5)</f>
        <v>5</v>
      </c>
      <c r="W6" s="29"/>
    </row>
    <row r="7" spans="1:23">
      <c r="B7" s="5" t="s">
        <v>20</v>
      </c>
      <c r="C7" s="28">
        <v>46031</v>
      </c>
      <c r="D7" s="5" t="s">
        <v>21</v>
      </c>
      <c r="E7" s="5" t="s">
        <v>22</v>
      </c>
      <c r="F7" s="5" t="s">
        <v>23</v>
      </c>
      <c r="G7" s="5">
        <v>15</v>
      </c>
      <c r="H7" s="5">
        <v>900</v>
      </c>
    </row>
    <row r="8" spans="1:23">
      <c r="B8" s="5" t="s">
        <v>24</v>
      </c>
      <c r="C8" s="28">
        <v>46036</v>
      </c>
      <c r="D8" s="5" t="s">
        <v>25</v>
      </c>
      <c r="E8" s="5" t="s">
        <v>26</v>
      </c>
      <c r="F8" s="5" t="s">
        <v>19</v>
      </c>
      <c r="G8" s="5">
        <v>55</v>
      </c>
      <c r="H8" s="5">
        <v>1650</v>
      </c>
    </row>
    <row r="9" spans="1:23">
      <c r="B9" s="5" t="s">
        <v>27</v>
      </c>
      <c r="C9" s="28">
        <v>46042</v>
      </c>
      <c r="D9" s="5" t="s">
        <v>17</v>
      </c>
      <c r="E9" s="5" t="s">
        <v>18</v>
      </c>
      <c r="F9" s="5" t="s">
        <v>28</v>
      </c>
      <c r="G9" s="5">
        <v>20</v>
      </c>
      <c r="H9" s="5">
        <v>1000</v>
      </c>
    </row>
    <row r="10" spans="1:23">
      <c r="B10" s="5" t="s">
        <v>29</v>
      </c>
      <c r="C10" s="28">
        <v>46055</v>
      </c>
      <c r="D10" s="5" t="s">
        <v>30</v>
      </c>
      <c r="E10" s="5" t="s">
        <v>31</v>
      </c>
      <c r="F10" s="5" t="s">
        <v>23</v>
      </c>
      <c r="G10" s="5">
        <v>60</v>
      </c>
      <c r="H10" s="5">
        <v>3600</v>
      </c>
    </row>
    <row r="11" spans="1:23">
      <c r="B11" s="5" t="s">
        <v>32</v>
      </c>
      <c r="C11" s="28">
        <v>46060</v>
      </c>
      <c r="D11" s="5" t="s">
        <v>21</v>
      </c>
      <c r="E11" s="5" t="s">
        <v>22</v>
      </c>
      <c r="F11" s="5" t="s">
        <v>19</v>
      </c>
      <c r="G11" s="5">
        <v>35</v>
      </c>
      <c r="H11" s="5">
        <v>1050</v>
      </c>
    </row>
    <row r="12" spans="1:23">
      <c r="B12" s="5" t="s">
        <v>33</v>
      </c>
      <c r="C12" s="28">
        <v>46064</v>
      </c>
      <c r="D12" s="5" t="s">
        <v>17</v>
      </c>
      <c r="E12" s="5" t="s">
        <v>26</v>
      </c>
      <c r="F12" s="5" t="s">
        <v>23</v>
      </c>
      <c r="G12" s="5">
        <v>25</v>
      </c>
      <c r="H12" s="5">
        <v>1500</v>
      </c>
      <c r="U12" s="7" t="s">
        <v>565</v>
      </c>
    </row>
    <row r="13" spans="1:23">
      <c r="B13" s="5" t="s">
        <v>34</v>
      </c>
      <c r="C13" s="28">
        <v>46072</v>
      </c>
      <c r="D13" s="5" t="s">
        <v>25</v>
      </c>
      <c r="E13" s="5" t="s">
        <v>31</v>
      </c>
      <c r="F13" s="5" t="s">
        <v>28</v>
      </c>
      <c r="G13" s="5">
        <v>45</v>
      </c>
      <c r="H13" s="5">
        <v>2250</v>
      </c>
      <c r="K13" s="27" t="s">
        <v>560</v>
      </c>
      <c r="U13" s="29"/>
    </row>
    <row r="14" spans="1:23">
      <c r="B14" s="5" t="s">
        <v>35</v>
      </c>
      <c r="C14" s="28">
        <v>46084</v>
      </c>
      <c r="D14" s="5" t="s">
        <v>21</v>
      </c>
      <c r="E14" s="5" t="s">
        <v>18</v>
      </c>
      <c r="F14" s="5" t="s">
        <v>28</v>
      </c>
      <c r="G14" s="5">
        <v>10</v>
      </c>
      <c r="H14" s="5">
        <v>500</v>
      </c>
      <c r="K14" s="29"/>
    </row>
    <row r="15" spans="1:23">
      <c r="B15" s="5" t="s">
        <v>36</v>
      </c>
      <c r="C15" s="28">
        <v>46089</v>
      </c>
      <c r="D15" s="5" t="s">
        <v>17</v>
      </c>
      <c r="E15" s="5" t="s">
        <v>22</v>
      </c>
      <c r="F15" s="5" t="s">
        <v>19</v>
      </c>
      <c r="G15" s="5">
        <v>70</v>
      </c>
      <c r="H15" s="5">
        <v>2100</v>
      </c>
    </row>
    <row r="16" spans="1:23">
      <c r="B16" s="5" t="s">
        <v>37</v>
      </c>
      <c r="C16" s="28">
        <v>46096</v>
      </c>
      <c r="D16" s="5" t="s">
        <v>30</v>
      </c>
      <c r="E16" s="5" t="s">
        <v>26</v>
      </c>
      <c r="F16" s="5" t="s">
        <v>19</v>
      </c>
      <c r="G16" s="5">
        <v>30</v>
      </c>
      <c r="H16" s="5">
        <v>900</v>
      </c>
    </row>
    <row r="17" spans="2:23">
      <c r="B17" s="5" t="s">
        <v>38</v>
      </c>
      <c r="C17" s="28">
        <v>46103</v>
      </c>
      <c r="D17" s="5" t="s">
        <v>25</v>
      </c>
      <c r="E17" s="5" t="s">
        <v>18</v>
      </c>
      <c r="F17" s="5" t="s">
        <v>23</v>
      </c>
      <c r="G17" s="5">
        <v>50</v>
      </c>
      <c r="H17" s="5">
        <v>3000</v>
      </c>
    </row>
    <row r="18" spans="2:23">
      <c r="B18" s="5" t="s">
        <v>39</v>
      </c>
      <c r="C18" s="28">
        <v>46113</v>
      </c>
      <c r="D18" s="5" t="s">
        <v>17</v>
      </c>
      <c r="E18" s="5" t="s">
        <v>31</v>
      </c>
      <c r="F18" s="5" t="s">
        <v>28</v>
      </c>
      <c r="G18" s="5">
        <v>65</v>
      </c>
      <c r="H18" s="5">
        <v>3250</v>
      </c>
    </row>
    <row r="19" spans="2:23">
      <c r="B19" s="5" t="s">
        <v>40</v>
      </c>
      <c r="C19" s="28">
        <v>46118</v>
      </c>
      <c r="D19" s="5" t="s">
        <v>21</v>
      </c>
      <c r="E19" s="5" t="s">
        <v>26</v>
      </c>
      <c r="F19" s="5" t="s">
        <v>23</v>
      </c>
      <c r="G19" s="5">
        <v>20</v>
      </c>
      <c r="H19" s="5">
        <v>1200</v>
      </c>
    </row>
    <row r="20" spans="2:23">
      <c r="B20" s="5" t="s">
        <v>41</v>
      </c>
      <c r="C20" s="28">
        <v>46125</v>
      </c>
      <c r="D20" s="5" t="s">
        <v>30</v>
      </c>
      <c r="E20" s="5" t="s">
        <v>22</v>
      </c>
      <c r="F20" s="5" t="s">
        <v>28</v>
      </c>
      <c r="G20" s="5">
        <v>15</v>
      </c>
      <c r="H20" s="5">
        <v>750</v>
      </c>
    </row>
    <row r="21" spans="2:23">
      <c r="B21" s="5" t="s">
        <v>42</v>
      </c>
      <c r="C21" s="28">
        <v>46133</v>
      </c>
      <c r="D21" s="5" t="s">
        <v>17</v>
      </c>
      <c r="E21" s="5" t="s">
        <v>18</v>
      </c>
      <c r="F21" s="5" t="s">
        <v>19</v>
      </c>
      <c r="G21" s="5">
        <v>50</v>
      </c>
      <c r="H21" s="5">
        <v>1500</v>
      </c>
    </row>
    <row r="22" spans="2:23">
      <c r="B22" s="5" t="s">
        <v>43</v>
      </c>
      <c r="C22" s="28">
        <v>46146</v>
      </c>
      <c r="D22" s="5" t="s">
        <v>25</v>
      </c>
      <c r="E22" s="5" t="s">
        <v>22</v>
      </c>
      <c r="F22" s="5" t="s">
        <v>19</v>
      </c>
      <c r="G22" s="5">
        <v>25</v>
      </c>
      <c r="H22" s="5">
        <v>750</v>
      </c>
    </row>
    <row r="23" spans="2:23">
      <c r="B23" s="5" t="s">
        <v>44</v>
      </c>
      <c r="C23" s="28">
        <v>46154</v>
      </c>
      <c r="D23" s="5" t="s">
        <v>21</v>
      </c>
      <c r="E23" s="5" t="s">
        <v>31</v>
      </c>
      <c r="F23" s="5" t="s">
        <v>23</v>
      </c>
      <c r="G23" s="5">
        <v>40</v>
      </c>
      <c r="H23" s="5">
        <v>2400</v>
      </c>
    </row>
    <row r="24" spans="2:23">
      <c r="B24" s="5" t="s">
        <v>45</v>
      </c>
      <c r="C24" s="28">
        <v>46161</v>
      </c>
      <c r="D24" s="5" t="s">
        <v>30</v>
      </c>
      <c r="E24" s="5" t="s">
        <v>18</v>
      </c>
      <c r="F24" s="5" t="s">
        <v>28</v>
      </c>
      <c r="G24" s="5">
        <v>35</v>
      </c>
      <c r="H24" s="5">
        <v>1750</v>
      </c>
    </row>
    <row r="25" spans="2:23">
      <c r="B25" s="5" t="s">
        <v>46</v>
      </c>
      <c r="C25" s="28">
        <v>46169</v>
      </c>
      <c r="D25" s="5" t="s">
        <v>17</v>
      </c>
      <c r="E25" s="5" t="s">
        <v>26</v>
      </c>
      <c r="F25" s="5" t="s">
        <v>23</v>
      </c>
      <c r="G25" s="5">
        <v>55</v>
      </c>
      <c r="H25" s="5">
        <v>3300</v>
      </c>
    </row>
    <row r="29" spans="2:23">
      <c r="K29" s="27" t="s">
        <v>561</v>
      </c>
      <c r="M29" s="27" t="s">
        <v>562</v>
      </c>
      <c r="O29" s="27" t="s">
        <v>563</v>
      </c>
      <c r="Q29" s="27" t="s">
        <v>454</v>
      </c>
      <c r="W29" s="27" t="s">
        <v>566</v>
      </c>
    </row>
    <row r="30" spans="2:23">
      <c r="K30" s="29"/>
      <c r="M30" s="29"/>
      <c r="O30" s="29"/>
      <c r="Q30" s="29"/>
      <c r="W30" s="29"/>
    </row>
  </sheetData>
  <hyperlinks>
    <hyperlink ref="D3" location="Boss!A1" display="◀ Back to Boss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14213D"/>
    <pageSetUpPr fitToPage="1"/>
  </sheetPr>
  <dimension ref="A1:D1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50.7109375" customWidth="1"/>
    <col min="4" max="4" width="56.7109375" customWidth="1"/>
  </cols>
  <sheetData>
    <row r="1" spans="1:4" ht="34" customHeight="1">
      <c r="A1" s="1" t="s">
        <v>670</v>
      </c>
      <c r="B1" s="2"/>
      <c r="C1" s="2"/>
      <c r="D1" s="2"/>
    </row>
    <row r="2" spans="1:4">
      <c r="A2" s="3" t="s">
        <v>671</v>
      </c>
    </row>
    <row r="4" spans="1:4">
      <c r="A4" s="6" t="s">
        <v>643</v>
      </c>
      <c r="B4" s="6" t="s">
        <v>55</v>
      </c>
      <c r="C4" s="6" t="s">
        <v>672</v>
      </c>
      <c r="D4" s="6" t="s">
        <v>673</v>
      </c>
    </row>
    <row r="5" spans="1:4" ht="35.5" customHeight="1">
      <c r="A5" s="18" t="s">
        <v>649</v>
      </c>
      <c r="B5" s="19" t="s">
        <v>58</v>
      </c>
      <c r="C5" s="8" t="s">
        <v>674</v>
      </c>
      <c r="D5" s="8" t="s">
        <v>675</v>
      </c>
    </row>
    <row r="6" spans="1:4" ht="35.5" customHeight="1">
      <c r="A6" s="18" t="s">
        <v>649</v>
      </c>
      <c r="B6" s="19" t="s">
        <v>61</v>
      </c>
      <c r="C6" s="8" t="s">
        <v>676</v>
      </c>
      <c r="D6" s="8" t="s">
        <v>677</v>
      </c>
    </row>
    <row r="7" spans="1:4" ht="35.5" customHeight="1">
      <c r="A7" s="18" t="s">
        <v>649</v>
      </c>
      <c r="B7" s="19" t="s">
        <v>64</v>
      </c>
      <c r="C7" s="8" t="s">
        <v>678</v>
      </c>
      <c r="D7" s="8" t="s">
        <v>679</v>
      </c>
    </row>
    <row r="8" spans="1:4" ht="35.5" customHeight="1">
      <c r="A8" s="18" t="s">
        <v>649</v>
      </c>
      <c r="B8" s="19" t="s">
        <v>67</v>
      </c>
      <c r="C8" s="8" t="s">
        <v>680</v>
      </c>
      <c r="D8" s="8" t="s">
        <v>681</v>
      </c>
    </row>
    <row r="9" spans="1:4" ht="35.5" customHeight="1">
      <c r="A9" s="18" t="s">
        <v>652</v>
      </c>
      <c r="B9" s="19" t="s">
        <v>190</v>
      </c>
      <c r="C9" s="8" t="s">
        <v>682</v>
      </c>
      <c r="D9" s="8" t="s">
        <v>683</v>
      </c>
    </row>
    <row r="10" spans="1:4" ht="35.5" customHeight="1">
      <c r="A10" s="18" t="s">
        <v>652</v>
      </c>
      <c r="B10" s="19" t="s">
        <v>175</v>
      </c>
      <c r="C10" s="8" t="s">
        <v>684</v>
      </c>
      <c r="D10" s="8" t="s">
        <v>685</v>
      </c>
    </row>
    <row r="11" spans="1:4" ht="35.5" customHeight="1">
      <c r="A11" s="18" t="s">
        <v>652</v>
      </c>
      <c r="B11" s="19" t="s">
        <v>174</v>
      </c>
      <c r="C11" s="8" t="s">
        <v>686</v>
      </c>
      <c r="D11" s="8" t="s">
        <v>687</v>
      </c>
    </row>
    <row r="12" spans="1:4" ht="35.5" customHeight="1">
      <c r="A12" s="18" t="s">
        <v>655</v>
      </c>
      <c r="B12" s="19" t="s">
        <v>290</v>
      </c>
      <c r="C12" s="8" t="s">
        <v>688</v>
      </c>
      <c r="D12" s="8" t="s">
        <v>689</v>
      </c>
    </row>
    <row r="13" spans="1:4" ht="35.5" customHeight="1">
      <c r="A13" s="18" t="s">
        <v>655</v>
      </c>
      <c r="B13" s="19" t="s">
        <v>289</v>
      </c>
      <c r="C13" s="8" t="s">
        <v>690</v>
      </c>
      <c r="D13" s="8" t="s">
        <v>691</v>
      </c>
    </row>
    <row r="14" spans="1:4" ht="35.5" customHeight="1">
      <c r="A14" s="18" t="s">
        <v>655</v>
      </c>
      <c r="B14" s="19" t="s">
        <v>191</v>
      </c>
      <c r="C14" s="8" t="s">
        <v>692</v>
      </c>
      <c r="D14" s="8" t="s">
        <v>693</v>
      </c>
    </row>
    <row r="15" spans="1:4" ht="35.5" customHeight="1">
      <c r="A15" s="18" t="s">
        <v>658</v>
      </c>
      <c r="B15" s="19" t="s">
        <v>189</v>
      </c>
      <c r="C15" s="8" t="s">
        <v>694</v>
      </c>
      <c r="D15" s="8" t="s">
        <v>695</v>
      </c>
    </row>
    <row r="16" spans="1:4" ht="35.5" customHeight="1">
      <c r="A16" s="18" t="s">
        <v>658</v>
      </c>
      <c r="B16" s="19" t="s">
        <v>180</v>
      </c>
      <c r="C16" s="8" t="s">
        <v>696</v>
      </c>
      <c r="D16" s="8" t="s">
        <v>697</v>
      </c>
    </row>
  </sheetData>
  <sheetProtection sheet="1" objects="1" scenarios="1" formatColumns="0" formatRows="0"/>
  <pageMargins left="0.7" right="0.7" top="0.75" bottom="0.7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3401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E1" t="s">
        <v>3</v>
      </c>
    </row>
    <row r="2" spans="1:16">
      <c r="A2" t="s">
        <v>74</v>
      </c>
      <c r="B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</row>
    <row r="3" spans="1:16">
      <c r="A3" t="s">
        <v>84</v>
      </c>
      <c r="B3" t="s">
        <v>85</v>
      </c>
      <c r="E3" t="s">
        <v>86</v>
      </c>
      <c r="F3" t="s">
        <v>87</v>
      </c>
      <c r="G3" t="s">
        <v>88</v>
      </c>
      <c r="H3" t="s">
        <v>89</v>
      </c>
      <c r="I3" t="s">
        <v>90</v>
      </c>
      <c r="J3" t="s">
        <v>91</v>
      </c>
    </row>
    <row r="4" spans="1:16">
      <c r="A4" t="s">
        <v>94</v>
      </c>
      <c r="B4" t="s">
        <v>95</v>
      </c>
      <c r="E4" t="s">
        <v>96</v>
      </c>
      <c r="F4" t="s">
        <v>97</v>
      </c>
      <c r="G4" t="s">
        <v>98</v>
      </c>
      <c r="H4" t="s">
        <v>99</v>
      </c>
      <c r="I4" t="s">
        <v>100</v>
      </c>
      <c r="J4" t="s">
        <v>101</v>
      </c>
    </row>
    <row r="5" spans="1:16">
      <c r="A5" t="s">
        <v>104</v>
      </c>
      <c r="B5" t="s">
        <v>95</v>
      </c>
      <c r="E5" t="s">
        <v>105</v>
      </c>
      <c r="F5" t="s">
        <v>106</v>
      </c>
      <c r="G5" t="s">
        <v>107</v>
      </c>
      <c r="H5" t="s">
        <v>108</v>
      </c>
      <c r="I5" t="s">
        <v>109</v>
      </c>
      <c r="J5" t="s">
        <v>110</v>
      </c>
    </row>
    <row r="6" spans="1:16">
      <c r="A6" t="s">
        <v>113</v>
      </c>
      <c r="B6" t="s">
        <v>75</v>
      </c>
      <c r="E6" t="s">
        <v>114</v>
      </c>
      <c r="F6" t="s">
        <v>115</v>
      </c>
      <c r="G6" t="s">
        <v>116</v>
      </c>
      <c r="H6" t="s">
        <v>117</v>
      </c>
      <c r="I6" t="s">
        <v>118</v>
      </c>
      <c r="J6" t="s">
        <v>119</v>
      </c>
    </row>
    <row r="7" spans="1:16">
      <c r="A7" t="s">
        <v>122</v>
      </c>
      <c r="B7" t="s">
        <v>85</v>
      </c>
      <c r="E7" t="s">
        <v>123</v>
      </c>
      <c r="F7" t="s">
        <v>124</v>
      </c>
      <c r="G7" t="s">
        <v>125</v>
      </c>
      <c r="H7" t="s">
        <v>126</v>
      </c>
      <c r="I7" t="s">
        <v>127</v>
      </c>
      <c r="J7" t="s">
        <v>128</v>
      </c>
    </row>
    <row r="8" spans="1:16">
      <c r="A8" t="s">
        <v>131</v>
      </c>
      <c r="B8" t="s">
        <v>132</v>
      </c>
      <c r="E8" t="s">
        <v>133</v>
      </c>
      <c r="F8" t="s">
        <v>134</v>
      </c>
      <c r="G8" t="s">
        <v>135</v>
      </c>
      <c r="H8" t="s">
        <v>136</v>
      </c>
      <c r="I8" t="s">
        <v>137</v>
      </c>
      <c r="J8" t="s">
        <v>138</v>
      </c>
    </row>
    <row r="9" spans="1:16">
      <c r="A9" t="s">
        <v>141</v>
      </c>
      <c r="B9" t="s">
        <v>142</v>
      </c>
      <c r="E9" t="s">
        <v>143</v>
      </c>
      <c r="F9" t="s">
        <v>144</v>
      </c>
      <c r="G9" t="s">
        <v>145</v>
      </c>
      <c r="H9" t="s">
        <v>146</v>
      </c>
      <c r="I9" t="s">
        <v>147</v>
      </c>
      <c r="J9" t="s">
        <v>148</v>
      </c>
    </row>
    <row r="10" spans="1:16">
      <c r="A10" t="s">
        <v>151</v>
      </c>
      <c r="B10" t="s">
        <v>152</v>
      </c>
      <c r="E10" t="s">
        <v>153</v>
      </c>
      <c r="F10" t="s">
        <v>154</v>
      </c>
      <c r="G10" t="s">
        <v>155</v>
      </c>
      <c r="H10" t="s">
        <v>156</v>
      </c>
      <c r="I10" t="s">
        <v>157</v>
      </c>
      <c r="J10" t="s">
        <v>158</v>
      </c>
    </row>
    <row r="11" spans="1:16">
      <c r="A11" t="s">
        <v>161</v>
      </c>
      <c r="B11" t="s">
        <v>162</v>
      </c>
      <c r="E11" t="s">
        <v>153</v>
      </c>
      <c r="F11" t="s">
        <v>154</v>
      </c>
      <c r="G11" t="s">
        <v>155</v>
      </c>
      <c r="H11" t="s">
        <v>163</v>
      </c>
      <c r="I11" t="s">
        <v>164</v>
      </c>
      <c r="J11" t="s">
        <v>165</v>
      </c>
      <c r="K11" t="s">
        <v>156</v>
      </c>
      <c r="L11" t="s">
        <v>157</v>
      </c>
      <c r="M11" t="s">
        <v>158</v>
      </c>
      <c r="N11" t="s">
        <v>166</v>
      </c>
      <c r="O11" t="s">
        <v>167</v>
      </c>
      <c r="P11" t="s">
        <v>168</v>
      </c>
    </row>
    <row r="12" spans="1:16">
      <c r="A12" t="s">
        <v>172</v>
      </c>
      <c r="B12" t="s">
        <v>173</v>
      </c>
      <c r="C12" t="s">
        <v>58</v>
      </c>
      <c r="E12" t="s">
        <v>64</v>
      </c>
      <c r="F12" t="s">
        <v>174</v>
      </c>
      <c r="G12" t="s">
        <v>58</v>
      </c>
      <c r="H12" t="s">
        <v>175</v>
      </c>
    </row>
    <row r="13" spans="1:16">
      <c r="A13" t="s">
        <v>178</v>
      </c>
      <c r="B13" t="s">
        <v>179</v>
      </c>
      <c r="C13" t="s">
        <v>61</v>
      </c>
      <c r="E13" t="s">
        <v>180</v>
      </c>
      <c r="F13" t="s">
        <v>64</v>
      </c>
      <c r="G13" t="s">
        <v>175</v>
      </c>
      <c r="H13" t="s">
        <v>61</v>
      </c>
    </row>
    <row r="14" spans="1:16">
      <c r="A14" t="s">
        <v>183</v>
      </c>
      <c r="B14" t="s">
        <v>184</v>
      </c>
      <c r="C14" t="s">
        <v>64</v>
      </c>
      <c r="E14" t="s">
        <v>58</v>
      </c>
      <c r="F14" t="s">
        <v>64</v>
      </c>
      <c r="G14" t="s">
        <v>174</v>
      </c>
      <c r="H14" t="s">
        <v>175</v>
      </c>
    </row>
    <row r="15" spans="1:16">
      <c r="A15" t="s">
        <v>187</v>
      </c>
      <c r="B15" t="s">
        <v>188</v>
      </c>
      <c r="C15" t="s">
        <v>67</v>
      </c>
      <c r="E15" t="s">
        <v>189</v>
      </c>
      <c r="F15" t="s">
        <v>190</v>
      </c>
      <c r="G15" t="s">
        <v>191</v>
      </c>
      <c r="H15" t="s">
        <v>67</v>
      </c>
    </row>
    <row r="16" spans="1:16">
      <c r="A16" t="s">
        <v>196</v>
      </c>
      <c r="B16" t="s">
        <v>173</v>
      </c>
      <c r="E16" t="s">
        <v>197</v>
      </c>
      <c r="F16" t="s">
        <v>198</v>
      </c>
      <c r="G16" t="s">
        <v>199</v>
      </c>
    </row>
    <row r="17" spans="1:12">
      <c r="A17" t="s">
        <v>201</v>
      </c>
      <c r="B17" t="s">
        <v>179</v>
      </c>
      <c r="E17" t="s">
        <v>202</v>
      </c>
      <c r="F17" t="s">
        <v>61</v>
      </c>
      <c r="G17" t="s">
        <v>203</v>
      </c>
      <c r="H17" t="s">
        <v>204</v>
      </c>
      <c r="I17" t="s">
        <v>205</v>
      </c>
      <c r="J17" t="s">
        <v>197</v>
      </c>
      <c r="K17" t="s">
        <v>206</v>
      </c>
      <c r="L17" t="s">
        <v>207</v>
      </c>
    </row>
    <row r="18" spans="1:12">
      <c r="A18" t="s">
        <v>209</v>
      </c>
      <c r="B18" t="s">
        <v>184</v>
      </c>
      <c r="E18" t="s">
        <v>64</v>
      </c>
    </row>
    <row r="19" spans="1:12">
      <c r="A19" t="s">
        <v>211</v>
      </c>
      <c r="B19" t="s">
        <v>188</v>
      </c>
      <c r="E19" t="s">
        <v>212</v>
      </c>
      <c r="F19" t="s">
        <v>213</v>
      </c>
      <c r="G19" t="s">
        <v>214</v>
      </c>
      <c r="H19" t="s">
        <v>67</v>
      </c>
      <c r="I19" t="s">
        <v>215</v>
      </c>
      <c r="J19" t="s">
        <v>216</v>
      </c>
    </row>
    <row r="20" spans="1:12">
      <c r="A20" t="s">
        <v>218</v>
      </c>
      <c r="B20" t="s">
        <v>219</v>
      </c>
    </row>
    <row r="21" spans="1:12">
      <c r="A21" t="s">
        <v>223</v>
      </c>
      <c r="B21" t="s">
        <v>224</v>
      </c>
    </row>
    <row r="22" spans="1:12">
      <c r="A22" t="s">
        <v>228</v>
      </c>
      <c r="B22" t="s">
        <v>229</v>
      </c>
      <c r="C22" cm="1">
        <f t="array" ref="C22">SUM(_xlfn.ANCHORARRAY('F7-1 Arena'!$O$6))</f>
        <v>100</v>
      </c>
    </row>
    <row r="23" spans="1:12">
      <c r="A23" t="s">
        <v>244</v>
      </c>
      <c r="B23" t="s">
        <v>173</v>
      </c>
      <c r="E23" t="s">
        <v>197</v>
      </c>
      <c r="F23" t="s">
        <v>198</v>
      </c>
      <c r="G23" t="s">
        <v>199</v>
      </c>
    </row>
    <row r="24" spans="1:12">
      <c r="A24" t="s">
        <v>246</v>
      </c>
      <c r="B24" t="s">
        <v>179</v>
      </c>
      <c r="E24" t="s">
        <v>202</v>
      </c>
      <c r="F24" t="s">
        <v>61</v>
      </c>
      <c r="G24" t="s">
        <v>203</v>
      </c>
      <c r="H24" t="s">
        <v>204</v>
      </c>
      <c r="I24" t="s">
        <v>205</v>
      </c>
      <c r="J24" t="s">
        <v>197</v>
      </c>
      <c r="K24" t="s">
        <v>206</v>
      </c>
      <c r="L24" t="s">
        <v>207</v>
      </c>
    </row>
    <row r="25" spans="1:12">
      <c r="A25" t="s">
        <v>248</v>
      </c>
      <c r="B25" t="s">
        <v>184</v>
      </c>
      <c r="E25" t="s">
        <v>64</v>
      </c>
    </row>
    <row r="26" spans="1:12">
      <c r="A26" t="s">
        <v>250</v>
      </c>
      <c r="B26" t="s">
        <v>188</v>
      </c>
      <c r="E26" t="s">
        <v>212</v>
      </c>
      <c r="F26" t="s">
        <v>213</v>
      </c>
      <c r="G26" t="s">
        <v>214</v>
      </c>
      <c r="H26" t="s">
        <v>67</v>
      </c>
      <c r="I26" t="s">
        <v>215</v>
      </c>
      <c r="J26" t="s">
        <v>216</v>
      </c>
    </row>
    <row r="27" spans="1:12">
      <c r="A27" t="s">
        <v>252</v>
      </c>
      <c r="B27" t="s">
        <v>253</v>
      </c>
      <c r="E27" t="s">
        <v>254</v>
      </c>
      <c r="F27" t="s">
        <v>255</v>
      </c>
    </row>
    <row r="28" spans="1:12">
      <c r="A28" t="s">
        <v>257</v>
      </c>
      <c r="B28" t="s">
        <v>258</v>
      </c>
      <c r="E28" t="s">
        <v>259</v>
      </c>
      <c r="F28" t="s">
        <v>260</v>
      </c>
      <c r="G28" t="s">
        <v>261</v>
      </c>
      <c r="H28" t="s">
        <v>262</v>
      </c>
    </row>
    <row r="29" spans="1:12">
      <c r="A29" t="s">
        <v>264</v>
      </c>
      <c r="B29" t="s">
        <v>265</v>
      </c>
      <c r="E29" t="s">
        <v>266</v>
      </c>
      <c r="F29" t="s">
        <v>267</v>
      </c>
      <c r="G29" t="s">
        <v>268</v>
      </c>
      <c r="H29" t="s">
        <v>269</v>
      </c>
      <c r="I29" t="s">
        <v>270</v>
      </c>
      <c r="J29" t="s">
        <v>271</v>
      </c>
    </row>
    <row r="30" spans="1:12">
      <c r="A30" t="s">
        <v>273</v>
      </c>
      <c r="B30" t="s">
        <v>274</v>
      </c>
      <c r="E30" t="s">
        <v>163</v>
      </c>
      <c r="F30" t="s">
        <v>164</v>
      </c>
      <c r="G30" t="s">
        <v>165</v>
      </c>
      <c r="H30" t="s">
        <v>166</v>
      </c>
      <c r="I30" t="s">
        <v>167</v>
      </c>
      <c r="J30" t="s">
        <v>168</v>
      </c>
    </row>
    <row r="31" spans="1:12">
      <c r="A31" t="s">
        <v>276</v>
      </c>
      <c r="B31" t="s">
        <v>277</v>
      </c>
      <c r="E31" t="s">
        <v>278</v>
      </c>
    </row>
    <row r="32" spans="1:12">
      <c r="A32" t="s">
        <v>280</v>
      </c>
      <c r="B32" t="s">
        <v>281</v>
      </c>
      <c r="E32" t="s">
        <v>282</v>
      </c>
      <c r="F32" t="s">
        <v>283</v>
      </c>
      <c r="G32" t="s">
        <v>284</v>
      </c>
      <c r="H32" t="s">
        <v>285</v>
      </c>
    </row>
    <row r="33" spans="1:10">
      <c r="A33" t="s">
        <v>287</v>
      </c>
      <c r="B33" t="s">
        <v>288</v>
      </c>
      <c r="C33" t="s">
        <v>190</v>
      </c>
      <c r="E33" t="s">
        <v>289</v>
      </c>
      <c r="F33" t="s">
        <v>67</v>
      </c>
      <c r="G33" t="s">
        <v>290</v>
      </c>
      <c r="H33" t="s">
        <v>190</v>
      </c>
    </row>
    <row r="34" spans="1:10">
      <c r="A34" t="s">
        <v>292</v>
      </c>
      <c r="B34" t="s">
        <v>293</v>
      </c>
      <c r="C34" t="s">
        <v>175</v>
      </c>
      <c r="E34" t="s">
        <v>175</v>
      </c>
      <c r="F34" t="s">
        <v>58</v>
      </c>
      <c r="G34" t="s">
        <v>61</v>
      </c>
      <c r="H34" t="s">
        <v>64</v>
      </c>
    </row>
    <row r="35" spans="1:10">
      <c r="A35" t="s">
        <v>295</v>
      </c>
      <c r="B35" t="s">
        <v>296</v>
      </c>
      <c r="C35" t="s">
        <v>174</v>
      </c>
      <c r="E35" t="s">
        <v>180</v>
      </c>
      <c r="F35" t="s">
        <v>174</v>
      </c>
      <c r="G35" t="s">
        <v>175</v>
      </c>
      <c r="H35" t="s">
        <v>64</v>
      </c>
    </row>
    <row r="36" spans="1:10">
      <c r="A36" t="s">
        <v>299</v>
      </c>
      <c r="B36" t="s">
        <v>288</v>
      </c>
      <c r="E36" t="s">
        <v>300</v>
      </c>
      <c r="F36" t="s">
        <v>301</v>
      </c>
      <c r="G36" t="s">
        <v>302</v>
      </c>
      <c r="H36" t="s">
        <v>190</v>
      </c>
      <c r="I36" t="s">
        <v>303</v>
      </c>
      <c r="J36" t="s">
        <v>304</v>
      </c>
    </row>
    <row r="37" spans="1:10">
      <c r="A37" t="s">
        <v>305</v>
      </c>
      <c r="B37" t="s">
        <v>293</v>
      </c>
      <c r="E37" t="s">
        <v>306</v>
      </c>
      <c r="F37" t="s">
        <v>307</v>
      </c>
    </row>
    <row r="38" spans="1:10">
      <c r="A38" t="s">
        <v>309</v>
      </c>
      <c r="B38" t="s">
        <v>296</v>
      </c>
      <c r="E38" t="s">
        <v>62</v>
      </c>
      <c r="F38" t="s">
        <v>310</v>
      </c>
      <c r="G38" t="s">
        <v>311</v>
      </c>
      <c r="H38" t="s">
        <v>312</v>
      </c>
    </row>
    <row r="39" spans="1:10">
      <c r="A39" t="s">
        <v>313</v>
      </c>
      <c r="B39" t="s">
        <v>314</v>
      </c>
    </row>
    <row r="40" spans="1:10">
      <c r="A40" t="s">
        <v>317</v>
      </c>
      <c r="B40" t="s">
        <v>318</v>
      </c>
    </row>
    <row r="41" spans="1:10">
      <c r="A41" t="s">
        <v>321</v>
      </c>
      <c r="B41" t="s">
        <v>322</v>
      </c>
      <c r="C41" cm="1" t="str">
        <f t="array" ref="C41">_xlfn._xlws.FILTER('F7-2 Arena'!$B$6:$B$25,'F7-2 Arena'!$D$6:$D$25="Central","None")</f>
        <v>None</v>
      </c>
    </row>
    <row r="42" spans="1:10">
      <c r="A42" t="s">
        <v>337</v>
      </c>
      <c r="B42" t="s">
        <v>288</v>
      </c>
      <c r="E42" t="s">
        <v>300</v>
      </c>
      <c r="F42" t="s">
        <v>301</v>
      </c>
      <c r="G42" t="s">
        <v>302</v>
      </c>
      <c r="H42" t="s">
        <v>190</v>
      </c>
      <c r="I42" t="s">
        <v>303</v>
      </c>
      <c r="J42" t="s">
        <v>304</v>
      </c>
    </row>
    <row r="43" spans="1:10">
      <c r="A43" t="s">
        <v>339</v>
      </c>
      <c r="B43" t="s">
        <v>293</v>
      </c>
      <c r="E43" t="s">
        <v>306</v>
      </c>
      <c r="F43" t="s">
        <v>307</v>
      </c>
    </row>
    <row r="44" spans="1:10">
      <c r="A44" t="s">
        <v>341</v>
      </c>
      <c r="B44" t="s">
        <v>296</v>
      </c>
      <c r="E44" t="s">
        <v>62</v>
      </c>
      <c r="F44" t="s">
        <v>310</v>
      </c>
      <c r="G44" t="s">
        <v>311</v>
      </c>
      <c r="H44" t="s">
        <v>312</v>
      </c>
    </row>
    <row r="45" spans="1:10">
      <c r="A45" t="s">
        <v>343</v>
      </c>
      <c r="B45" t="s">
        <v>344</v>
      </c>
      <c r="E45" t="s">
        <v>345</v>
      </c>
      <c r="F45" t="s">
        <v>346</v>
      </c>
      <c r="G45" t="s">
        <v>347</v>
      </c>
      <c r="H45" t="s">
        <v>348</v>
      </c>
      <c r="I45" t="s">
        <v>349</v>
      </c>
      <c r="J45" t="s">
        <v>350</v>
      </c>
    </row>
    <row r="46" spans="1:10">
      <c r="A46" t="s">
        <v>352</v>
      </c>
      <c r="B46" t="s">
        <v>353</v>
      </c>
      <c r="E46" t="s">
        <v>354</v>
      </c>
      <c r="F46" t="s">
        <v>355</v>
      </c>
      <c r="G46" t="s">
        <v>356</v>
      </c>
      <c r="H46" t="s">
        <v>357</v>
      </c>
      <c r="I46" t="s">
        <v>358</v>
      </c>
      <c r="J46" t="s">
        <v>359</v>
      </c>
    </row>
    <row r="47" spans="1:10">
      <c r="A47" t="s">
        <v>361</v>
      </c>
      <c r="B47" t="s">
        <v>362</v>
      </c>
      <c r="E47" t="s">
        <v>363</v>
      </c>
      <c r="F47" t="s">
        <v>364</v>
      </c>
      <c r="G47" t="s">
        <v>365</v>
      </c>
      <c r="H47" t="s">
        <v>366</v>
      </c>
      <c r="I47" t="s">
        <v>367</v>
      </c>
      <c r="J47" t="s">
        <v>368</v>
      </c>
    </row>
    <row r="48" spans="1:10">
      <c r="A48" t="s">
        <v>370</v>
      </c>
      <c r="B48" t="s">
        <v>371</v>
      </c>
      <c r="E48" t="s">
        <v>372</v>
      </c>
      <c r="F48" t="s">
        <v>373</v>
      </c>
      <c r="G48" t="s">
        <v>374</v>
      </c>
      <c r="H48" t="s">
        <v>375</v>
      </c>
      <c r="I48" t="s">
        <v>376</v>
      </c>
      <c r="J48" t="s">
        <v>377</v>
      </c>
    </row>
    <row r="49" spans="1:10">
      <c r="A49" t="s">
        <v>379</v>
      </c>
      <c r="B49" t="s">
        <v>380</v>
      </c>
      <c r="E49" t="s">
        <v>381</v>
      </c>
      <c r="F49" t="s">
        <v>382</v>
      </c>
      <c r="G49" t="s">
        <v>383</v>
      </c>
      <c r="H49" t="s">
        <v>384</v>
      </c>
      <c r="I49" t="s">
        <v>385</v>
      </c>
      <c r="J49" t="s">
        <v>386</v>
      </c>
    </row>
    <row r="50" spans="1:10">
      <c r="A50" t="s">
        <v>388</v>
      </c>
      <c r="B50" t="s">
        <v>389</v>
      </c>
      <c r="E50" t="s">
        <v>390</v>
      </c>
      <c r="F50" t="s">
        <v>391</v>
      </c>
      <c r="G50" t="s">
        <v>392</v>
      </c>
      <c r="H50" t="s">
        <v>393</v>
      </c>
      <c r="I50" t="s">
        <v>394</v>
      </c>
      <c r="J50" t="s">
        <v>395</v>
      </c>
    </row>
    <row r="51" spans="1:10">
      <c r="A51" t="s">
        <v>397</v>
      </c>
      <c r="B51" t="s">
        <v>398</v>
      </c>
      <c r="E51" t="s">
        <v>399</v>
      </c>
      <c r="F51" t="s">
        <v>400</v>
      </c>
      <c r="G51" t="s">
        <v>401</v>
      </c>
      <c r="H51" t="s">
        <v>402</v>
      </c>
      <c r="I51" t="s">
        <v>403</v>
      </c>
      <c r="J51" t="s">
        <v>404</v>
      </c>
    </row>
    <row r="52" spans="1:10">
      <c r="A52" t="s">
        <v>406</v>
      </c>
      <c r="B52" t="s">
        <v>95</v>
      </c>
      <c r="C52" t="s">
        <v>290</v>
      </c>
      <c r="E52" t="s">
        <v>290</v>
      </c>
      <c r="F52" t="s">
        <v>289</v>
      </c>
      <c r="G52" t="s">
        <v>191</v>
      </c>
      <c r="H52" t="s">
        <v>67</v>
      </c>
    </row>
    <row r="53" spans="1:10">
      <c r="A53" t="s">
        <v>408</v>
      </c>
      <c r="B53" t="s">
        <v>409</v>
      </c>
      <c r="C53" t="s">
        <v>289</v>
      </c>
      <c r="E53" t="s">
        <v>289</v>
      </c>
      <c r="F53" t="s">
        <v>290</v>
      </c>
      <c r="G53" t="s">
        <v>190</v>
      </c>
      <c r="H53" t="s">
        <v>191</v>
      </c>
    </row>
    <row r="54" spans="1:10">
      <c r="A54" t="s">
        <v>411</v>
      </c>
      <c r="B54" t="s">
        <v>412</v>
      </c>
      <c r="C54" t="s">
        <v>191</v>
      </c>
      <c r="E54" t="s">
        <v>191</v>
      </c>
      <c r="F54" t="s">
        <v>190</v>
      </c>
      <c r="G54" t="s">
        <v>289</v>
      </c>
      <c r="H54" t="s">
        <v>189</v>
      </c>
    </row>
    <row r="55" spans="1:10">
      <c r="A55" t="s">
        <v>415</v>
      </c>
      <c r="B55" t="s">
        <v>95</v>
      </c>
      <c r="E55" t="s">
        <v>416</v>
      </c>
      <c r="F55" t="s">
        <v>417</v>
      </c>
      <c r="G55" t="s">
        <v>418</v>
      </c>
      <c r="H55" t="s">
        <v>290</v>
      </c>
      <c r="I55" t="s">
        <v>419</v>
      </c>
      <c r="J55" t="s">
        <v>420</v>
      </c>
    </row>
    <row r="56" spans="1:10">
      <c r="A56" t="s">
        <v>421</v>
      </c>
      <c r="B56" t="s">
        <v>409</v>
      </c>
      <c r="E56" t="s">
        <v>422</v>
      </c>
      <c r="F56" t="s">
        <v>423</v>
      </c>
      <c r="G56" t="s">
        <v>424</v>
      </c>
      <c r="H56" t="s">
        <v>289</v>
      </c>
      <c r="I56" t="s">
        <v>425</v>
      </c>
      <c r="J56" t="s">
        <v>426</v>
      </c>
    </row>
    <row r="57" spans="1:10">
      <c r="A57" t="s">
        <v>427</v>
      </c>
      <c r="B57" t="s">
        <v>412</v>
      </c>
      <c r="E57" t="s">
        <v>428</v>
      </c>
      <c r="F57" t="s">
        <v>429</v>
      </c>
      <c r="G57" t="s">
        <v>430</v>
      </c>
      <c r="H57" t="s">
        <v>191</v>
      </c>
      <c r="I57" t="s">
        <v>431</v>
      </c>
      <c r="J57" t="s">
        <v>432</v>
      </c>
    </row>
    <row r="58" spans="1:10">
      <c r="A58" t="s">
        <v>433</v>
      </c>
      <c r="B58" t="s">
        <v>434</v>
      </c>
    </row>
    <row r="59" spans="1:10">
      <c r="A59" t="s">
        <v>436</v>
      </c>
      <c r="B59" t="s">
        <v>437</v>
      </c>
    </row>
    <row r="60" spans="1:10">
      <c r="A60" t="s">
        <v>440</v>
      </c>
      <c r="B60" t="s">
        <v>441</v>
      </c>
    </row>
    <row r="61" spans="1:10">
      <c r="A61" t="s">
        <v>444</v>
      </c>
      <c r="B61" t="s">
        <v>445</v>
      </c>
      <c r="C61" cm="1">
        <f t="array" ref="C61">COUNTA(_xlfn.UNIQUE('F7-3 Arena'!$E$6:$E$25))</f>
        <v>4</v>
      </c>
    </row>
    <row r="62" spans="1:10">
      <c r="A62" t="s">
        <v>460</v>
      </c>
      <c r="B62" t="s">
        <v>95</v>
      </c>
      <c r="E62" t="s">
        <v>416</v>
      </c>
      <c r="F62" t="s">
        <v>417</v>
      </c>
      <c r="G62" t="s">
        <v>418</v>
      </c>
      <c r="H62" t="s">
        <v>290</v>
      </c>
      <c r="I62" t="s">
        <v>419</v>
      </c>
      <c r="J62" t="s">
        <v>420</v>
      </c>
    </row>
    <row r="63" spans="1:10">
      <c r="A63" t="s">
        <v>462</v>
      </c>
      <c r="B63" t="s">
        <v>409</v>
      </c>
      <c r="E63" t="s">
        <v>422</v>
      </c>
      <c r="F63" t="s">
        <v>423</v>
      </c>
      <c r="G63" t="s">
        <v>424</v>
      </c>
      <c r="H63" t="s">
        <v>289</v>
      </c>
      <c r="I63" t="s">
        <v>425</v>
      </c>
      <c r="J63" t="s">
        <v>426</v>
      </c>
    </row>
    <row r="64" spans="1:10">
      <c r="A64" t="s">
        <v>464</v>
      </c>
      <c r="B64" t="s">
        <v>412</v>
      </c>
      <c r="E64" t="s">
        <v>428</v>
      </c>
      <c r="F64" t="s">
        <v>429</v>
      </c>
      <c r="G64" t="s">
        <v>430</v>
      </c>
      <c r="H64" t="s">
        <v>191</v>
      </c>
      <c r="I64" t="s">
        <v>431</v>
      </c>
      <c r="J64" t="s">
        <v>432</v>
      </c>
    </row>
    <row r="65" spans="1:10">
      <c r="A65" t="s">
        <v>466</v>
      </c>
      <c r="B65" t="s">
        <v>467</v>
      </c>
      <c r="E65" t="s">
        <v>468</v>
      </c>
      <c r="F65" t="s">
        <v>469</v>
      </c>
      <c r="G65" t="s">
        <v>470</v>
      </c>
      <c r="H65" t="s">
        <v>471</v>
      </c>
      <c r="I65" t="s">
        <v>472</v>
      </c>
      <c r="J65" t="s">
        <v>473</v>
      </c>
    </row>
    <row r="66" spans="1:10">
      <c r="A66" t="s">
        <v>475</v>
      </c>
      <c r="B66" t="s">
        <v>476</v>
      </c>
      <c r="E66" t="s">
        <v>477</v>
      </c>
      <c r="F66" t="s">
        <v>478</v>
      </c>
    </row>
    <row r="67" spans="1:10">
      <c r="A67" t="s">
        <v>480</v>
      </c>
      <c r="B67" t="s">
        <v>481</v>
      </c>
      <c r="E67" t="s">
        <v>482</v>
      </c>
      <c r="F67" t="s">
        <v>483</v>
      </c>
      <c r="G67" t="s">
        <v>484</v>
      </c>
      <c r="H67" t="s">
        <v>485</v>
      </c>
      <c r="I67" t="s">
        <v>486</v>
      </c>
      <c r="J67" t="s">
        <v>487</v>
      </c>
    </row>
    <row r="68" spans="1:10">
      <c r="A68" t="s">
        <v>489</v>
      </c>
      <c r="B68" t="s">
        <v>490</v>
      </c>
      <c r="E68" t="s">
        <v>491</v>
      </c>
      <c r="F68" t="s">
        <v>492</v>
      </c>
      <c r="G68" t="s">
        <v>493</v>
      </c>
      <c r="H68" t="s">
        <v>494</v>
      </c>
      <c r="I68" t="s">
        <v>495</v>
      </c>
      <c r="J68" t="s">
        <v>496</v>
      </c>
    </row>
    <row r="69" spans="1:10">
      <c r="A69" t="s">
        <v>498</v>
      </c>
      <c r="B69" t="s">
        <v>499</v>
      </c>
      <c r="E69" t="s">
        <v>500</v>
      </c>
      <c r="F69" t="s">
        <v>501</v>
      </c>
      <c r="G69" t="s">
        <v>502</v>
      </c>
      <c r="H69" t="s">
        <v>503</v>
      </c>
      <c r="I69" t="s">
        <v>504</v>
      </c>
      <c r="J69" t="s">
        <v>505</v>
      </c>
    </row>
    <row r="70" spans="1:10">
      <c r="A70" t="s">
        <v>507</v>
      </c>
      <c r="B70" t="s">
        <v>508</v>
      </c>
      <c r="E70" t="s">
        <v>509</v>
      </c>
      <c r="F70" t="s">
        <v>510</v>
      </c>
      <c r="G70" t="s">
        <v>511</v>
      </c>
      <c r="H70" t="s">
        <v>512</v>
      </c>
      <c r="I70" t="s">
        <v>513</v>
      </c>
      <c r="J70" t="s">
        <v>514</v>
      </c>
    </row>
    <row r="71" spans="1:10">
      <c r="A71" t="s">
        <v>516</v>
      </c>
      <c r="B71" t="s">
        <v>517</v>
      </c>
      <c r="E71" t="s">
        <v>518</v>
      </c>
      <c r="F71" t="s">
        <v>519</v>
      </c>
      <c r="G71" t="s">
        <v>520</v>
      </c>
      <c r="H71" t="s">
        <v>521</v>
      </c>
      <c r="I71" t="s">
        <v>522</v>
      </c>
      <c r="J71" t="s">
        <v>523</v>
      </c>
    </row>
    <row r="72" spans="1:10">
      <c r="A72" t="s">
        <v>525</v>
      </c>
      <c r="B72" t="s">
        <v>526</v>
      </c>
      <c r="C72" t="s">
        <v>189</v>
      </c>
      <c r="E72" t="s">
        <v>67</v>
      </c>
      <c r="F72" t="s">
        <v>189</v>
      </c>
      <c r="G72" t="s">
        <v>289</v>
      </c>
      <c r="H72" t="s">
        <v>290</v>
      </c>
    </row>
    <row r="73" spans="1:10">
      <c r="A73" t="s">
        <v>528</v>
      </c>
      <c r="B73" t="s">
        <v>529</v>
      </c>
      <c r="C73" t="s">
        <v>180</v>
      </c>
      <c r="E73" t="s">
        <v>64</v>
      </c>
      <c r="F73" t="s">
        <v>58</v>
      </c>
      <c r="G73" t="s">
        <v>61</v>
      </c>
      <c r="H73" t="s">
        <v>180</v>
      </c>
    </row>
    <row r="74" spans="1:10">
      <c r="A74" t="s">
        <v>532</v>
      </c>
      <c r="B74" t="s">
        <v>526</v>
      </c>
      <c r="E74" t="s">
        <v>533</v>
      </c>
      <c r="F74" t="s">
        <v>534</v>
      </c>
      <c r="G74" t="s">
        <v>535</v>
      </c>
      <c r="H74" t="s">
        <v>189</v>
      </c>
      <c r="I74" t="s">
        <v>536</v>
      </c>
      <c r="J74" t="s">
        <v>537</v>
      </c>
    </row>
    <row r="75" spans="1:10">
      <c r="A75" t="s">
        <v>538</v>
      </c>
      <c r="B75" t="s">
        <v>529</v>
      </c>
      <c r="E75" t="s">
        <v>428</v>
      </c>
      <c r="F75" t="s">
        <v>429</v>
      </c>
      <c r="G75" t="s">
        <v>430</v>
      </c>
      <c r="H75" t="s">
        <v>191</v>
      </c>
      <c r="I75" t="s">
        <v>431</v>
      </c>
      <c r="J75" t="s">
        <v>432</v>
      </c>
    </row>
    <row r="76" spans="1:10">
      <c r="A76" t="s">
        <v>540</v>
      </c>
      <c r="B76" t="s">
        <v>541</v>
      </c>
      <c r="C76" cm="1">
        <f t="array" ref="C76">AVERAGE('F7-4 Arena'!$H$6:$H$25)</f>
        <v>1727.5</v>
      </c>
    </row>
    <row r="77" spans="1:10">
      <c r="A77" t="s">
        <v>544</v>
      </c>
      <c r="B77" t="s">
        <v>545</v>
      </c>
    </row>
    <row r="78" spans="1:10">
      <c r="A78" t="s">
        <v>548</v>
      </c>
      <c r="B78" t="s">
        <v>549</v>
      </c>
    </row>
    <row r="79" spans="1:10">
      <c r="A79" t="s">
        <v>551</v>
      </c>
      <c r="B79" t="s">
        <v>229</v>
      </c>
      <c r="C79" cm="1">
        <f t="array" ref="C79">ROWS(_xlfn.ANCHORARRAY('F7-4 Arena'!$Q$6))</f>
        <v>4</v>
      </c>
    </row>
    <row r="80" spans="1:10">
      <c r="A80" t="s">
        <v>574</v>
      </c>
      <c r="B80" t="s">
        <v>526</v>
      </c>
      <c r="E80" t="s">
        <v>533</v>
      </c>
      <c r="F80" t="s">
        <v>534</v>
      </c>
      <c r="G80" t="s">
        <v>535</v>
      </c>
      <c r="H80" t="s">
        <v>189</v>
      </c>
      <c r="I80" t="s">
        <v>536</v>
      </c>
      <c r="J80" t="s">
        <v>537</v>
      </c>
    </row>
    <row r="81" spans="1:12">
      <c r="A81" t="s">
        <v>576</v>
      </c>
      <c r="B81" t="s">
        <v>529</v>
      </c>
      <c r="E81" t="s">
        <v>428</v>
      </c>
      <c r="F81" t="s">
        <v>429</v>
      </c>
      <c r="G81" t="s">
        <v>430</v>
      </c>
      <c r="H81" t="s">
        <v>191</v>
      </c>
      <c r="I81" t="s">
        <v>431</v>
      </c>
      <c r="J81" t="s">
        <v>432</v>
      </c>
    </row>
    <row r="82" spans="1:12">
      <c r="A82" t="s">
        <v>578</v>
      </c>
      <c r="B82" t="s">
        <v>173</v>
      </c>
      <c r="E82" t="s">
        <v>197</v>
      </c>
      <c r="F82" t="s">
        <v>198</v>
      </c>
      <c r="G82" t="s">
        <v>199</v>
      </c>
    </row>
    <row r="83" spans="1:12">
      <c r="A83" t="s">
        <v>580</v>
      </c>
      <c r="B83" t="s">
        <v>179</v>
      </c>
      <c r="E83" t="s">
        <v>202</v>
      </c>
      <c r="F83" t="s">
        <v>61</v>
      </c>
      <c r="G83" t="s">
        <v>203</v>
      </c>
      <c r="H83" t="s">
        <v>204</v>
      </c>
      <c r="I83" t="s">
        <v>205</v>
      </c>
      <c r="J83" t="s">
        <v>197</v>
      </c>
      <c r="K83" t="s">
        <v>206</v>
      </c>
      <c r="L83" t="s">
        <v>207</v>
      </c>
    </row>
    <row r="84" spans="1:12">
      <c r="A84" t="s">
        <v>582</v>
      </c>
      <c r="B84" t="s">
        <v>184</v>
      </c>
      <c r="E84" t="s">
        <v>64</v>
      </c>
    </row>
    <row r="85" spans="1:12">
      <c r="A85" t="s">
        <v>584</v>
      </c>
      <c r="B85" t="s">
        <v>188</v>
      </c>
      <c r="E85" t="s">
        <v>212</v>
      </c>
      <c r="F85" t="s">
        <v>213</v>
      </c>
      <c r="G85" t="s">
        <v>214</v>
      </c>
      <c r="H85" t="s">
        <v>67</v>
      </c>
      <c r="I85" t="s">
        <v>215</v>
      </c>
      <c r="J85" t="s">
        <v>216</v>
      </c>
    </row>
    <row r="86" spans="1:12">
      <c r="A86" t="s">
        <v>586</v>
      </c>
      <c r="B86" t="s">
        <v>288</v>
      </c>
      <c r="E86" t="s">
        <v>300</v>
      </c>
      <c r="F86" t="s">
        <v>301</v>
      </c>
      <c r="G86" t="s">
        <v>302</v>
      </c>
      <c r="H86" t="s">
        <v>190</v>
      </c>
      <c r="I86" t="s">
        <v>303</v>
      </c>
      <c r="J86" t="s">
        <v>304</v>
      </c>
    </row>
    <row r="87" spans="1:12">
      <c r="A87" t="s">
        <v>588</v>
      </c>
      <c r="B87" t="s">
        <v>293</v>
      </c>
      <c r="E87" t="s">
        <v>306</v>
      </c>
      <c r="F87" t="s">
        <v>307</v>
      </c>
    </row>
    <row r="88" spans="1:12">
      <c r="A88" t="s">
        <v>592</v>
      </c>
      <c r="B88" t="s">
        <v>593</v>
      </c>
    </row>
    <row r="89" spans="1:12">
      <c r="A89" t="s">
        <v>596</v>
      </c>
      <c r="B89" t="s">
        <v>597</v>
      </c>
    </row>
    <row r="90" spans="1:12">
      <c r="A90" t="s">
        <v>600</v>
      </c>
      <c r="B90" t="s">
        <v>601</v>
      </c>
    </row>
    <row r="91" spans="1:12">
      <c r="A91" t="s">
        <v>604</v>
      </c>
      <c r="B91" t="s">
        <v>605</v>
      </c>
    </row>
    <row r="92" spans="1:12">
      <c r="A92" t="s">
        <v>608</v>
      </c>
      <c r="B92" t="s">
        <v>609</v>
      </c>
    </row>
    <row r="93" spans="1:12">
      <c r="A93" t="s">
        <v>612</v>
      </c>
      <c r="B93" t="s">
        <v>613</v>
      </c>
      <c r="C93" cm="1">
        <f t="array" ref="C93">COUNTA(_xlfn.UNIQUE('Boss Arena'!$F$6:$F$25))</f>
        <v>3</v>
      </c>
    </row>
    <row r="94" spans="1:12">
      <c r="A94" t="s">
        <v>616</v>
      </c>
      <c r="B94" t="s">
        <v>617</v>
      </c>
    </row>
    <row r="95" spans="1:12">
      <c r="A95" t="s">
        <v>620</v>
      </c>
      <c r="B95" t="s">
        <v>621</v>
      </c>
      <c r="C95" cm="1">
        <f t="array" ref="C95">SUM(_xlfn.ANCHORARRAY('Boss Arena'!$U$6))</f>
        <v>30</v>
      </c>
    </row>
    <row r="96" spans="1:12">
      <c r="A96" t="s">
        <v>624</v>
      </c>
      <c r="B96" t="s">
        <v>625</v>
      </c>
    </row>
    <row r="97" spans="1:3">
      <c r="A97" t="s">
        <v>628</v>
      </c>
      <c r="B97" t="s">
        <v>629</v>
      </c>
      <c r="C97" cm="1" t="str">
        <f t="array" ref="C97">_xlfn._xlws.FILTER('Boss Arena'!$B$6:$B$25,'Boss Arena'!$D$6:$D$25="Central","None")</f>
        <v>None</v>
      </c>
    </row>
    <row r="2001" spans="5:5">
      <c r="E2001" cm="1">
        <f t="array" ref="E2001">_xlfn.SEQUENCE(10)</f>
        <v>1</v>
      </c>
    </row>
    <row r="2101" spans="5:5">
      <c r="E2101" cm="1" t="str">
        <f t="array" ref="E2101">_xlfn._xlws.FILTER('F7-2 Arena'!$B$6:$H$25,'F7-2 Arena'!$D$6:$D$25="East")</f>
        <v>O-101</v>
      </c>
    </row>
    <row r="2201" spans="5:5">
      <c r="E2201" cm="1" t="str">
        <f t="array" ref="E2201">_xlfn._xlws.FILTER('F7-2 Arena'!$B$6:$B$25,('F7-2 Arena'!$D$6:$D$25="East")*('F7-2 Arena'!$G$6:$G$25&gt;40))</f>
        <v>O-110</v>
      </c>
    </row>
    <row r="2301" spans="5:5">
      <c r="E2301" cm="1">
        <f t="array" ref="E2301">_xlfn._xlws.SORT('F7-3 Arena'!$H$6:$H$25,,-1)</f>
        <v>3600</v>
      </c>
    </row>
    <row r="2401" spans="5:5">
      <c r="E2401" cm="1" t="str">
        <f t="array" ref="E2401">_xlfn.SORTBY('F7-3 Arena'!$B$6:$B$25,'F7-3 Arena'!$C$6:$C$25,-1)</f>
        <v>O-120</v>
      </c>
    </row>
    <row r="2501" spans="5:5">
      <c r="E2501" cm="1" t="str">
        <f t="array" ref="E2501">_xlfn.UNIQUE('F7-3 Arena'!$D$6:$D$25)</f>
        <v>East</v>
      </c>
    </row>
    <row r="2601" spans="5:5">
      <c r="E2601" cm="1" t="str">
        <f t="array" ref="E2601">_xlfn._xlws.SORT(_xlfn.UNIQUE('F7-4 Arena'!$E$6:$E$25))</f>
        <v>Ava</v>
      </c>
    </row>
    <row r="2701" spans="5:5">
      <c r="E2701" cm="1" t="str">
        <f t="array" ref="E2701">_xlfn._xlws.SORT(_xlfn.UNIQUE(_xlfn._xlws.FILTER('F7-4 Arena'!$F$6:$F$25,'F7-4 Arena'!$D$6:$D$25="East")))</f>
        <v>Gadget</v>
      </c>
    </row>
    <row r="2801" spans="5:5">
      <c r="E2801" cm="1">
        <f t="array" ref="E2801">_xlfn.SEQUENCE(5)</f>
        <v>1</v>
      </c>
    </row>
    <row r="2901" spans="5:5">
      <c r="E2901" cm="1" t="str">
        <f t="array" ref="E2901">_xlfn._xlws.FILTER('Boss Arena'!$B$6:$H$25,'Boss Arena'!$D$6:$D$25="West")</f>
        <v>O-102</v>
      </c>
    </row>
    <row r="3001" spans="5:5">
      <c r="E3001" cm="1" t="str">
        <f t="array" ref="E3001">_xlfn._xlws.FILTER('Boss Arena'!$B$6:$B$25,('Boss Arena'!$E$6:$E$25="Kim")*('Boss Arena'!$G$6:$G$25&gt;20))</f>
        <v>O-101</v>
      </c>
    </row>
    <row r="3101" spans="5:5">
      <c r="E3101" cm="1">
        <f t="array" ref="E3101">_xlfn._xlws.SORT('Boss Arena'!$G$6:$G$25,,-1)</f>
        <v>70</v>
      </c>
    </row>
    <row r="3201" spans="5:5">
      <c r="E3201" cm="1" t="str">
        <f t="array" ref="E3201">_xlfn.UNIQUE('Boss Arena'!$F$6:$F$25)</f>
        <v>Widget</v>
      </c>
    </row>
    <row r="3301" spans="5:5">
      <c r="E3301" cm="1" t="str">
        <f t="array" ref="E3301">_xlfn._xlws.SORT(_xlfn.UNIQUE('Boss Arena'!$E$6:$E$25))</f>
        <v>Ava</v>
      </c>
    </row>
    <row r="3401" spans="5:5">
      <c r="E3401" cm="1" t="str">
        <f t="array" ref="E3401">_xlfn.SORTBY('Boss Arena'!$B$6:$B$25,'Boss Arena'!$C$6:$C$25,-1)</f>
        <v>O-120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Start</vt:lpstr>
      <vt:lpstr>F7-1 Spill Zone</vt:lpstr>
      <vt:lpstr>F7-1 Arena</vt:lpstr>
      <vt:lpstr>F7-2 Sifter</vt:lpstr>
      <vt:lpstr>F7-2 Arena</vt:lpstr>
      <vt:lpstr>F7-3 Sorter</vt:lpstr>
      <vt:lpstr>F7-3 Arena</vt:lpstr>
      <vt:lpstr>F7-4 Combo</vt:lpstr>
      <vt:lpstr>F7-4 Arena</vt:lpstr>
      <vt:lpstr>Boss</vt:lpstr>
      <vt:lpstr>Boss Arena</vt:lpstr>
      <vt:lpstr>Cheat Codes</vt:lpstr>
      <vt:lpstr>Boss!Print_Titles</vt:lpstr>
      <vt:lpstr>'Cheat Codes'!Print_Titles</vt:lpstr>
      <vt:lpstr>'F7-1 Spill Zone'!Print_Titles</vt:lpstr>
      <vt:lpstr>'F7-2 Sifter'!Print_Titles</vt:lpstr>
      <vt:lpstr>'F7-3 Sorter'!Print_Titles</vt:lpstr>
      <vt:lpstr>'F7-4 Combo'!Print_Titles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Formulas 7 · Dynamic Arrays</dc:title>
  <dc:subject>Excel practice: One formula, many results: SEQUENCE, FILTER, SORT, UNIQUE and LET.</dc:subject>
  <dc:creator>excel-drills</dc:creator>
  <cp:keywords>Excel, practice, formulas, Dynamic Arrays</cp:keywords>
  <dc:description>Generated by excel-drills. Requires Windows with Excel 365 or 2021+ (English).</dc:description>
  <cp:lastModifiedBy>excel-drills</cp:lastModifiedBy>
  <dcterms:created xsi:type="dcterms:W3CDTF">2026-10-12T00:00:00Z</dcterms:created>
  <dcterms:modified xsi:type="dcterms:W3CDTF">2026-10-12T00:00:00Z</dcterms:modified>
  <cp:category>Excel practice</cp:category>
</cp:coreProperties>
</file>