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rt" sheetId="1" r:id="rId1"/>
    <sheet name="Deck" sheetId="2" r:id="rId2"/>
    <sheet name="Key" sheetId="3" state="veryHidden" r:id="rId3"/>
  </sheets>
  <definedNames>
    <definedName name="_xlnm._FilterDatabase" localSheetId="1" hidden="1">Deck!$A$4:$K$178</definedName>
  </definedName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<sst xmlns="http://schemas.openxmlformats.org/spreadsheetml/2006/main" count="1587" uniqueCount="1263">
  <si>
    <t>Challenge</t>
  </si>
  <si>
    <t>Hint</t>
  </si>
  <si>
    <t>Expected</t>
  </si>
  <si>
    <t>Lists / per-cell expectations →</t>
  </si>
  <si>
    <t>REVIEW DECK ▸ ALL CARDS</t>
  </si>
  <si>
    <t>Answer the DUE cards, move each to its Suggested box, and stamp the date with Ctrl+;.</t>
  </si>
  <si>
    <t>Card</t>
  </si>
  <si>
    <t>World</t>
  </si>
  <si>
    <t>Stage</t>
  </si>
  <si>
    <t>Prompt</t>
  </si>
  <si>
    <t>Your answer</t>
  </si>
  <si>
    <t>Result</t>
  </si>
  <si>
    <t>Suggested box</t>
  </si>
  <si>
    <t>Box</t>
  </si>
  <si>
    <t>Last reviewed</t>
  </si>
  <si>
    <t>Next due</t>
  </si>
  <si>
    <t>Status</t>
  </si>
  <si>
    <t>Deck 1</t>
  </si>
  <si>
    <t>Hold Ctrl and tap an arrow key.</t>
  </si>
  <si>
    <t>CTRL+ARROW</t>
  </si>
  <si>
    <t>CTRL+DOWN</t>
  </si>
  <si>
    <t>CTRL+LEFT</t>
  </si>
  <si>
    <t>CTRL+RIGHT</t>
  </si>
  <si>
    <t>CTRL+UP</t>
  </si>
  <si>
    <t>S1</t>
  </si>
  <si>
    <t>S1-1 Warp Zones</t>
  </si>
  <si>
    <t>Which keys jump to the edge of the current data block (any direction)?</t>
  </si>
  <si>
    <t>Deck 2</t>
  </si>
  <si>
    <t>Ctrl plus the key that means 'start'.</t>
  </si>
  <si>
    <t>CTRL+HOME</t>
  </si>
  <si>
    <t>Which keys take you to the very first cell of the sheet (A1)?</t>
  </si>
  <si>
    <t>Deck 3</t>
  </si>
  <si>
    <t>Ctrl plus the opposite of Home.</t>
  </si>
  <si>
    <t>CTRL+END</t>
  </si>
  <si>
    <t>Which keys jump to the last used cell on the sheet?</t>
  </si>
  <si>
    <t>Deck 4</t>
  </si>
  <si>
    <t>One key, no Ctrl.</t>
  </si>
  <si>
    <t>HOME</t>
  </si>
  <si>
    <t>Which single key moves to column A of the current row?</t>
  </si>
  <si>
    <t>Deck 5</t>
  </si>
  <si>
    <t>A function key, or Ctrl plus G.</t>
  </si>
  <si>
    <t>CTRL+G</t>
  </si>
  <si>
    <t>F5</t>
  </si>
  <si>
    <t>S1-2 Teleport</t>
  </si>
  <si>
    <t>Which key opens the Go To box?</t>
  </si>
  <si>
    <t>Deck 6</t>
  </si>
  <si>
    <t>Ctrl plus Page Down.</t>
  </si>
  <si>
    <t>CTRL+PGDN</t>
  </si>
  <si>
    <t>Which keys move to the next sheet?</t>
  </si>
  <si>
    <t>Deck 7</t>
  </si>
  <si>
    <t>Ctrl plus Page Up.</t>
  </si>
  <si>
    <t>CTRL+PGUP</t>
  </si>
  <si>
    <t>Which keys move to the previous sheet?</t>
  </si>
  <si>
    <t>Deck 8</t>
  </si>
  <si>
    <t>Page Down.</t>
  </si>
  <si>
    <t>PGDN</t>
  </si>
  <si>
    <t>Which key scrolls one screen down?</t>
  </si>
  <si>
    <t>Deck 9</t>
  </si>
  <si>
    <t>Alt plus Page Down.</t>
  </si>
  <si>
    <t>ALT+PGDN</t>
  </si>
  <si>
    <t>Which keys scroll one screen to the right?</t>
  </si>
  <si>
    <t>Deck 10</t>
  </si>
  <si>
    <t>Hold Shift and tap an arrow.</t>
  </si>
  <si>
    <t>SHIFT+ARROW</t>
  </si>
  <si>
    <t>SHIFT+DOWN</t>
  </si>
  <si>
    <t>SHIFT+LEFT</t>
  </si>
  <si>
    <t>SHIFT+RIGHT</t>
  </si>
  <si>
    <t>SHIFT+UP</t>
  </si>
  <si>
    <t>S1-3 Lasso</t>
  </si>
  <si>
    <t>Which keys grow the selection by one cell?</t>
  </si>
  <si>
    <t>Deck 11</t>
  </si>
  <si>
    <t>The warp-zone keys plus Shift.</t>
  </si>
  <si>
    <t>CTRL+SHIFT+ARROW</t>
  </si>
  <si>
    <t>CTRL+SHIFT+DOWN</t>
  </si>
  <si>
    <t>CTRL+SHIFT+LEFT</t>
  </si>
  <si>
    <t>CTRL+SHIFT+RIGHT</t>
  </si>
  <si>
    <t>CTRL+SHIFT+UP</t>
  </si>
  <si>
    <t>SHIFT+CTRL+ARROW</t>
  </si>
  <si>
    <t>SHIFT+CTRL+DOWN</t>
  </si>
  <si>
    <t>SHIFT+CTRL+LEFT</t>
  </si>
  <si>
    <t>SHIFT+CTRL+RIGHT</t>
  </si>
  <si>
    <t>SHIFT+CTRL+UP</t>
  </si>
  <si>
    <t>Which keys extend the selection all the way to the edge of the data?</t>
  </si>
  <si>
    <t>Deck 12</t>
  </si>
  <si>
    <t>Ctrl+End plus Shift.</t>
  </si>
  <si>
    <t>CTRL+SHIFT+END</t>
  </si>
  <si>
    <t>SHIFT+CTRL+END</t>
  </si>
  <si>
    <t>Which keys extend the selection to the last used cell?</t>
  </si>
  <si>
    <t>Deck 13</t>
  </si>
  <si>
    <t>Ctrl+Home plus Shift.</t>
  </si>
  <si>
    <t>CTRL+SHIFT+HOME</t>
  </si>
  <si>
    <t>SHIFT+CTRL+HOME</t>
  </si>
  <si>
    <t>Which keys extend the selection back to cell A1?</t>
  </si>
  <si>
    <t>Deck 14</t>
  </si>
  <si>
    <t>The long key plus Shift.</t>
  </si>
  <si>
    <t>SHIFT+SPACE</t>
  </si>
  <si>
    <t>S1-4 Grab</t>
  </si>
  <si>
    <t>Which keys select the entire row?</t>
  </si>
  <si>
    <t>Deck 15</t>
  </si>
  <si>
    <t>The long key plus Ctrl.</t>
  </si>
  <si>
    <t>CTRL+SPACE</t>
  </si>
  <si>
    <t>Which keys select the entire column?</t>
  </si>
  <si>
    <t>Deck 16</t>
  </si>
  <si>
    <t>Think 'A' for All.</t>
  </si>
  <si>
    <t>CTRL+A</t>
  </si>
  <si>
    <t>CTRL+SHIFT+SPACE</t>
  </si>
  <si>
    <t>SHIFT+CTRL+SPACE</t>
  </si>
  <si>
    <t>Which keys select the current data block (and the whole sheet if you keep pressing)?</t>
  </si>
  <si>
    <t>Deck 17</t>
  </si>
  <si>
    <t>The key left of Backspace.</t>
  </si>
  <si>
    <t>=</t>
  </si>
  <si>
    <t>EQUALS</t>
  </si>
  <si>
    <t>EQUALSIGN</t>
  </si>
  <si>
    <t>EQUALSSIGN</t>
  </si>
  <si>
    <t>F1</t>
  </si>
  <si>
    <t>F1-1 Power Up</t>
  </si>
  <si>
    <t>Which character must every formula start with?</t>
  </si>
  <si>
    <t>Deck 18</t>
  </si>
  <si>
    <t>Shift+6 on a US keyboard.</t>
  </si>
  <si>
    <t>CARET</t>
  </si>
  <si>
    <t>^</t>
  </si>
  <si>
    <t>Which operator raises a number to a power?</t>
  </si>
  <si>
    <t>Deck 19</t>
  </si>
  <si>
    <t>Multiply before you add.</t>
  </si>
  <si>
    <t>14</t>
  </si>
  <si>
    <t>What does =2+3*4 return?</t>
  </si>
  <si>
    <t>Deck 20</t>
  </si>
  <si>
    <t>Start with = then the two cell addresses.</t>
  </si>
  <si>
    <t>=B2*C2</t>
  </si>
  <si>
    <t>=C2*B2</t>
  </si>
  <si>
    <t>B2*C2</t>
  </si>
  <si>
    <t>C2*B2</t>
  </si>
  <si>
    <t>Type the formula that multiplies cell B2 by cell C2.</t>
  </si>
  <si>
    <t>Deck 21</t>
  </si>
  <si>
    <t>Three letters.</t>
  </si>
  <si>
    <t>=SUM</t>
  </si>
  <si>
    <t>=SUM(</t>
  </si>
  <si>
    <t>=SUM()</t>
  </si>
  <si>
    <t>SUM</t>
  </si>
  <si>
    <t>SUM(</t>
  </si>
  <si>
    <t>SUM()</t>
  </si>
  <si>
    <t>F1-2 Big Six</t>
  </si>
  <si>
    <t>Which function adds up a range of numbers?</t>
  </si>
  <si>
    <t>Deck 22</t>
  </si>
  <si>
    <t>Starts with AVER.</t>
  </si>
  <si>
    <t>=AVERAGE</t>
  </si>
  <si>
    <t>=AVERAGE(</t>
  </si>
  <si>
    <t>=AVERAGE()</t>
  </si>
  <si>
    <t>AVERAGE</t>
  </si>
  <si>
    <t>AVERAGE(</t>
  </si>
  <si>
    <t>AVERAGE()</t>
  </si>
  <si>
    <t>Which function returns the mean of a range?</t>
  </si>
  <si>
    <t>Deck 23</t>
  </si>
  <si>
    <t>Short for maximum.</t>
  </si>
  <si>
    <t>=MAX</t>
  </si>
  <si>
    <t>=MAX(</t>
  </si>
  <si>
    <t>=MAX()</t>
  </si>
  <si>
    <t>MAX</t>
  </si>
  <si>
    <t>MAX(</t>
  </si>
  <si>
    <t>MAX()</t>
  </si>
  <si>
    <t>Which function returns the largest number in a range?</t>
  </si>
  <si>
    <t>Deck 24</t>
  </si>
  <si>
    <t>Short for minimum.</t>
  </si>
  <si>
    <t>=MIN</t>
  </si>
  <si>
    <t>=MIN(</t>
  </si>
  <si>
    <t>=MIN()</t>
  </si>
  <si>
    <t>MIN</t>
  </si>
  <si>
    <t>MIN(</t>
  </si>
  <si>
    <t>MIN()</t>
  </si>
  <si>
    <t>Which function returns the smallest number in a range?</t>
  </si>
  <si>
    <t>Deck 25</t>
  </si>
  <si>
    <t>The plain counting function.</t>
  </si>
  <si>
    <t>=COUNT</t>
  </si>
  <si>
    <t>=COUNT(</t>
  </si>
  <si>
    <t>=COUNT()</t>
  </si>
  <si>
    <t>COUNT</t>
  </si>
  <si>
    <t>COUNT(</t>
  </si>
  <si>
    <t>COUNT()</t>
  </si>
  <si>
    <t>Which function counts only the cells that hold numbers?</t>
  </si>
  <si>
    <t>Deck 26</t>
  </si>
  <si>
    <t>COUNT plus one letter.</t>
  </si>
  <si>
    <t>=COUNTA</t>
  </si>
  <si>
    <t>=COUNTA(</t>
  </si>
  <si>
    <t>=COUNTA()</t>
  </si>
  <si>
    <t>COUNTA</t>
  </si>
  <si>
    <t>COUNTA(</t>
  </si>
  <si>
    <t>COUNTA()</t>
  </si>
  <si>
    <t>Which function counts every non-empty cell?</t>
  </si>
  <si>
    <t>Deck 27</t>
  </si>
  <si>
    <t>Alt plus the equals key.</t>
  </si>
  <si>
    <t>ALT+=</t>
  </si>
  <si>
    <t>Which keys insert an AutoSum formula?</t>
  </si>
  <si>
    <t>Deck 28</t>
  </si>
  <si>
    <t>Put $ before the column and the row.</t>
  </si>
  <si>
    <t>$E$6</t>
  </si>
  <si>
    <t>F1-3 Anchors</t>
  </si>
  <si>
    <t>Type the absolute version of the reference E6.</t>
  </si>
  <si>
    <t>Deck 29</t>
  </si>
  <si>
    <t>The $ goes right before 16.</t>
  </si>
  <si>
    <t>C$16</t>
  </si>
  <si>
    <t>Type a reference to C16 that locks only the row.</t>
  </si>
  <si>
    <t>Deck 30</t>
  </si>
  <si>
    <t>A function key between F3 and F5.</t>
  </si>
  <si>
    <t>F4</t>
  </si>
  <si>
    <t>Which key adds or cycles the $ signs on a reference you are editing?</t>
  </si>
  <si>
    <t>Deck 31</t>
  </si>
  <si>
    <t>D for Down.</t>
  </si>
  <si>
    <t>CTRL+D</t>
  </si>
  <si>
    <t>Which keys copy the top cell down into the selected cells?</t>
  </si>
  <si>
    <t>Deck 32</t>
  </si>
  <si>
    <t>The plain rounding function.</t>
  </si>
  <si>
    <t>=ROUND</t>
  </si>
  <si>
    <t>=ROUND(</t>
  </si>
  <si>
    <t>=ROUND()</t>
  </si>
  <si>
    <t>ROUND</t>
  </si>
  <si>
    <t>ROUND(</t>
  </si>
  <si>
    <t>ROUND()</t>
  </si>
  <si>
    <t>F1-4 Precision</t>
  </si>
  <si>
    <t>Which function rounds a number to a chosen number of digits?</t>
  </si>
  <si>
    <t>Deck 33</t>
  </si>
  <si>
    <t>ROUND plus a direction.</t>
  </si>
  <si>
    <t>=ROUNDUP</t>
  </si>
  <si>
    <t>=ROUNDUP(</t>
  </si>
  <si>
    <t>=ROUNDUP()</t>
  </si>
  <si>
    <t>ROUNDUP</t>
  </si>
  <si>
    <t>ROUNDUP(</t>
  </si>
  <si>
    <t>ROUNDUP()</t>
  </si>
  <si>
    <t>Which function always rounds up, away from zero?</t>
  </si>
  <si>
    <t>Deck 34</t>
  </si>
  <si>
    <t>ROUND plus the other direction.</t>
  </si>
  <si>
    <t>=ROUNDDOWN</t>
  </si>
  <si>
    <t>=ROUNDDOWN(</t>
  </si>
  <si>
    <t>=ROUNDDOWN()</t>
  </si>
  <si>
    <t>ROUNDDOWN</t>
  </si>
  <si>
    <t>ROUNDDOWN(</t>
  </si>
  <si>
    <t>ROUNDDOWN()</t>
  </si>
  <si>
    <t>Which function always rounds down, toward zero?</t>
  </si>
  <si>
    <t>Deck 35</t>
  </si>
  <si>
    <t>Ctrl plus the key left of 1.</t>
  </si>
  <si>
    <t>CTRL+BACKTICK</t>
  </si>
  <si>
    <t>CTRL+GRAVE</t>
  </si>
  <si>
    <t>CTRL+GRAVEACCENT</t>
  </si>
  <si>
    <t>CTRL+`</t>
  </si>
  <si>
    <t>F1-5 X-Ray</t>
  </si>
  <si>
    <t>Which keys switch between showing results and showing formulas?</t>
  </si>
  <si>
    <t>Deck 36</t>
  </si>
  <si>
    <t>The function key after F1.</t>
  </si>
  <si>
    <t>F2</t>
  </si>
  <si>
    <t>Which key edits the active cell and color-codes its references?</t>
  </si>
  <si>
    <t>Deck 37</t>
  </si>
  <si>
    <t>The key above Caps Lock.</t>
  </si>
  <si>
    <t>TAB</t>
  </si>
  <si>
    <t>While typing a function name, which key inserts the highlighted AutoComplete suggestion?</t>
  </si>
  <si>
    <t>Deck 38</t>
  </si>
  <si>
    <t>Ctrl+Shift plus A for arguments.</t>
  </si>
  <si>
    <t>CTRL+SHIFT+A</t>
  </si>
  <si>
    <t>SHIFT+CTRL+A</t>
  </si>
  <si>
    <t>Which keys insert a function's argument names after you type its name?</t>
  </si>
  <si>
    <t>Deck 39</t>
  </si>
  <si>
    <t>Shift plus F3.</t>
  </si>
  <si>
    <t>SHIFT+F3</t>
  </si>
  <si>
    <t>Which keys open the Insert Function dialog?</t>
  </si>
  <si>
    <t>Deck 40</t>
  </si>
  <si>
    <t>Enter plus Shift.</t>
  </si>
  <si>
    <t>SHIFT+ENTER</t>
  </si>
  <si>
    <t>S2</t>
  </si>
  <si>
    <t>S2-1 Quick Entry</t>
  </si>
  <si>
    <t>Which keys confirm an entry and move up one cell?</t>
  </si>
  <si>
    <t>Deck 41</t>
  </si>
  <si>
    <t>Which key confirms an entry and moves one cell to the right?</t>
  </si>
  <si>
    <t>Deck 42</t>
  </si>
  <si>
    <t>Enter plus Ctrl.</t>
  </si>
  <si>
    <t>CTRL+ENTER</t>
  </si>
  <si>
    <t>Which keys fill every selected cell with what you typed?</t>
  </si>
  <si>
    <t>Deck 43</t>
  </si>
  <si>
    <t>Enter plus Alt.</t>
  </si>
  <si>
    <t>ALT+ENTER</t>
  </si>
  <si>
    <t>Which keys start a new line inside the same cell?</t>
  </si>
  <si>
    <t>Deck 44</t>
  </si>
  <si>
    <t>The top-left key.</t>
  </si>
  <si>
    <t>ESC</t>
  </si>
  <si>
    <t>Which key cancels an entry and leaves the cell unchanged?</t>
  </si>
  <si>
    <t>Deck 45</t>
  </si>
  <si>
    <t>C for Copy.</t>
  </si>
  <si>
    <t>CTRL+C</t>
  </si>
  <si>
    <t>S2-2 Clone Machine</t>
  </si>
  <si>
    <t>Which keys copy the selection?</t>
  </si>
  <si>
    <t>Deck 46</t>
  </si>
  <si>
    <t>X looks like scissors.</t>
  </si>
  <si>
    <t>CTRL+X</t>
  </si>
  <si>
    <t>Which keys cut the selection?</t>
  </si>
  <si>
    <t>Deck 47</t>
  </si>
  <si>
    <t>Next to C on the keyboard.</t>
  </si>
  <si>
    <t>CTRL+V</t>
  </si>
  <si>
    <t>Which keys paste?</t>
  </si>
  <si>
    <t>Deck 48</t>
  </si>
  <si>
    <t>Paste plus Alt.</t>
  </si>
  <si>
    <t>ALT+CTRL+V</t>
  </si>
  <si>
    <t>CTRL+ALT+V</t>
  </si>
  <si>
    <t>Which keys open Paste Special?</t>
  </si>
  <si>
    <t>Deck 49</t>
  </si>
  <si>
    <t>R for Right.</t>
  </si>
  <si>
    <t>CTRL+R</t>
  </si>
  <si>
    <t>Which keys copy the left cell into the selected cells to its right?</t>
  </si>
  <si>
    <t>Deck 50</t>
  </si>
  <si>
    <t>The bottom-left letter.</t>
  </si>
  <si>
    <t>CTRL+Z</t>
  </si>
  <si>
    <t>Which keys undo the last action?</t>
  </si>
  <si>
    <t>Deck 51</t>
  </si>
  <si>
    <t>The letter after X.</t>
  </si>
  <si>
    <t>CTRL+Y</t>
  </si>
  <si>
    <t>Which keys redo or repeat the last action?</t>
  </si>
  <si>
    <t>Deck 52</t>
  </si>
  <si>
    <t>Ctrl plus the semicolon key.</t>
  </si>
  <si>
    <t>CTRL+;</t>
  </si>
  <si>
    <t>CTRL+SEMICOLON</t>
  </si>
  <si>
    <t>S2-3 Stamps &amp; Smart Fill</t>
  </si>
  <si>
    <t>Which keys type today's date as a fixed value?</t>
  </si>
  <si>
    <t>Deck 53</t>
  </si>
  <si>
    <t>The date keys plus Shift.</t>
  </si>
  <si>
    <t>CTRL+:</t>
  </si>
  <si>
    <t>CTRL+SHIFT+:</t>
  </si>
  <si>
    <t>CTRL+SHIFT+;</t>
  </si>
  <si>
    <t>CTRL+SHIFT+COLON</t>
  </si>
  <si>
    <t>SHIFT+CTRL+:</t>
  </si>
  <si>
    <t>SHIFT+CTRL+;</t>
  </si>
  <si>
    <t>SHIFT+CTRL+COLON</t>
  </si>
  <si>
    <t>Which keys type the current time as a fixed value?</t>
  </si>
  <si>
    <t>Deck 54</t>
  </si>
  <si>
    <t>E for Example.</t>
  </si>
  <si>
    <t>CTRL+E</t>
  </si>
  <si>
    <t>Which keys run Flash Fill?</t>
  </si>
  <si>
    <t>Deck 55</t>
  </si>
  <si>
    <t>Alt plus an arrow.</t>
  </si>
  <si>
    <t>ALT+DOWN</t>
  </si>
  <si>
    <t>Which keys open the dropdown list of a cell?</t>
  </si>
  <si>
    <t>Deck 56</t>
  </si>
  <si>
    <t>Two characters: &gt; then =.</t>
  </si>
  <si>
    <t>&gt;=</t>
  </si>
  <si>
    <t>F2-1 True or False</t>
  </si>
  <si>
    <t>Which operator means 'greater than or equal to'?</t>
  </si>
  <si>
    <t>Deck 57</t>
  </si>
  <si>
    <t>Less-than then greater-than.</t>
  </si>
  <si>
    <t>&lt;&gt;</t>
  </si>
  <si>
    <t>Which operator means 'not equal to'?</t>
  </si>
  <si>
    <t>Deck 58</t>
  </si>
  <si>
    <t>Shift plus the apostrophe key.</t>
  </si>
  <si>
    <t>"</t>
  </si>
  <si>
    <t>DOUBLEQUOTES</t>
  </si>
  <si>
    <t>QUOTATIONMARKS</t>
  </si>
  <si>
    <t>QUOTES</t>
  </si>
  <si>
    <t>What must surround text inside a formula?</t>
  </si>
  <si>
    <t>Deck 59</t>
  </si>
  <si>
    <t>Two letters.</t>
  </si>
  <si>
    <t>=IF</t>
  </si>
  <si>
    <t>=IF(</t>
  </si>
  <si>
    <t>=IF()</t>
  </si>
  <si>
    <t>IF</t>
  </si>
  <si>
    <t>IF(</t>
  </si>
  <si>
    <t>IF()</t>
  </si>
  <si>
    <t>F2-2 Fork in the Road</t>
  </si>
  <si>
    <t>Which function returns one value when a test is TRUE and another when FALSE?</t>
  </si>
  <si>
    <t>Deck 60</t>
  </si>
  <si>
    <t>50 is not more than 100.</t>
  </si>
  <si>
    <t>50</t>
  </si>
  <si>
    <t>In =IF(B2&gt;100,B2*0.9,B2), what is returned when B2 is 50?</t>
  </si>
  <si>
    <t>Deck 61</t>
  </si>
  <si>
    <t>Two double quotes, nothing inside.</t>
  </si>
  <si>
    <t>""</t>
  </si>
  <si>
    <t>What do you type in a formula for an empty, blank-looking result?</t>
  </si>
  <si>
    <t>Deck 62</t>
  </si>
  <si>
    <t>Three letters: all must pass.</t>
  </si>
  <si>
    <t>=AND</t>
  </si>
  <si>
    <t>=AND(</t>
  </si>
  <si>
    <t>=AND()</t>
  </si>
  <si>
    <t>AND</t>
  </si>
  <si>
    <t>AND(</t>
  </si>
  <si>
    <t>AND()</t>
  </si>
  <si>
    <t>F2-3 Combo Moves</t>
  </si>
  <si>
    <t>Which function is TRUE only when all its conditions are TRUE?</t>
  </si>
  <si>
    <t>Deck 63</t>
  </si>
  <si>
    <t>Two letters: any can pass.</t>
  </si>
  <si>
    <t>=OR</t>
  </si>
  <si>
    <t>=OR(</t>
  </si>
  <si>
    <t>=OR()</t>
  </si>
  <si>
    <t>OR</t>
  </si>
  <si>
    <t>OR(</t>
  </si>
  <si>
    <t>OR()</t>
  </si>
  <si>
    <t>Which function is TRUE when at least one condition is TRUE?</t>
  </si>
  <si>
    <t>Deck 64</t>
  </si>
  <si>
    <t>Three letters: the opposite.</t>
  </si>
  <si>
    <t>=NOT</t>
  </si>
  <si>
    <t>=NOT(</t>
  </si>
  <si>
    <t>=NOT()</t>
  </si>
  <si>
    <t>NOT</t>
  </si>
  <si>
    <t>NOT(</t>
  </si>
  <si>
    <t>NOT()</t>
  </si>
  <si>
    <t>Which function flips TRUE and FALSE?</t>
  </si>
  <si>
    <t>Deck 65</t>
  </si>
  <si>
    <t>One fewer than the outcomes.</t>
  </si>
  <si>
    <t>2</t>
  </si>
  <si>
    <t>TWO</t>
  </si>
  <si>
    <t>F2-4 Multi-Level</t>
  </si>
  <si>
    <t>How many IF functions does a nested IF need for 3 outcomes?</t>
  </si>
  <si>
    <t>Deck 66</t>
  </si>
  <si>
    <t>IF plus one letter.</t>
  </si>
  <si>
    <t>=IFS</t>
  </si>
  <si>
    <t>=IFS(</t>
  </si>
  <si>
    <t>=IFS()</t>
  </si>
  <si>
    <t>IFS</t>
  </si>
  <si>
    <t>IFS(</t>
  </si>
  <si>
    <t>IFS()</t>
  </si>
  <si>
    <t>Which function tests several conditions in order without nesting?</t>
  </si>
  <si>
    <t>Deck 67</t>
  </si>
  <si>
    <t>A test that is always true.</t>
  </si>
  <si>
    <t>TRUE</t>
  </si>
  <si>
    <t>In IFS, what do you put as the last test to catch all remaining cases?</t>
  </si>
  <si>
    <t>Deck 68</t>
  </si>
  <si>
    <t>IF plus ERROR.</t>
  </si>
  <si>
    <t>=IFERROR</t>
  </si>
  <si>
    <t>=IFERROR(</t>
  </si>
  <si>
    <t>=IFERROR()</t>
  </si>
  <si>
    <t>IFERROR</t>
  </si>
  <si>
    <t>IFERROR(</t>
  </si>
  <si>
    <t>IFERROR()</t>
  </si>
  <si>
    <t>F2-5 Error Shield</t>
  </si>
  <si>
    <t>Which function replaces any error with your own value?</t>
  </si>
  <si>
    <t>Deck 69</t>
  </si>
  <si>
    <t>IF plus NA.</t>
  </si>
  <si>
    <t>=IFNA</t>
  </si>
  <si>
    <t>=IFNA(</t>
  </si>
  <si>
    <t>=IFNA()</t>
  </si>
  <si>
    <t>IFNA</t>
  </si>
  <si>
    <t>IFNA(</t>
  </si>
  <si>
    <t>IFNA()</t>
  </si>
  <si>
    <t>Which function replaces only the #N/A error?</t>
  </si>
  <si>
    <t>Deck 70</t>
  </si>
  <si>
    <t>IS plus BLANK.</t>
  </si>
  <si>
    <t>=ISBLANK</t>
  </si>
  <si>
    <t>=ISBLANK(</t>
  </si>
  <si>
    <t>=ISBLANK()</t>
  </si>
  <si>
    <t>ISBLANK</t>
  </si>
  <si>
    <t>ISBLANK(</t>
  </si>
  <si>
    <t>ISBLANK()</t>
  </si>
  <si>
    <t>Which function is TRUE when a cell is empty?</t>
  </si>
  <si>
    <t>Deck 71</t>
  </si>
  <si>
    <t>IS plus NUMBER.</t>
  </si>
  <si>
    <t>=ISNUMBER</t>
  </si>
  <si>
    <t>=ISNUMBER(</t>
  </si>
  <si>
    <t>=ISNUMBER()</t>
  </si>
  <si>
    <t>ISNUMBER</t>
  </si>
  <si>
    <t>ISNUMBER(</t>
  </si>
  <si>
    <t>ISNUMBER()</t>
  </si>
  <si>
    <t>Which function is TRUE when a value is a number?</t>
  </si>
  <si>
    <t>Deck 72</t>
  </si>
  <si>
    <t>Ctrl+Shift plus the dollar key.</t>
  </si>
  <si>
    <t>CTRL+SHIFT+$</t>
  </si>
  <si>
    <t>CTRL+SHIFT+4</t>
  </si>
  <si>
    <t>SHIFT+CTRL+$</t>
  </si>
  <si>
    <t>SHIFT+CTRL+4</t>
  </si>
  <si>
    <t>S3</t>
  </si>
  <si>
    <t>S3-1 Number Skins</t>
  </si>
  <si>
    <t>Which keys apply the Currency format?</t>
  </si>
  <si>
    <t>Deck 73</t>
  </si>
  <si>
    <t>Ctrl+Shift plus the % key.</t>
  </si>
  <si>
    <t>CTRL+SHIFT+%</t>
  </si>
  <si>
    <t>CTRL+SHIFT+5</t>
  </si>
  <si>
    <t>SHIFT+CTRL+%</t>
  </si>
  <si>
    <t>SHIFT+CTRL+5</t>
  </si>
  <si>
    <t>Which keys apply the Percent format?</t>
  </si>
  <si>
    <t>Deck 74</t>
  </si>
  <si>
    <t>Ctrl+Shift plus the ! key.</t>
  </si>
  <si>
    <t>CTRL+SHIFT+!</t>
  </si>
  <si>
    <t>CTRL+SHIFT+1</t>
  </si>
  <si>
    <t>SHIFT+CTRL+!</t>
  </si>
  <si>
    <t>SHIFT+CTRL+1</t>
  </si>
  <si>
    <t>Which keys apply the Number format with a thousands separator?</t>
  </si>
  <si>
    <t>Deck 75</t>
  </si>
  <si>
    <t>Ctrl+Shift plus the # key.</t>
  </si>
  <si>
    <t>CTRL+SHIFT+#</t>
  </si>
  <si>
    <t>CTRL+SHIFT+3</t>
  </si>
  <si>
    <t>SHIFT+CTRL+#</t>
  </si>
  <si>
    <t>SHIFT+CTRL+3</t>
  </si>
  <si>
    <t>Which keys apply the Date format?</t>
  </si>
  <si>
    <t>Deck 76</t>
  </si>
  <si>
    <t>Ctrl+Shift plus the @ key.</t>
  </si>
  <si>
    <t>CTRL+SHIFT+2</t>
  </si>
  <si>
    <t>CTRL+SHIFT+@</t>
  </si>
  <si>
    <t>SHIFT+CTRL+2</t>
  </si>
  <si>
    <t>SHIFT+CTRL+@</t>
  </si>
  <si>
    <t>Which keys apply the Time format?</t>
  </si>
  <si>
    <t>Deck 77</t>
  </si>
  <si>
    <t>Ctrl+Shift plus the ~ key.</t>
  </si>
  <si>
    <t>CTRL+SHIFT+`</t>
  </si>
  <si>
    <t>CTRL+SHIFT+~</t>
  </si>
  <si>
    <t>SHIFT+CTRL+`</t>
  </si>
  <si>
    <t>SHIFT+CTRL+~</t>
  </si>
  <si>
    <t>Which keys reset a cell to the General format?</t>
  </si>
  <si>
    <t>Deck 78</t>
  </si>
  <si>
    <t>B for Bold.</t>
  </si>
  <si>
    <t>CTRL+2</t>
  </si>
  <si>
    <t>CTRL+B</t>
  </si>
  <si>
    <t>S3-2 Text Style</t>
  </si>
  <si>
    <t>Which keys toggle bold?</t>
  </si>
  <si>
    <t>Deck 79</t>
  </si>
  <si>
    <t>I for Italic.</t>
  </si>
  <si>
    <t>CTRL+3</t>
  </si>
  <si>
    <t>CTRL+I</t>
  </si>
  <si>
    <t>Which keys toggle italic?</t>
  </si>
  <si>
    <t>Deck 80</t>
  </si>
  <si>
    <t>U for Underline.</t>
  </si>
  <si>
    <t>CTRL+4</t>
  </si>
  <si>
    <t>CTRL+U</t>
  </si>
  <si>
    <t>Which keys toggle underline?</t>
  </si>
  <si>
    <t>Deck 81</t>
  </si>
  <si>
    <t>Ctrl plus a number key.</t>
  </si>
  <si>
    <t>CTRL+5</t>
  </si>
  <si>
    <t>Which keys toggle strikethrough?</t>
  </si>
  <si>
    <t>Deck 82</t>
  </si>
  <si>
    <t>Ctrl plus the number 1.</t>
  </si>
  <si>
    <t>CTRL+1</t>
  </si>
  <si>
    <t>S3-3 Format Power</t>
  </si>
  <si>
    <t>Which keys open the Format Cells dialog?</t>
  </si>
  <si>
    <t>Deck 83</t>
  </si>
  <si>
    <t>Ctrl+Shift plus the &amp; key.</t>
  </si>
  <si>
    <t>CTRL+SHIFT+&amp;</t>
  </si>
  <si>
    <t>CTRL+SHIFT+7</t>
  </si>
  <si>
    <t>SHIFT+CTRL+&amp;</t>
  </si>
  <si>
    <t>SHIFT+CTRL+7</t>
  </si>
  <si>
    <t>Which keys add an outline border?</t>
  </si>
  <si>
    <t>Deck 84</t>
  </si>
  <si>
    <t>Ctrl+Shift plus the underscore key.</t>
  </si>
  <si>
    <t>CTRL+SHIFT+-</t>
  </si>
  <si>
    <t>CTRL+SHIFT+_</t>
  </si>
  <si>
    <t>SHIFT+CTRL+-</t>
  </si>
  <si>
    <t>SHIFT+CTRL+_</t>
  </si>
  <si>
    <t>Which keys remove the outline border?</t>
  </si>
  <si>
    <t>Deck 85</t>
  </si>
  <si>
    <t>The key next to the spacebar.</t>
  </si>
  <si>
    <t>ALT</t>
  </si>
  <si>
    <t>F10</t>
  </si>
  <si>
    <t>Which key shows the ribbon KeyTips?</t>
  </si>
  <si>
    <t>Deck 86</t>
  </si>
  <si>
    <t>Alt, then H, then A, then C.</t>
  </si>
  <si>
    <t>ALT+H+A+C</t>
  </si>
  <si>
    <t>ALT+H,A,C</t>
  </si>
  <si>
    <t>ALT+H&gt;A&gt;C</t>
  </si>
  <si>
    <t>ALT+HAC</t>
  </si>
  <si>
    <t>ALT,H+A+C</t>
  </si>
  <si>
    <t>ALT,H,A,C</t>
  </si>
  <si>
    <t>ALT,H&gt;A&gt;C</t>
  </si>
  <si>
    <t>ALT,HAC</t>
  </si>
  <si>
    <t>ALT&gt;H+A+C</t>
  </si>
  <si>
    <t>ALT&gt;H,A,C</t>
  </si>
  <si>
    <t>ALT&gt;H&gt;A&gt;C</t>
  </si>
  <si>
    <t>ALT&gt;HAC</t>
  </si>
  <si>
    <t>ALTH+A+C</t>
  </si>
  <si>
    <t>ALTH,A,C</t>
  </si>
  <si>
    <t>ALTH&gt;A&gt;C</t>
  </si>
  <si>
    <t>ALTHAC</t>
  </si>
  <si>
    <t>Which KeyTips center the selected cells?</t>
  </si>
  <si>
    <t>Deck 87</t>
  </si>
  <si>
    <t>Alt, then H, then H again.</t>
  </si>
  <si>
    <t>ALT+H+H</t>
  </si>
  <si>
    <t>ALT+H,H</t>
  </si>
  <si>
    <t>ALT+H&gt;H</t>
  </si>
  <si>
    <t>ALT+HH</t>
  </si>
  <si>
    <t>ALT,H+H</t>
  </si>
  <si>
    <t>ALT,H,H</t>
  </si>
  <si>
    <t>ALT,H&gt;H</t>
  </si>
  <si>
    <t>ALT,HH</t>
  </si>
  <si>
    <t>ALT&gt;H+H</t>
  </si>
  <si>
    <t>ALT&gt;H,H</t>
  </si>
  <si>
    <t>ALT&gt;H&gt;H</t>
  </si>
  <si>
    <t>ALT&gt;HH</t>
  </si>
  <si>
    <t>ALTH+H</t>
  </si>
  <si>
    <t>ALTH,H</t>
  </si>
  <si>
    <t>ALTH&gt;H</t>
  </si>
  <si>
    <t>ALTHH</t>
  </si>
  <si>
    <t>Which KeyTips open the Fill Color menu?</t>
  </si>
  <si>
    <t>Deck 88</t>
  </si>
  <si>
    <t>A function key.</t>
  </si>
  <si>
    <t>Which key repeats your last action?</t>
  </si>
  <si>
    <t>Deck 89</t>
  </si>
  <si>
    <t>COUNT plus IF.</t>
  </si>
  <si>
    <t>=COUNTIF</t>
  </si>
  <si>
    <t>=COUNTIF(</t>
  </si>
  <si>
    <t>=COUNTIF()</t>
  </si>
  <si>
    <t>COUNTIF</t>
  </si>
  <si>
    <t>COUNTIF(</t>
  </si>
  <si>
    <t>COUNTIF()</t>
  </si>
  <si>
    <t>F3</t>
  </si>
  <si>
    <t>F3-1 Counters</t>
  </si>
  <si>
    <t>Which function counts cells that meet one condition?</t>
  </si>
  <si>
    <t>Deck 90</t>
  </si>
  <si>
    <t>Quotes around &gt;50.</t>
  </si>
  <si>
    <t>"&gt;50"</t>
  </si>
  <si>
    <t>Type the COUNTIF criteria for "greater than 50", quotes included.</t>
  </si>
  <si>
    <t>Deck 91</t>
  </si>
  <si>
    <t>Shift+8.</t>
  </si>
  <si>
    <t>*</t>
  </si>
  <si>
    <t>ASTERISK</t>
  </si>
  <si>
    <t>Which wildcard matches any number of characters?</t>
  </si>
  <si>
    <t>Deck 92</t>
  </si>
  <si>
    <t>SUM plus IF.</t>
  </si>
  <si>
    <t>=SUMIF</t>
  </si>
  <si>
    <t>=SUMIF(</t>
  </si>
  <si>
    <t>=SUMIF()</t>
  </si>
  <si>
    <t>SUMIF</t>
  </si>
  <si>
    <t>SUMIF(</t>
  </si>
  <si>
    <t>SUMIF()</t>
  </si>
  <si>
    <t>F3-2 Money Bags</t>
  </si>
  <si>
    <t>Which function adds values that meet one condition?</t>
  </si>
  <si>
    <t>Deck 93</t>
  </si>
  <si>
    <t>AVERAGE plus IF.</t>
  </si>
  <si>
    <t>=AVERAGEIF</t>
  </si>
  <si>
    <t>=AVERAGEIF(</t>
  </si>
  <si>
    <t>=AVERAGEIF()</t>
  </si>
  <si>
    <t>AVERAGEIF</t>
  </si>
  <si>
    <t>AVERAGEIF(</t>
  </si>
  <si>
    <t>AVERAGEIF()</t>
  </si>
  <si>
    <t>Which function averages values that meet one condition?</t>
  </si>
  <si>
    <t>Deck 94</t>
  </si>
  <si>
    <t>COUNTIF plus S.</t>
  </si>
  <si>
    <t>=COUNTIFS</t>
  </si>
  <si>
    <t>=COUNTIFS(</t>
  </si>
  <si>
    <t>=COUNTIFS()</t>
  </si>
  <si>
    <t>COUNTIFS</t>
  </si>
  <si>
    <t>COUNTIFS(</t>
  </si>
  <si>
    <t>COUNTIFS()</t>
  </si>
  <si>
    <t>F3-3 Multi-Filter</t>
  </si>
  <si>
    <t>Which function counts rows that meet several conditions?</t>
  </si>
  <si>
    <t>Deck 95</t>
  </si>
  <si>
    <t>SUMIF plus S.</t>
  </si>
  <si>
    <t>=SUMIFS</t>
  </si>
  <si>
    <t>=SUMIFS(</t>
  </si>
  <si>
    <t>=SUMIFS()</t>
  </si>
  <si>
    <t>SUMIFS</t>
  </si>
  <si>
    <t>SUMIFS(</t>
  </si>
  <si>
    <t>SUMIFS()</t>
  </si>
  <si>
    <t>Which function adds values that meet several conditions?</t>
  </si>
  <si>
    <t>Deck 96</t>
  </si>
  <si>
    <t>AVERAGEIF plus S.</t>
  </si>
  <si>
    <t>=AVERAGEIFS</t>
  </si>
  <si>
    <t>=AVERAGEIFS(</t>
  </si>
  <si>
    <t>=AVERAGEIFS()</t>
  </si>
  <si>
    <t>AVERAGEIFS</t>
  </si>
  <si>
    <t>AVERAGEIFS(</t>
  </si>
  <si>
    <t>AVERAGEIFS()</t>
  </si>
  <si>
    <t>Which function averages values that meet several conditions?</t>
  </si>
  <si>
    <t>Deck 97</t>
  </si>
  <si>
    <t>MAX plus IFS.</t>
  </si>
  <si>
    <t>=MAXIFS</t>
  </si>
  <si>
    <t>=MAXIFS(</t>
  </si>
  <si>
    <t>=MAXIFS()</t>
  </si>
  <si>
    <t>MAXIFS</t>
  </si>
  <si>
    <t>MAXIFS(</t>
  </si>
  <si>
    <t>MAXIFS()</t>
  </si>
  <si>
    <t>F3-4 Extremes</t>
  </si>
  <si>
    <t>Which function returns the largest value that meets conditions?</t>
  </si>
  <si>
    <t>Deck 98</t>
  </si>
  <si>
    <t>MIN plus IFS.</t>
  </si>
  <si>
    <t>=MINIFS</t>
  </si>
  <si>
    <t>=MINIFS(</t>
  </si>
  <si>
    <t>=MINIFS()</t>
  </si>
  <si>
    <t>MINIFS</t>
  </si>
  <si>
    <t>MINIFS(</t>
  </si>
  <si>
    <t>MINIFS()</t>
  </si>
  <si>
    <t>Which function returns the smallest value that meets conditions?</t>
  </si>
  <si>
    <t>Deck 99</t>
  </si>
  <si>
    <t>Shift+7.</t>
  </si>
  <si>
    <t>&amp;</t>
  </si>
  <si>
    <t>AMPERSAND</t>
  </si>
  <si>
    <t>Which character joins "&gt;=" to a cell reference in criteria?</t>
  </si>
  <si>
    <t>Deck 100</t>
  </si>
  <si>
    <t>One pair per edge.</t>
  </si>
  <si>
    <t>How many range/criteria pairs do you need for 'dates between a start and an end'?</t>
  </si>
  <si>
    <t>Deck 101</t>
  </si>
  <si>
    <t>Ctrl+Shift plus the + key.</t>
  </si>
  <si>
    <t>CTRL++</t>
  </si>
  <si>
    <t>CTRL+SHIFT++</t>
  </si>
  <si>
    <t>CTRL+SHIFT+=</t>
  </si>
  <si>
    <t>SHIFT+CTRL++</t>
  </si>
  <si>
    <t>SHIFT+CTRL+=</t>
  </si>
  <si>
    <t>S4</t>
  </si>
  <si>
    <t>S4-1 Construction Crew</t>
  </si>
  <si>
    <t>Which keys insert cells or rows?</t>
  </si>
  <si>
    <t>Deck 102</t>
  </si>
  <si>
    <t>Ctrl plus the minus key.</t>
  </si>
  <si>
    <t>CTRL+-</t>
  </si>
  <si>
    <t>Which keys delete the selected cells or rows?</t>
  </si>
  <si>
    <t>Deck 103</t>
  </si>
  <si>
    <t>CTRL+9</t>
  </si>
  <si>
    <t>Which keys hide the selected rows?</t>
  </si>
  <si>
    <t>Deck 104</t>
  </si>
  <si>
    <t>Ctrl plus zero.</t>
  </si>
  <si>
    <t>CTRL+0</t>
  </si>
  <si>
    <t>Which keys hide the selected columns?</t>
  </si>
  <si>
    <t>Deck 105</t>
  </si>
  <si>
    <t>Shift plus F11.</t>
  </si>
  <si>
    <t>ALT+SHIFT+F1</t>
  </si>
  <si>
    <t>SHIFT+ALT+F1</t>
  </si>
  <si>
    <t>SHIFT+F11</t>
  </si>
  <si>
    <t>S4-2 Sheet Master</t>
  </si>
  <si>
    <t>Which keys insert a new worksheet?</t>
  </si>
  <si>
    <t>Deck 106</t>
  </si>
  <si>
    <t>Alt, H, O, R one after another.</t>
  </si>
  <si>
    <t>ALT+H+O+R</t>
  </si>
  <si>
    <t>ALT+H,O,R</t>
  </si>
  <si>
    <t>ALT+H&gt;O&gt;R</t>
  </si>
  <si>
    <t>ALT+HOR</t>
  </si>
  <si>
    <t>ALT,H+O+R</t>
  </si>
  <si>
    <t>ALT,H,O,R</t>
  </si>
  <si>
    <t>ALT,H&gt;O&gt;R</t>
  </si>
  <si>
    <t>ALT,HOR</t>
  </si>
  <si>
    <t>ALT&gt;H+O+R</t>
  </si>
  <si>
    <t>ALT&gt;H,O,R</t>
  </si>
  <si>
    <t>ALT&gt;H&gt;O&gt;R</t>
  </si>
  <si>
    <t>ALT&gt;HOR</t>
  </si>
  <si>
    <t>ALTH+O+R</t>
  </si>
  <si>
    <t>ALTH,O,R</t>
  </si>
  <si>
    <t>ALTH&gt;O&gt;R</t>
  </si>
  <si>
    <t>ALTHOR</t>
  </si>
  <si>
    <t>Which KeyTips rename the current sheet?</t>
  </si>
  <si>
    <t>Deck 107</t>
  </si>
  <si>
    <t>S for Save.</t>
  </si>
  <si>
    <t>CTRL+S</t>
  </si>
  <si>
    <t>Which keys save the workbook?</t>
  </si>
  <si>
    <t>Deck 108</t>
  </si>
  <si>
    <t>The last function key.</t>
  </si>
  <si>
    <t>F12</t>
  </si>
  <si>
    <t>Which key opens Save As?</t>
  </si>
  <si>
    <t>Deck 109</t>
  </si>
  <si>
    <t>N for New.</t>
  </si>
  <si>
    <t>CTRL+N</t>
  </si>
  <si>
    <t>Which keys create a new blank workbook?</t>
  </si>
  <si>
    <t>Deck 110</t>
  </si>
  <si>
    <t>O for Open.</t>
  </si>
  <si>
    <t>CTRL+O</t>
  </si>
  <si>
    <t>Which keys open a workbook?</t>
  </si>
  <si>
    <t>Deck 111</t>
  </si>
  <si>
    <t>W for Window.</t>
  </si>
  <si>
    <t>CTRL+W</t>
  </si>
  <si>
    <t>Which keys close the current workbook?</t>
  </si>
  <si>
    <t>Deck 112</t>
  </si>
  <si>
    <t>P for Print.</t>
  </si>
  <si>
    <t>CTRL+P</t>
  </si>
  <si>
    <t>Which keys open Print?</t>
  </si>
  <si>
    <t>Deck 113</t>
  </si>
  <si>
    <t>F for Find.</t>
  </si>
  <si>
    <t>CTRL+F</t>
  </si>
  <si>
    <t>S4-3 Detective</t>
  </si>
  <si>
    <t>Which keys open Find?</t>
  </si>
  <si>
    <t>Deck 114</t>
  </si>
  <si>
    <t>The letter after G.</t>
  </si>
  <si>
    <t>CTRL+H</t>
  </si>
  <si>
    <t>Which keys open Find and Replace on the Replace tab?</t>
  </si>
  <si>
    <t>Deck 115</t>
  </si>
  <si>
    <t>Ctrl+Shift plus L.</t>
  </si>
  <si>
    <t>CTRL+SHIFT+L</t>
  </si>
  <si>
    <t>SHIFT+CTRL+L</t>
  </si>
  <si>
    <t>S4-4 Data Wrangler</t>
  </si>
  <si>
    <t>Which keys turn filter buttons on and off?</t>
  </si>
  <si>
    <t>Deck 116</t>
  </si>
  <si>
    <t>The same keys that open a dropdown.</t>
  </si>
  <si>
    <t>Which keys open the filter menu of a header cell?</t>
  </si>
  <si>
    <t>Deck 117</t>
  </si>
  <si>
    <t>T for Table.</t>
  </si>
  <si>
    <t>CTRL+L</t>
  </si>
  <si>
    <t>CTRL+T</t>
  </si>
  <si>
    <t>Which keys turn a range into a Table?</t>
  </si>
  <si>
    <t>Deck 118</t>
  </si>
  <si>
    <t>Alt, A, S, then A for ascending.</t>
  </si>
  <si>
    <t>ALT+A+S+A</t>
  </si>
  <si>
    <t>ALT+A,S,A</t>
  </si>
  <si>
    <t>ALT+A&gt;S&gt;A</t>
  </si>
  <si>
    <t>ALT+ASA</t>
  </si>
  <si>
    <t>ALT,A+S+A</t>
  </si>
  <si>
    <t>ALT,A,S,A</t>
  </si>
  <si>
    <t>ALT,A&gt;S&gt;A</t>
  </si>
  <si>
    <t>ALT,ASA</t>
  </si>
  <si>
    <t>ALT&gt;A+S+A</t>
  </si>
  <si>
    <t>ALT&gt;A,S,A</t>
  </si>
  <si>
    <t>ALT&gt;A&gt;S&gt;A</t>
  </si>
  <si>
    <t>ALT&gt;ASA</t>
  </si>
  <si>
    <t>ALTA+S+A</t>
  </si>
  <si>
    <t>ALTA,S,A</t>
  </si>
  <si>
    <t>ALTA&gt;S&gt;A</t>
  </si>
  <si>
    <t>ALTASA</t>
  </si>
  <si>
    <t>Which KeyTips sort A to Z?</t>
  </si>
  <si>
    <t>Deck 119</t>
  </si>
  <si>
    <t>Alt, A, S, then D for descending.</t>
  </si>
  <si>
    <t>ALT+A+S+D</t>
  </si>
  <si>
    <t>ALT+A,S,D</t>
  </si>
  <si>
    <t>ALT+A&gt;S&gt;D</t>
  </si>
  <si>
    <t>ALT+ASD</t>
  </si>
  <si>
    <t>ALT,A+S+D</t>
  </si>
  <si>
    <t>ALT,A,S,D</t>
  </si>
  <si>
    <t>ALT,A&gt;S&gt;D</t>
  </si>
  <si>
    <t>ALT,ASD</t>
  </si>
  <si>
    <t>ALT&gt;A+S+D</t>
  </si>
  <si>
    <t>ALT&gt;A,S,D</t>
  </si>
  <si>
    <t>ALT&gt;A&gt;S&gt;D</t>
  </si>
  <si>
    <t>ALT&gt;ASD</t>
  </si>
  <si>
    <t>ALTA+S+D</t>
  </si>
  <si>
    <t>ALTA,S,D</t>
  </si>
  <si>
    <t>ALTA&gt;S&gt;D</t>
  </si>
  <si>
    <t>ALTASD</t>
  </si>
  <si>
    <t>Which KeyTips sort Z to A?</t>
  </si>
  <si>
    <t>Deck 120</t>
  </si>
  <si>
    <t>Alt plus F1.</t>
  </si>
  <si>
    <t>ALT+F1</t>
  </si>
  <si>
    <t>Which keys insert an instant chart on the sheet?</t>
  </si>
  <si>
    <t>Deck 121</t>
  </si>
  <si>
    <t>X plus LOOKUP.</t>
  </si>
  <si>
    <t>=XLOOKUP</t>
  </si>
  <si>
    <t>=XLOOKUP(</t>
  </si>
  <si>
    <t>=XLOOKUP()</t>
  </si>
  <si>
    <t>XLOOKUP</t>
  </si>
  <si>
    <t>XLOOKUP(</t>
  </si>
  <si>
    <t>XLOOKUP()</t>
  </si>
  <si>
    <t>F4-1 Seeker</t>
  </si>
  <si>
    <t>Which modern function finds a value and returns the matching item from another column?</t>
  </si>
  <si>
    <t>Deck 122</t>
  </si>
  <si>
    <t>The F4 symbol.</t>
  </si>
  <si>
    <t>$</t>
  </si>
  <si>
    <t>DOLLAR</t>
  </si>
  <si>
    <t>DOLLARSIGN</t>
  </si>
  <si>
    <t>Which symbol locks a range so it doesn't shift when you fill down?</t>
  </si>
  <si>
    <t>Deck 123</t>
  </si>
  <si>
    <t>After lookup, lookup array, return array.</t>
  </si>
  <si>
    <t>4</t>
  </si>
  <si>
    <t>4TH</t>
  </si>
  <si>
    <t>FOURTH</t>
  </si>
  <si>
    <t>IF_NOT_FOUND</t>
  </si>
  <si>
    <t>F4-2 Safety Net</t>
  </si>
  <si>
    <t>Which XLOOKUP argument number sets the result when no match is found?</t>
  </si>
  <si>
    <t>Deck 124</t>
  </si>
  <si>
    <t>Count E and F.</t>
  </si>
  <si>
    <t>If the return array is E6:F20, how many columns does the result spill into?</t>
  </si>
  <si>
    <t>Deck 125</t>
  </si>
  <si>
    <t>V for vertical.</t>
  </si>
  <si>
    <t>=VLOOKUP</t>
  </si>
  <si>
    <t>=VLOOKUP(</t>
  </si>
  <si>
    <t>=VLOOKUP()</t>
  </si>
  <si>
    <t>VLOOKUP</t>
  </si>
  <si>
    <t>VLOOKUP(</t>
  </si>
  <si>
    <t>VLOOKUP()</t>
  </si>
  <si>
    <t>F4-3 Old School</t>
  </si>
  <si>
    <t>Which classic function searches the first column of a table and returns a column by number?</t>
  </si>
  <si>
    <t>Deck 126</t>
  </si>
  <si>
    <t>The opposite of TRUE.</t>
  </si>
  <si>
    <t>0</t>
  </si>
  <si>
    <t>FALSE</t>
  </si>
  <si>
    <t>Which 4th argument makes VLOOKUP find an exact match?</t>
  </si>
  <si>
    <t>Deck 127</t>
  </si>
  <si>
    <t>Like a book's index.</t>
  </si>
  <si>
    <t>=INDEX</t>
  </si>
  <si>
    <t>=INDEX(</t>
  </si>
  <si>
    <t>=INDEX()</t>
  </si>
  <si>
    <t>INDEX</t>
  </si>
  <si>
    <t>INDEX(</t>
  </si>
  <si>
    <t>INDEX()</t>
  </si>
  <si>
    <t>F4-4 Power Couple</t>
  </si>
  <si>
    <t>Which function returns the item at a given position in a range?</t>
  </si>
  <si>
    <t>Deck 128</t>
  </si>
  <si>
    <t>It finds a match.</t>
  </si>
  <si>
    <t>=MATCH</t>
  </si>
  <si>
    <t>=MATCH(</t>
  </si>
  <si>
    <t>=MATCH()</t>
  </si>
  <si>
    <t>MATCH</t>
  </si>
  <si>
    <t>MATCH(</t>
  </si>
  <si>
    <t>MATCH()</t>
  </si>
  <si>
    <t>Which function returns the position of a value in a range?</t>
  </si>
  <si>
    <t>Deck 129</t>
  </si>
  <si>
    <t>The position finder.</t>
  </si>
  <si>
    <t>Which function goes inside INDEX to find the row position?</t>
  </si>
  <si>
    <t>Deck 130</t>
  </si>
  <si>
    <t>X plus MATCH.</t>
  </si>
  <si>
    <t>=XMATCH</t>
  </si>
  <si>
    <t>=XMATCH(</t>
  </si>
  <si>
    <t>=XMATCH()</t>
  </si>
  <si>
    <t>XMATCH</t>
  </si>
  <si>
    <t>XMATCH(</t>
  </si>
  <si>
    <t>XMATCH()</t>
  </si>
  <si>
    <t>Which modern function returns a position with an exact match by default?</t>
  </si>
  <si>
    <t>Deck 131</t>
  </si>
  <si>
    <t>Minus one.</t>
  </si>
  <si>
    <t>-1</t>
  </si>
  <si>
    <t>F4-5 Tiers</t>
  </si>
  <si>
    <t>Which XLOOKUP match_mode returns an exact match or the next smaller item?</t>
  </si>
  <si>
    <t>Deck 132</t>
  </si>
  <si>
    <t>Low to high.</t>
  </si>
  <si>
    <t>A-Z</t>
  </si>
  <si>
    <t>ASCENDING</t>
  </si>
  <si>
    <t>ATOZ</t>
  </si>
  <si>
    <t>SMALLESTTOLARGEST</t>
  </si>
  <si>
    <t>For an approximate VLOOKUP, how must the first column be sorted?</t>
  </si>
  <si>
    <t>Deck 133</t>
  </si>
  <si>
    <t>The start side.</t>
  </si>
  <si>
    <t>=LEFT</t>
  </si>
  <si>
    <t>=LEFT(</t>
  </si>
  <si>
    <t>=LEFT()</t>
  </si>
  <si>
    <t>LEFT</t>
  </si>
  <si>
    <t>LEFT(</t>
  </si>
  <si>
    <t>LEFT()</t>
  </si>
  <si>
    <t>F5-1 Cut &amp; Splice</t>
  </si>
  <si>
    <t>Which function returns characters from the start of a text?</t>
  </si>
  <si>
    <t>Deck 134</t>
  </si>
  <si>
    <t>The end side.</t>
  </si>
  <si>
    <t>=RIGHT</t>
  </si>
  <si>
    <t>=RIGHT(</t>
  </si>
  <si>
    <t>=RIGHT()</t>
  </si>
  <si>
    <t>RIGHT</t>
  </si>
  <si>
    <t>RIGHT(</t>
  </si>
  <si>
    <t>RIGHT()</t>
  </si>
  <si>
    <t>Which function returns characters from the end of a text?</t>
  </si>
  <si>
    <t>Deck 135</t>
  </si>
  <si>
    <t>Short for middle.</t>
  </si>
  <si>
    <t>=MID</t>
  </si>
  <si>
    <t>=MID(</t>
  </si>
  <si>
    <t>=MID()</t>
  </si>
  <si>
    <t>MID</t>
  </si>
  <si>
    <t>MID(</t>
  </si>
  <si>
    <t>MID()</t>
  </si>
  <si>
    <t>Which function returns characters from the middle of a text?</t>
  </si>
  <si>
    <t>Deck 136</t>
  </si>
  <si>
    <t>Short for length.</t>
  </si>
  <si>
    <t>=LEN</t>
  </si>
  <si>
    <t>=LEN(</t>
  </si>
  <si>
    <t>=LEN()</t>
  </si>
  <si>
    <t>LEN</t>
  </si>
  <si>
    <t>LEN(</t>
  </si>
  <si>
    <t>LEN()</t>
  </si>
  <si>
    <t>Which function counts the characters in a text?</t>
  </si>
  <si>
    <t>Deck 137</t>
  </si>
  <si>
    <t>Which character joins pieces of text in a formula?</t>
  </si>
  <si>
    <t>Deck 138</t>
  </si>
  <si>
    <t>Trims the edges.</t>
  </si>
  <si>
    <t>=TRIM</t>
  </si>
  <si>
    <t>=TRIM(</t>
  </si>
  <si>
    <t>=TRIM()</t>
  </si>
  <si>
    <t>TRIM</t>
  </si>
  <si>
    <t>TRIM(</t>
  </si>
  <si>
    <t>TRIM()</t>
  </si>
  <si>
    <t>F5-2 Clean Up</t>
  </si>
  <si>
    <t>Which function removes extra spaces from text?</t>
  </si>
  <si>
    <t>Deck 139</t>
  </si>
  <si>
    <t>Upper case.</t>
  </si>
  <si>
    <t>=UPPER</t>
  </si>
  <si>
    <t>=UPPER(</t>
  </si>
  <si>
    <t>=UPPER()</t>
  </si>
  <si>
    <t>UPPER</t>
  </si>
  <si>
    <t>UPPER(</t>
  </si>
  <si>
    <t>UPPER()</t>
  </si>
  <si>
    <t>Which function converts text to all capitals?</t>
  </si>
  <si>
    <t>Deck 140</t>
  </si>
  <si>
    <t>Lower case.</t>
  </si>
  <si>
    <t>=LOWER</t>
  </si>
  <si>
    <t>=LOWER(</t>
  </si>
  <si>
    <t>=LOWER()</t>
  </si>
  <si>
    <t>LOWER</t>
  </si>
  <si>
    <t>LOWER(</t>
  </si>
  <si>
    <t>LOWER()</t>
  </si>
  <si>
    <t>Which function converts text to all lowercase?</t>
  </si>
  <si>
    <t>Deck 141</t>
  </si>
  <si>
    <t>Proper names.</t>
  </si>
  <si>
    <t>=PROPER</t>
  </si>
  <si>
    <t>=PROPER(</t>
  </si>
  <si>
    <t>=PROPER()</t>
  </si>
  <si>
    <t>PROPER</t>
  </si>
  <si>
    <t>PROPER(</t>
  </si>
  <si>
    <t>PROPER()</t>
  </si>
  <si>
    <t>Which function capitalizes the first letter of each word?</t>
  </si>
  <si>
    <t>Deck 142</t>
  </si>
  <si>
    <t>Swap one thing for another.</t>
  </si>
  <si>
    <t>=SUBSTITUTE</t>
  </si>
  <si>
    <t>=SUBSTITUTE(</t>
  </si>
  <si>
    <t>=SUBSTITUTE()</t>
  </si>
  <si>
    <t>SUBSTITUTE</t>
  </si>
  <si>
    <t>SUBSTITUTE(</t>
  </si>
  <si>
    <t>SUBSTITUTE()</t>
  </si>
  <si>
    <t>Which function replaces every occurrence of some text with other text?</t>
  </si>
  <si>
    <t>Deck 143</t>
  </si>
  <si>
    <t>It finds things.</t>
  </si>
  <si>
    <t>=FIND</t>
  </si>
  <si>
    <t>=FIND(</t>
  </si>
  <si>
    <t>=FIND()</t>
  </si>
  <si>
    <t>FIND</t>
  </si>
  <si>
    <t>FIND(</t>
  </si>
  <si>
    <t>FIND()</t>
  </si>
  <si>
    <t>F5-3 Find the Gem</t>
  </si>
  <si>
    <t>Which function returns the position of text, matching case?</t>
  </si>
  <si>
    <t>Deck 144</t>
  </si>
  <si>
    <t>Like FIND, but case-blind.</t>
  </si>
  <si>
    <t>=SEARCH</t>
  </si>
  <si>
    <t>=SEARCH(</t>
  </si>
  <si>
    <t>=SEARCH()</t>
  </si>
  <si>
    <t>SEARCH</t>
  </si>
  <si>
    <t>SEARCH(</t>
  </si>
  <si>
    <t>SEARCH()</t>
  </si>
  <si>
    <t>Which function returns a position while ignoring case?</t>
  </si>
  <si>
    <t>Deck 145</t>
  </si>
  <si>
    <t>Which function supplies the cut position inside =LEFT(A2, ____("@",A2)-1)?</t>
  </si>
  <si>
    <t>Deck 146</t>
  </si>
  <si>
    <t>TEXT plus JOIN.</t>
  </si>
  <si>
    <t>=TEXTJOIN</t>
  </si>
  <si>
    <t>=TEXTJOIN(</t>
  </si>
  <si>
    <t>=TEXTJOIN()</t>
  </si>
  <si>
    <t>TEXTJOIN</t>
  </si>
  <si>
    <t>TEXTJOIN(</t>
  </si>
  <si>
    <t>TEXTJOIN()</t>
  </si>
  <si>
    <t>F5-4 Assemble</t>
  </si>
  <si>
    <t>Which function joins a range of text with a delimiter?</t>
  </si>
  <si>
    <t>Deck 147</t>
  </si>
  <si>
    <t>Four letters.</t>
  </si>
  <si>
    <t>=TEXT</t>
  </si>
  <si>
    <t>=TEXT(</t>
  </si>
  <si>
    <t>=TEXT()</t>
  </si>
  <si>
    <t>TEXT</t>
  </si>
  <si>
    <t>TEXT(</t>
  </si>
  <si>
    <t>TEXT()</t>
  </si>
  <si>
    <t>Which function turns a number or date into formatted text?</t>
  </si>
  <si>
    <t>Deck 148</t>
  </si>
  <si>
    <t>The opposite of TEXT.</t>
  </si>
  <si>
    <t>=VALUE</t>
  </si>
  <si>
    <t>=VALUE(</t>
  </si>
  <si>
    <t>=VALUE()</t>
  </si>
  <si>
    <t>VALUE</t>
  </si>
  <si>
    <t>VALUE(</t>
  </si>
  <si>
    <t>VALUE()</t>
  </si>
  <si>
    <t>Which function turns text that looks like a number into a number?</t>
  </si>
  <si>
    <t>Deck 149</t>
  </si>
  <si>
    <t>Five letters.</t>
  </si>
  <si>
    <t>=TODAY</t>
  </si>
  <si>
    <t>=TODAY(</t>
  </si>
  <si>
    <t>=TODAY()</t>
  </si>
  <si>
    <t>TODAY</t>
  </si>
  <si>
    <t>TODAY(</t>
  </si>
  <si>
    <t>TODAY()</t>
  </si>
  <si>
    <t>F6</t>
  </si>
  <si>
    <t>F6-1 Calendar</t>
  </si>
  <si>
    <t>Which function returns today's date?</t>
  </si>
  <si>
    <t>Deck 150</t>
  </si>
  <si>
    <t>=NOW</t>
  </si>
  <si>
    <t>=NOW(</t>
  </si>
  <si>
    <t>=NOW()</t>
  </si>
  <si>
    <t>NOW</t>
  </si>
  <si>
    <t>NOW(</t>
  </si>
  <si>
    <t>NOW()</t>
  </si>
  <si>
    <t>Which function returns the current date and time?</t>
  </si>
  <si>
    <t>Deck 151</t>
  </si>
  <si>
    <t>=DATE</t>
  </si>
  <si>
    <t>=DATE(</t>
  </si>
  <si>
    <t>=DATE()</t>
  </si>
  <si>
    <t>DATE</t>
  </si>
  <si>
    <t>DATE(</t>
  </si>
  <si>
    <t>DATE()</t>
  </si>
  <si>
    <t>Which function builds a date from a year, month and day?</t>
  </si>
  <si>
    <t>Deck 152</t>
  </si>
  <si>
    <t>=YEAR</t>
  </si>
  <si>
    <t>=YEAR(</t>
  </si>
  <si>
    <t>=YEAR()</t>
  </si>
  <si>
    <t>YEAR</t>
  </si>
  <si>
    <t>YEAR(</t>
  </si>
  <si>
    <t>YEAR()</t>
  </si>
  <si>
    <t>Which function returns the year of a date?</t>
  </si>
  <si>
    <t>Deck 153</t>
  </si>
  <si>
    <t>=MONTH</t>
  </si>
  <si>
    <t>=MONTH(</t>
  </si>
  <si>
    <t>=MONTH()</t>
  </si>
  <si>
    <t>MONTH</t>
  </si>
  <si>
    <t>MONTH(</t>
  </si>
  <si>
    <t>MONTH()</t>
  </si>
  <si>
    <t>Which function returns the month number of a date?</t>
  </si>
  <si>
    <t>Deck 154</t>
  </si>
  <si>
    <t>=DAY</t>
  </si>
  <si>
    <t>=DAY(</t>
  </si>
  <si>
    <t>=DAY()</t>
  </si>
  <si>
    <t>DAY</t>
  </si>
  <si>
    <t>DAY(</t>
  </si>
  <si>
    <t>DAY()</t>
  </si>
  <si>
    <t>Which function returns the day of the month?</t>
  </si>
  <si>
    <t>Deck 155</t>
  </si>
  <si>
    <t>WEEK plus DAY.</t>
  </si>
  <si>
    <t>=WEEKDAY</t>
  </si>
  <si>
    <t>=WEEKDAY(</t>
  </si>
  <si>
    <t>=WEEKDAY()</t>
  </si>
  <si>
    <t>WEEKDAY</t>
  </si>
  <si>
    <t>WEEKDAY(</t>
  </si>
  <si>
    <t>WEEKDAY()</t>
  </si>
  <si>
    <t>Which function returns the day of the week as a number?</t>
  </si>
  <si>
    <t>Deck 156</t>
  </si>
  <si>
    <t>Not hours.</t>
  </si>
  <si>
    <t>DAYS</t>
  </si>
  <si>
    <t>NUMBEROFDAYS</t>
  </si>
  <si>
    <t>F6-2 Date Math</t>
  </si>
  <si>
    <t>What do you get when you subtract an earlier date from a later one (one word)?</t>
  </si>
  <si>
    <t>Deck 157</t>
  </si>
  <si>
    <t>Plain plus.</t>
  </si>
  <si>
    <t>30+B6</t>
  </si>
  <si>
    <t>=30+B6</t>
  </si>
  <si>
    <t>=B6+30</t>
  </si>
  <si>
    <t>B6+30</t>
  </si>
  <si>
    <t>Type the formula for the date 30 days after the date in B6.</t>
  </si>
  <si>
    <t>Deck 158</t>
  </si>
  <si>
    <t>DATE plus DIF.</t>
  </si>
  <si>
    <t>=DATEDIF</t>
  </si>
  <si>
    <t>=DATEDIF(</t>
  </si>
  <si>
    <t>=DATEDIF()</t>
  </si>
  <si>
    <t>DATEDIF</t>
  </si>
  <si>
    <t>DATEDIF(</t>
  </si>
  <si>
    <t>DATEDIF()</t>
  </si>
  <si>
    <t>Which function counts full years or months between two dates?</t>
  </si>
  <si>
    <t>Deck 159</t>
  </si>
  <si>
    <t>E plus DATE.</t>
  </si>
  <si>
    <t>=EDATE</t>
  </si>
  <si>
    <t>=EDATE(</t>
  </si>
  <si>
    <t>=EDATE()</t>
  </si>
  <si>
    <t>EDATE</t>
  </si>
  <si>
    <t>EDATE(</t>
  </si>
  <si>
    <t>EDATE()</t>
  </si>
  <si>
    <t>F6-3 Deadlines</t>
  </si>
  <si>
    <t>Which function moves a date forward or back by whole months?</t>
  </si>
  <si>
    <t>Deck 160</t>
  </si>
  <si>
    <t>End Of MONTH.</t>
  </si>
  <si>
    <t>=EOMONTH</t>
  </si>
  <si>
    <t>=EOMONTH(</t>
  </si>
  <si>
    <t>=EOMONTH()</t>
  </si>
  <si>
    <t>EOMONTH</t>
  </si>
  <si>
    <t>EOMONTH(</t>
  </si>
  <si>
    <t>EOMONTH()</t>
  </si>
  <si>
    <t>Which function returns the last day of a month?</t>
  </si>
  <si>
    <t>Deck 161</t>
  </si>
  <si>
    <t>NET WORK DAYS.</t>
  </si>
  <si>
    <t>=NETWORKDAYS</t>
  </si>
  <si>
    <t>=NETWORKDAYS(</t>
  </si>
  <si>
    <t>=NETWORKDAYS()</t>
  </si>
  <si>
    <t>NETWORKDAYS</t>
  </si>
  <si>
    <t>NETWORKDAYS(</t>
  </si>
  <si>
    <t>NETWORKDAYS()</t>
  </si>
  <si>
    <t>Which function counts the working days between two dates?</t>
  </si>
  <si>
    <t>Deck 162</t>
  </si>
  <si>
    <t>WORK plus DAY.</t>
  </si>
  <si>
    <t>=WORKDAY</t>
  </si>
  <si>
    <t>=WORKDAY(</t>
  </si>
  <si>
    <t>=WORKDAY()</t>
  </si>
  <si>
    <t>WORKDAY</t>
  </si>
  <si>
    <t>WORKDAY(</t>
  </si>
  <si>
    <t>WORKDAY()</t>
  </si>
  <si>
    <t>Which function returns the date a number of working days later?</t>
  </si>
  <si>
    <t>Deck 163</t>
  </si>
  <si>
    <t>Like water spilling over.</t>
  </si>
  <si>
    <t>SPILL</t>
  </si>
  <si>
    <t>SPILLING</t>
  </si>
  <si>
    <t>SPILLS</t>
  </si>
  <si>
    <t>F7</t>
  </si>
  <si>
    <t>F7-1 Spill Zone</t>
  </si>
  <si>
    <t>What is it called when one formula's results flow into neighboring cells?</t>
  </si>
  <si>
    <t>Deck 164</t>
  </si>
  <si>
    <t>#SPILL! with an exclamation mark.</t>
  </si>
  <si>
    <t>#SPILL</t>
  </si>
  <si>
    <t>#SPILL!</t>
  </si>
  <si>
    <t>Which error appears when a spill range is blocked?</t>
  </si>
  <si>
    <t>Deck 165</t>
  </si>
  <si>
    <t>The cell address plus #.</t>
  </si>
  <si>
    <t>H5#</t>
  </si>
  <si>
    <t>How do you refer to the whole spill that starts in H5?</t>
  </si>
  <si>
    <t>Deck 166</t>
  </si>
  <si>
    <t>A series of numbers in order.</t>
  </si>
  <si>
    <t>=SEQUENCE</t>
  </si>
  <si>
    <t>=SEQUENCE(</t>
  </si>
  <si>
    <t>=SEQUENCE()</t>
  </si>
  <si>
    <t>SEQUENCE</t>
  </si>
  <si>
    <t>SEQUENCE(</t>
  </si>
  <si>
    <t>SEQUENCE()</t>
  </si>
  <si>
    <t>Which function spills a list of sequential numbers?</t>
  </si>
  <si>
    <t>Deck 167</t>
  </si>
  <si>
    <t>Like a coffee filter.</t>
  </si>
  <si>
    <t>=FILTER</t>
  </si>
  <si>
    <t>=FILTER(</t>
  </si>
  <si>
    <t>=FILTER()</t>
  </si>
  <si>
    <t>FILTER</t>
  </si>
  <si>
    <t>FILTER(</t>
  </si>
  <si>
    <t>FILTER()</t>
  </si>
  <si>
    <t>F7-2 Sifter</t>
  </si>
  <si>
    <t>Which function returns only the rows that meet a condition?</t>
  </si>
  <si>
    <t>Deck 168</t>
  </si>
  <si>
    <t>Multiply.</t>
  </si>
  <si>
    <t>In FILTER, which operator joins two conditions so BOTH must be true?</t>
  </si>
  <si>
    <t>Deck 169</t>
  </si>
  <si>
    <t>After array and include.</t>
  </si>
  <si>
    <t>3</t>
  </si>
  <si>
    <t>3RD</t>
  </si>
  <si>
    <t>IF_EMPTY</t>
  </si>
  <si>
    <t>THIRD</t>
  </si>
  <si>
    <t>Which FILTER argument number sets what to show when nothing matches?</t>
  </si>
  <si>
    <t>Deck 170</t>
  </si>
  <si>
    <t>=SORT</t>
  </si>
  <si>
    <t>=SORT(</t>
  </si>
  <si>
    <t>=SORT()</t>
  </si>
  <si>
    <t>SORT</t>
  </si>
  <si>
    <t>SORT(</t>
  </si>
  <si>
    <t>SORT()</t>
  </si>
  <si>
    <t>F7-3 Sorter</t>
  </si>
  <si>
    <t>Which function spills a sorted copy of a range?</t>
  </si>
  <si>
    <t>Deck 171</t>
  </si>
  <si>
    <t>SORT plus BY.</t>
  </si>
  <si>
    <t>=SORTBY</t>
  </si>
  <si>
    <t>=SORTBY(</t>
  </si>
  <si>
    <t>=SORTBY()</t>
  </si>
  <si>
    <t>SORTBY</t>
  </si>
  <si>
    <t>SORTBY(</t>
  </si>
  <si>
    <t>SORTBY()</t>
  </si>
  <si>
    <t>Which function sorts a range by another range?</t>
  </si>
  <si>
    <t>Deck 172</t>
  </si>
  <si>
    <t>One of a kind.</t>
  </si>
  <si>
    <t>=UNIQUE</t>
  </si>
  <si>
    <t>=UNIQUE(</t>
  </si>
  <si>
    <t>=UNIQUE()</t>
  </si>
  <si>
    <t>UNIQUE</t>
  </si>
  <si>
    <t>UNIQUE(</t>
  </si>
  <si>
    <t>UNIQUE()</t>
  </si>
  <si>
    <t>Which function returns each distinct value once?</t>
  </si>
  <si>
    <t>Deck 173</t>
  </si>
  <si>
    <t>Three letters: let x be…</t>
  </si>
  <si>
    <t>=LET</t>
  </si>
  <si>
    <t>=LET(</t>
  </si>
  <si>
    <t>=LET()</t>
  </si>
  <si>
    <t>LET</t>
  </si>
  <si>
    <t>LET(</t>
  </si>
  <si>
    <t>LET()</t>
  </si>
  <si>
    <t>F7-4 Combo</t>
  </si>
  <si>
    <t>Which function lets you name a value inside a formula?</t>
  </si>
  <si>
    <t>Deck 174</t>
  </si>
  <si>
    <t>The inner one.</t>
  </si>
  <si>
    <t>In =SORT(UNIQUE(E6:E25)), which function removes the duplicates?</t>
  </si>
  <si>
    <t>REVIEW DECK ▸ YOUR DAILY 10 MINUTES</t>
  </si>
  <si>
    <t>Every move from the course on a flashcard. A little every day beats cramming.</t>
  </si>
  <si>
    <t>Cards due today</t>
  </si>
  <si>
    <t>New cards</t>
  </si>
  <si>
    <t>Mastered (Box 5)</t>
  </si>
  <si>
    <t>Mastery</t>
  </si>
  <si>
    <t>CARDS PER BOX</t>
  </si>
  <si>
    <t>Cards</t>
  </si>
  <si>
    <t>New</t>
  </si>
  <si>
    <t>Box 1</t>
  </si>
  <si>
    <t>Box 2</t>
  </si>
  <si>
    <t>Box 3</t>
  </si>
  <si>
    <t>Box 4</t>
  </si>
  <si>
    <t>Box 5</t>
  </si>
  <si>
    <t>HOW IT WORKS</t>
  </si>
  <si>
    <t>Every card lives in a box from 1 to 5. Box 1 cards come back tomorrow; Box 5 cards wait a month.</t>
  </si>
  <si>
    <t>Intervals: Box 1 → 1 day · Box 2 → 3 days · Box 3 → 7 days · Box 4 → 14 days · Box 5 → 30 days.</t>
  </si>
  <si>
    <t>Right answer: the card moves up a box. Missed it: back to Box 1. NEW cards haven't been reviewed yet.</t>
  </si>
  <si>
    <t>Start with the cards from worlds you have played; leave the rest as NEW until you get there.</t>
  </si>
  <si>
    <t>DAILY ROUTINE</t>
  </si>
  <si>
    <t>1 · Open the Deck sheet, select the Status header (K4), press Alt+↓ and keep only DUE (plus any NEW cards).</t>
  </si>
  <si>
    <t>2 · Type each answer in the yellow Your answer cell and check the Result.</t>
  </si>
  <si>
    <t>3 · Set Box to the Suggested box (select the Box cell, press Alt+↓, pick the number).</t>
  </si>
  <si>
    <t>4 · Select Last reviewed and press Ctrl+; to stamp today's date.</t>
  </si>
  <si>
    <t>5 · Clear your answers (select them, press Delete), then clear the filter (Alt+↓ → Select All).</t>
  </si>
  <si>
    <t>6 · Come back tomorrow: a little every day is how it sticks.</t>
  </si>
</sst>
</file>

<file path=xl/styles.xml><?xml version="1.0" encoding="utf-8"?>
<styleSheet xmlns="http://schemas.openxmlformats.org/spreadsheetml/2006/main">
  <numFmts count="2">
    <numFmt numFmtId="164" formatCode="@"/>
    <numFmt numFmtId="165" formatCode="d-mmm-yyyy"/>
  </numFmts>
  <fonts count="10">
    <font>
      <sz val="11"/>
      <color theme="1"/>
      <name val="Calibri"/>
      <family val="2"/>
      <scheme val="minor"/>
    </font>
    <font>
      <b/>
      <sz val="20"/>
      <color rgb="FFFFD60A"/>
      <name val="Calibri"/>
      <family val="2"/>
      <scheme val="minor"/>
    </font>
    <font>
      <sz val="20"/>
      <color rgb="FFFFFFFF"/>
      <name val="Calibri"/>
      <family val="2"/>
      <scheme val="minor"/>
    </font>
    <font>
      <i/>
      <sz val="12"/>
      <color rgb="FF595F69"/>
      <name val="Calibri"/>
      <family val="2"/>
      <scheme val="minor"/>
    </font>
    <font>
      <b/>
      <sz val="14"/>
      <color rgb="FF14213D"/>
      <name val="Calibri"/>
      <family val="2"/>
      <scheme val="minor"/>
    </font>
    <font>
      <b/>
      <sz val="12"/>
      <color rgb="FF1F2328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rgb="FF1F2328"/>
      <name val="Calibri"/>
      <family val="2"/>
      <scheme val="minor"/>
    </font>
    <font>
      <sz val="12"/>
      <color rgb="FF1F2328"/>
      <name val="Consolas"/>
      <family val="2"/>
    </font>
    <font>
      <b/>
      <sz val="12"/>
      <color rgb="FF4A4F57"/>
      <name val="Segoe UI Symbol"/>
      <family val="2"/>
    </font>
  </fonts>
  <fills count="6">
    <fill>
      <patternFill patternType="none"/>
    </fill>
    <fill>
      <patternFill patternType="gray125"/>
    </fill>
    <fill>
      <patternFill patternType="solid">
        <fgColor rgb="FF14213D"/>
        <bgColor indexed="64"/>
      </patternFill>
    </fill>
    <fill>
      <patternFill patternType="solid">
        <fgColor rgb="FFE3E8F4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F1F3F5"/>
        <bgColor indexed="64"/>
      </patternFill>
    </fill>
  </fills>
  <borders count="2">
    <border>
      <left/>
      <right/>
      <top/>
      <bottom/>
      <diagonal/>
    </border>
    <border>
      <left style="thin">
        <color rgb="FF8A6D00"/>
      </left>
      <right style="thin">
        <color rgb="FF8A6D00"/>
      </right>
      <top style="thin">
        <color rgb="FF8A6D00"/>
      </top>
      <bottom style="thin">
        <color rgb="FF8A6D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/>
    <xf numFmtId="0" fontId="3" fillId="0" borderId="0" xfId="0" applyFont="1" applyAlignment="1">
      <alignment vertical="top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top"/>
    </xf>
    <xf numFmtId="0" fontId="5" fillId="0" borderId="0" xfId="0" applyFont="1" applyAlignment="1" applyProtection="1">
      <alignment vertical="top"/>
      <protection hidden="1"/>
    </xf>
    <xf numFmtId="0" fontId="6" fillId="2" borderId="0" xfId="0" applyFont="1" applyFill="1" applyAlignment="1">
      <alignment vertical="center" wrapText="1"/>
    </xf>
    <xf numFmtId="0" fontId="7" fillId="0" borderId="0" xfId="0" applyFont="1" applyAlignment="1">
      <alignment vertical="top" wrapText="1"/>
    </xf>
    <xf numFmtId="0" fontId="7" fillId="0" borderId="0" xfId="0" applyFont="1" applyAlignment="1" applyProtection="1">
      <alignment horizontal="center" vertical="top"/>
      <protection hidden="1"/>
    </xf>
    <xf numFmtId="0" fontId="7" fillId="0" borderId="0" xfId="0" applyFont="1" applyAlignment="1">
      <alignment vertical="top"/>
    </xf>
    <xf numFmtId="0" fontId="7" fillId="0" borderId="0" xfId="0" applyFont="1" applyAlignment="1">
      <alignment horizontal="center" vertical="top"/>
    </xf>
    <xf numFmtId="164" fontId="8" fillId="4" borderId="1" xfId="0" applyNumberFormat="1" applyFont="1" applyFill="1" applyBorder="1" applyAlignment="1" applyProtection="1">
      <alignment vertical="top"/>
      <protection locked="0"/>
    </xf>
    <xf numFmtId="0" fontId="9" fillId="5" borderId="0" xfId="0" applyFont="1" applyFill="1" applyAlignment="1" applyProtection="1">
      <alignment vertical="top" wrapText="1"/>
      <protection hidden="1"/>
    </xf>
    <xf numFmtId="0" fontId="8" fillId="4" borderId="1" xfId="0" applyFont="1" applyFill="1" applyBorder="1" applyAlignment="1" applyProtection="1">
      <alignment vertical="top"/>
      <protection locked="0"/>
    </xf>
    <xf numFmtId="165" fontId="8" fillId="4" borderId="1" xfId="0" applyNumberFormat="1" applyFont="1" applyFill="1" applyBorder="1" applyAlignment="1" applyProtection="1">
      <alignment vertical="top"/>
      <protection locked="0"/>
    </xf>
    <xf numFmtId="165" fontId="7" fillId="0" borderId="0" xfId="0" applyNumberFormat="1" applyFont="1" applyAlignment="1" applyProtection="1">
      <alignment vertical="top"/>
      <protection hidden="1"/>
    </xf>
  </cellXfs>
  <cellStyles count="1">
    <cellStyle name="Normal" xfId="0" builtinId="0"/>
  </cellStyles>
  <dxfs count="2">
    <dxf>
      <font>
        <color rgb="FF0B6B2B"/>
      </font>
      <fill>
        <patternFill>
          <bgColor rgb="FFDDF4E4"/>
        </patternFill>
      </fill>
    </dxf>
    <dxf>
      <font>
        <color rgb="FFA1121A"/>
      </font>
      <fill>
        <patternFill>
          <bgColor rgb="FFFCE4E6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Cards per box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</c:v>
          </c:tx>
          <c:spPr>
            <a:solidFill>
              <a:srgbClr val="14213D"/>
            </a:solidFill>
          </c:spPr>
          <c:dLbls>
            <c:showVal val="1"/>
          </c:dLbls>
          <c:cat>
            <c:strRef>
              <c:f>Start!$A$12:$A$17</c:f>
              <c:strCache>
                <c:ptCount val="6"/>
                <c:pt idx="0">
                  <c:v>New</c:v>
                </c:pt>
                <c:pt idx="1">
                  <c:v>Box 1</c:v>
                </c:pt>
                <c:pt idx="2">
                  <c:v>Box 2</c:v>
                </c:pt>
                <c:pt idx="3">
                  <c:v>Box 3</c:v>
                </c:pt>
                <c:pt idx="4">
                  <c:v>Box 4</c:v>
                </c:pt>
                <c:pt idx="5">
                  <c:v>Box 5</c:v>
                </c:pt>
              </c:strCache>
            </c:strRef>
          </c:cat>
          <c:val>
            <c:numRef>
              <c:f>Start!$B$12:$B$17</c:f>
              <c:numCache>
                <c:formatCode>General</c:formatCode>
                <c:ptCount val="6"/>
                <c:pt idx="0">
                  <c:v>174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9</xdr:col>
      <xdr:colOff>180975</xdr:colOff>
      <xdr:row>15</xdr:row>
      <xdr:rowOff>180975</xdr:rowOff>
    </xdr:to>
    <xdr:graphicFrame macro="">
      <xdr:nvGraphicFramePr>
        <xdr:cNvPr id="2" name="Chart 1" descr="Column chart: how many cards are New and how many sit in Boxes 1 to 5.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E7D32"/>
  </sheetPr>
  <dimension ref="A1:H32"/>
  <sheetViews>
    <sheetView showGridLines="0" tabSelected="1" workbookViewId="0"/>
  </sheetViews>
  <sheetFormatPr defaultRowHeight="15"/>
  <cols>
    <col min="1" max="1" width="30.7109375" customWidth="1"/>
    <col min="2" max="2" width="14.7109375" customWidth="1"/>
    <col min="3" max="8" width="12.7109375" customWidth="1"/>
  </cols>
  <sheetData>
    <row r="1" spans="1:8" ht="34" customHeight="1">
      <c r="A1" s="1" t="s">
        <v>1237</v>
      </c>
      <c r="B1" s="2"/>
      <c r="C1" s="2"/>
      <c r="D1" s="2"/>
      <c r="E1" s="2"/>
      <c r="F1" s="2"/>
      <c r="G1" s="2"/>
      <c r="H1" s="2"/>
    </row>
    <row r="2" spans="1:8">
      <c r="A2" s="3" t="s">
        <v>1238</v>
      </c>
    </row>
    <row r="4" spans="1:8">
      <c r="A4" s="4" t="s">
        <v>1037</v>
      </c>
      <c r="B4" s="4"/>
      <c r="C4" s="4"/>
      <c r="D4" s="4"/>
      <c r="E4" s="4"/>
      <c r="F4" s="4"/>
      <c r="G4" s="4"/>
      <c r="H4" s="4"/>
    </row>
    <row r="5" spans="1:8">
      <c r="A5" s="5" t="s">
        <v>1239</v>
      </c>
      <c r="B5" s="6" cm="1">
        <f t="array" ref="B5">COUNTIF(Deck!$K$5:$K$178,"DUE")</f>
        <v>0</v>
      </c>
    </row>
    <row r="6" spans="1:8">
      <c r="A6" s="5" t="s">
        <v>1240</v>
      </c>
      <c r="B6" s="6" cm="1">
        <f t="array" ref="B6">COUNTIF(Deck!$K$5:$K$178,"NEW")</f>
        <v>174</v>
      </c>
    </row>
    <row r="7" spans="1:8">
      <c r="A7" s="5" t="s">
        <v>1241</v>
      </c>
      <c r="B7" s="6" cm="1">
        <f t="array" ref="B7">COUNTIF(Deck!$H$5:$H$178,5)</f>
        <v>0</v>
      </c>
    </row>
    <row r="8" spans="1:8">
      <c r="A8" s="5" t="s">
        <v>1242</v>
      </c>
      <c r="B8" s="6" cm="1" t="str">
        <f t="array" ref="B8">TEXT(B7/174,"0%")</f>
        <v>0%</v>
      </c>
    </row>
    <row r="10" spans="1:8">
      <c r="A10" s="4" t="s">
        <v>1243</v>
      </c>
      <c r="B10" s="4"/>
      <c r="C10" s="4"/>
      <c r="D10" s="4"/>
      <c r="E10" s="4"/>
      <c r="F10" s="4"/>
      <c r="G10" s="4"/>
      <c r="H10" s="4"/>
    </row>
    <row r="11" spans="1:8">
      <c r="A11" s="7" t="s">
        <v>13</v>
      </c>
      <c r="B11" s="7" t="s">
        <v>1244</v>
      </c>
    </row>
    <row r="12" spans="1:8">
      <c r="A12" s="8" t="s">
        <v>1245</v>
      </c>
      <c r="B12" s="9" cm="1">
        <f t="array" ref="B12">COUNTIF(Deck!$K$5:$K$178,"NEW")</f>
        <v>174</v>
      </c>
    </row>
    <row r="13" spans="1:8">
      <c r="A13" s="8" t="s">
        <v>1246</v>
      </c>
      <c r="B13" s="9" cm="1">
        <f t="array" ref="B13">COUNTIF(Deck!$H$5:$H$178,1)</f>
        <v>0</v>
      </c>
    </row>
    <row r="14" spans="1:8">
      <c r="A14" s="8" t="s">
        <v>1247</v>
      </c>
      <c r="B14" s="9" cm="1">
        <f t="array" ref="B14">COUNTIF(Deck!$H$5:$H$178,2)</f>
        <v>0</v>
      </c>
    </row>
    <row r="15" spans="1:8">
      <c r="A15" s="8" t="s">
        <v>1248</v>
      </c>
      <c r="B15" s="9" cm="1">
        <f t="array" ref="B15">COUNTIF(Deck!$H$5:$H$178,3)</f>
        <v>0</v>
      </c>
    </row>
    <row r="16" spans="1:8">
      <c r="A16" s="8" t="s">
        <v>1249</v>
      </c>
      <c r="B16" s="9" cm="1">
        <f t="array" ref="B16">COUNTIF(Deck!$H$5:$H$178,4)</f>
        <v>0</v>
      </c>
    </row>
    <row r="17" spans="1:8">
      <c r="A17" s="8" t="s">
        <v>1250</v>
      </c>
      <c r="B17" s="9" cm="1">
        <f t="array" ref="B17">COUNTIF(Deck!$H$5:$H$178,5)</f>
        <v>0</v>
      </c>
    </row>
    <row r="20" spans="1:8">
      <c r="A20" s="4" t="s">
        <v>1251</v>
      </c>
      <c r="B20" s="4"/>
      <c r="C20" s="4"/>
      <c r="D20" s="4"/>
      <c r="E20" s="4"/>
      <c r="F20" s="4"/>
      <c r="G20" s="4"/>
      <c r="H20" s="4"/>
    </row>
    <row r="21" spans="1:8">
      <c r="A21" s="10" t="s">
        <v>1252</v>
      </c>
    </row>
    <row r="22" spans="1:8">
      <c r="A22" s="10" t="s">
        <v>1253</v>
      </c>
    </row>
    <row r="23" spans="1:8">
      <c r="A23" s="10" t="s">
        <v>1254</v>
      </c>
    </row>
    <row r="24" spans="1:8">
      <c r="A24" s="10" t="s">
        <v>1255</v>
      </c>
    </row>
    <row r="26" spans="1:8">
      <c r="A26" s="4" t="s">
        <v>1256</v>
      </c>
      <c r="B26" s="4"/>
      <c r="C26" s="4"/>
      <c r="D26" s="4"/>
      <c r="E26" s="4"/>
      <c r="F26" s="4"/>
      <c r="G26" s="4"/>
      <c r="H26" s="4"/>
    </row>
    <row r="27" spans="1:8">
      <c r="A27" s="10" t="s">
        <v>1257</v>
      </c>
    </row>
    <row r="28" spans="1:8">
      <c r="A28" s="10" t="s">
        <v>1258</v>
      </c>
    </row>
    <row r="29" spans="1:8">
      <c r="A29" s="10" t="s">
        <v>1259</v>
      </c>
    </row>
    <row r="30" spans="1:8">
      <c r="A30" s="10" t="s">
        <v>1260</v>
      </c>
    </row>
    <row r="31" spans="1:8">
      <c r="A31" s="10" t="s">
        <v>1261</v>
      </c>
    </row>
    <row r="32" spans="1:8">
      <c r="A32" s="10" t="s">
        <v>1262</v>
      </c>
    </row>
  </sheetData>
  <sheetProtection sheet="1" objects="1" scenarios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E7D32"/>
  </sheetPr>
  <dimension ref="A1:K178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7.7109375" customWidth="1"/>
    <col min="2" max="2" width="8.7109375" customWidth="1"/>
    <col min="3" max="3" width="22.7109375" customWidth="1"/>
    <col min="4" max="4" width="52.7109375" customWidth="1"/>
    <col min="5" max="5" width="24.7109375" customWidth="1"/>
    <col min="6" max="6" width="20.7109375" customWidth="1"/>
    <col min="7" max="7" width="11.7109375" customWidth="1"/>
    <col min="8" max="8" width="8.7109375" customWidth="1"/>
    <col min="9" max="10" width="15.7109375" customWidth="1"/>
    <col min="11" max="11" width="14.7109375" customWidth="1"/>
  </cols>
  <sheetData>
    <row r="1" spans="1:11" ht="34" customHeight="1">
      <c r="A1" s="1" t="s">
        <v>4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>
      <c r="A2" s="3" t="s">
        <v>5</v>
      </c>
    </row>
    <row r="4" spans="1:11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  <c r="G4" s="7" t="s">
        <v>12</v>
      </c>
      <c r="H4" s="7" t="s">
        <v>13</v>
      </c>
      <c r="I4" s="7" t="s">
        <v>14</v>
      </c>
      <c r="J4" s="7" t="s">
        <v>15</v>
      </c>
      <c r="K4" s="7" t="s">
        <v>16</v>
      </c>
    </row>
    <row r="5" spans="1:11" ht="35.5" customHeight="1">
      <c r="A5" s="11">
        <v>1</v>
      </c>
      <c r="B5" s="11" t="s">
        <v>24</v>
      </c>
      <c r="C5" s="8" t="s">
        <v>25</v>
      </c>
      <c r="D5" s="8" t="s">
        <v>26</v>
      </c>
      <c r="E5" s="12"/>
      <c r="F5" s="13" cm="1" t="str">
        <f t="array" ref="F5">IFERROR(_xlfn.LET(_xlpm.a,Deck!$E$5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$2:$I$2),"✔ CLEAR","✘ TRY AGAIN"))),"✘ TRY AGAIN")</f>
        <v/>
      </c>
      <c r="G5" s="9" cm="1" t="str">
        <f t="array" ref="G5">IF(F5="","",IF(LEFT(F5,1)="✔",MIN(IF(H5="",1,H5)+1,5),1))</f>
        <v/>
      </c>
      <c r="H5" s="14"/>
      <c r="I5" s="15"/>
      <c r="J5" s="16" cm="1" t="str">
        <f t="array" ref="J5">IF(OR(H5="",I5=""),"",IFERROR(I5+CHOOSE(H5,1,3,7,14,30),""))</f>
        <v/>
      </c>
      <c r="K5" s="9" cm="1" t="str">
        <f t="array" ref="K5">IF(H5="","NEW",IF(J5="","DUE",IF(J5&lt;=TODAY(),"DUE","in "&amp;(J5-TODAY())&amp;IF(J5-TODAY()=1," day"," days"))))</f>
        <v>NEW</v>
      </c>
    </row>
    <row r="6" spans="1:11" ht="35.5" customHeight="1">
      <c r="A6" s="11">
        <v>2</v>
      </c>
      <c r="B6" s="11" t="s">
        <v>24</v>
      </c>
      <c r="C6" s="8" t="s">
        <v>25</v>
      </c>
      <c r="D6" s="8" t="s">
        <v>30</v>
      </c>
      <c r="E6" s="12"/>
      <c r="F6" s="13" cm="1" t="str">
        <f t="array" ref="F6">IFERROR(_xlfn.LET(_xlpm.a,Deck!$E$6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$3:$E$3),"✔ CLEAR","✘ TRY AGAIN"))),"✘ TRY AGAIN")</f>
        <v/>
      </c>
      <c r="G6" s="9" cm="1" t="str">
        <f t="array" ref="G6">IF(F6="","",IF(LEFT(F6,1)="✔",MIN(IF(H6="",1,H6)+1,5),1))</f>
        <v/>
      </c>
      <c r="H6" s="14"/>
      <c r="I6" s="15"/>
      <c r="J6" s="16" cm="1" t="str">
        <f t="array" ref="J6">IF(OR(H6="",I6=""),"",IFERROR(I6+CHOOSE(H6,1,3,7,14,30),""))</f>
        <v/>
      </c>
      <c r="K6" s="9" cm="1" t="str">
        <f t="array" ref="K6">IF(H6="","NEW",IF(J6="","DUE",IF(J6&lt;=TODAY(),"DUE","in "&amp;(J6-TODAY())&amp;IF(J6-TODAY()=1," day"," days"))))</f>
        <v>NEW</v>
      </c>
    </row>
    <row r="7" spans="1:11" ht="35.5" customHeight="1">
      <c r="A7" s="11">
        <v>3</v>
      </c>
      <c r="B7" s="11" t="s">
        <v>24</v>
      </c>
      <c r="C7" s="8" t="s">
        <v>25</v>
      </c>
      <c r="D7" s="8" t="s">
        <v>34</v>
      </c>
      <c r="E7" s="12"/>
      <c r="F7" s="13" cm="1" t="str">
        <f t="array" ref="F7">IFERROR(_xlfn.LET(_xlpm.a,Deck!$E$7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$4:$E$4),"✔ CLEAR","✘ TRY AGAIN"))),"✘ TRY AGAIN")</f>
        <v/>
      </c>
      <c r="G7" s="9" cm="1" t="str">
        <f t="array" ref="G7">IF(F7="","",IF(LEFT(F7,1)="✔",MIN(IF(H7="",1,H7)+1,5),1))</f>
        <v/>
      </c>
      <c r="H7" s="14"/>
      <c r="I7" s="15"/>
      <c r="J7" s="16" cm="1" t="str">
        <f t="array" ref="J7">IF(OR(H7="",I7=""),"",IFERROR(I7+CHOOSE(H7,1,3,7,14,30),""))</f>
        <v/>
      </c>
      <c r="K7" s="9" cm="1" t="str">
        <f t="array" ref="K7">IF(H7="","NEW",IF(J7="","DUE",IF(J7&lt;=TODAY(),"DUE","in "&amp;(J7-TODAY())&amp;IF(J7-TODAY()=1," day"," days"))))</f>
        <v>NEW</v>
      </c>
    </row>
    <row r="8" spans="1:11" ht="35.5" customHeight="1">
      <c r="A8" s="11">
        <v>4</v>
      </c>
      <c r="B8" s="11" t="s">
        <v>24</v>
      </c>
      <c r="C8" s="8" t="s">
        <v>25</v>
      </c>
      <c r="D8" s="8" t="s">
        <v>38</v>
      </c>
      <c r="E8" s="12"/>
      <c r="F8" s="13" cm="1" t="str">
        <f t="array" ref="F8">IFERROR(_xlfn.LET(_xlpm.a,Deck!$E$8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$5:$E$5),"✔ CLEAR","✘ TRY AGAIN"))),"✘ TRY AGAIN")</f>
        <v/>
      </c>
      <c r="G8" s="9" cm="1" t="str">
        <f t="array" ref="G8">IF(F8="","",IF(LEFT(F8,1)="✔",MIN(IF(H8="",1,H8)+1,5),1))</f>
        <v/>
      </c>
      <c r="H8" s="14"/>
      <c r="I8" s="15"/>
      <c r="J8" s="16" cm="1" t="str">
        <f t="array" ref="J8">IF(OR(H8="",I8=""),"",IFERROR(I8+CHOOSE(H8,1,3,7,14,30),""))</f>
        <v/>
      </c>
      <c r="K8" s="9" cm="1" t="str">
        <f t="array" ref="K8">IF(H8="","NEW",IF(J8="","DUE",IF(J8&lt;=TODAY(),"DUE","in "&amp;(J8-TODAY())&amp;IF(J8-TODAY()=1," day"," days"))))</f>
        <v>NEW</v>
      </c>
    </row>
    <row r="9" spans="1:11" ht="19.75" customHeight="1">
      <c r="A9" s="11">
        <v>5</v>
      </c>
      <c r="B9" s="11" t="s">
        <v>24</v>
      </c>
      <c r="C9" s="8" t="s">
        <v>43</v>
      </c>
      <c r="D9" s="8" t="s">
        <v>44</v>
      </c>
      <c r="E9" s="12"/>
      <c r="F9" s="13" cm="1" t="str">
        <f t="array" ref="F9">IFERROR(_xlfn.LET(_xlpm.a,Deck!$E$9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$6:$F$6),"✔ CLEAR","✘ TRY AGAIN"))),"✘ TRY AGAIN")</f>
        <v/>
      </c>
      <c r="G9" s="9" cm="1" t="str">
        <f t="array" ref="G9">IF(F9="","",IF(LEFT(F9,1)="✔",MIN(IF(H9="",1,H9)+1,5),1))</f>
        <v/>
      </c>
      <c r="H9" s="14"/>
      <c r="I9" s="15"/>
      <c r="J9" s="16" cm="1" t="str">
        <f t="array" ref="J9">IF(OR(H9="",I9=""),"",IFERROR(I9+CHOOSE(H9,1,3,7,14,30),""))</f>
        <v/>
      </c>
      <c r="K9" s="9" cm="1" t="str">
        <f t="array" ref="K9">IF(H9="","NEW",IF(J9="","DUE",IF(J9&lt;=TODAY(),"DUE","in "&amp;(J9-TODAY())&amp;IF(J9-TODAY()=1," day"," days"))))</f>
        <v>NEW</v>
      </c>
    </row>
    <row r="10" spans="1:11" ht="19.75" customHeight="1">
      <c r="A10" s="11">
        <v>6</v>
      </c>
      <c r="B10" s="11" t="s">
        <v>24</v>
      </c>
      <c r="C10" s="8" t="s">
        <v>43</v>
      </c>
      <c r="D10" s="8" t="s">
        <v>48</v>
      </c>
      <c r="E10" s="12"/>
      <c r="F10" s="13" cm="1" t="str">
        <f t="array" ref="F10">IFERROR(_xlfn.LET(_xlpm.a,Deck!$E$10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$7:$E$7),"✔ CLEAR","✘ TRY AGAIN"))),"✘ TRY AGAIN")</f>
        <v/>
      </c>
      <c r="G10" s="9" cm="1" t="str">
        <f t="array" ref="G10">IF(F10="","",IF(LEFT(F10,1)="✔",MIN(IF(H10="",1,H10)+1,5),1))</f>
        <v/>
      </c>
      <c r="H10" s="14"/>
      <c r="I10" s="15"/>
      <c r="J10" s="16" cm="1" t="str">
        <f t="array" ref="J10">IF(OR(H10="",I10=""),"",IFERROR(I10+CHOOSE(H10,1,3,7,14,30),""))</f>
        <v/>
      </c>
      <c r="K10" s="9" cm="1" t="str">
        <f t="array" ref="K10">IF(H10="","NEW",IF(J10="","DUE",IF(J10&lt;=TODAY(),"DUE","in "&amp;(J10-TODAY())&amp;IF(J10-TODAY()=1," day"," days"))))</f>
        <v>NEW</v>
      </c>
    </row>
    <row r="11" spans="1:11" ht="19.75" customHeight="1">
      <c r="A11" s="11">
        <v>7</v>
      </c>
      <c r="B11" s="11" t="s">
        <v>24</v>
      </c>
      <c r="C11" s="8" t="s">
        <v>43</v>
      </c>
      <c r="D11" s="8" t="s">
        <v>52</v>
      </c>
      <c r="E11" s="12"/>
      <c r="F11" s="13" cm="1" t="str">
        <f t="array" ref="F11">IFERROR(_xlfn.LET(_xlpm.a,Deck!$E$11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$8:$E$8),"✔ CLEAR","✘ TRY AGAIN"))),"✘ TRY AGAIN")</f>
        <v/>
      </c>
      <c r="G11" s="9" cm="1" t="str">
        <f t="array" ref="G11">IF(F11="","",IF(LEFT(F11,1)="✔",MIN(IF(H11="",1,H11)+1,5),1))</f>
        <v/>
      </c>
      <c r="H11" s="14"/>
      <c r="I11" s="15"/>
      <c r="J11" s="16" cm="1" t="str">
        <f t="array" ref="J11">IF(OR(H11="",I11=""),"",IFERROR(I11+CHOOSE(H11,1,3,7,14,30),""))</f>
        <v/>
      </c>
      <c r="K11" s="9" cm="1" t="str">
        <f t="array" ref="K11">IF(H11="","NEW",IF(J11="","DUE",IF(J11&lt;=TODAY(),"DUE","in "&amp;(J11-TODAY())&amp;IF(J11-TODAY()=1," day"," days"))))</f>
        <v>NEW</v>
      </c>
    </row>
    <row r="12" spans="1:11" ht="19.75" customHeight="1">
      <c r="A12" s="11">
        <v>8</v>
      </c>
      <c r="B12" s="11" t="s">
        <v>24</v>
      </c>
      <c r="C12" s="8" t="s">
        <v>43</v>
      </c>
      <c r="D12" s="8" t="s">
        <v>56</v>
      </c>
      <c r="E12" s="12"/>
      <c r="F12" s="13" cm="1" t="str">
        <f t="array" ref="F12">IFERROR(_xlfn.LET(_xlpm.a,Deck!$E$12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$9:$E$9),"✔ CLEAR","✘ TRY AGAIN"))),"✘ TRY AGAIN")</f>
        <v/>
      </c>
      <c r="G12" s="9" cm="1" t="str">
        <f t="array" ref="G12">IF(F12="","",IF(LEFT(F12,1)="✔",MIN(IF(H12="",1,H12)+1,5),1))</f>
        <v/>
      </c>
      <c r="H12" s="14"/>
      <c r="I12" s="15"/>
      <c r="J12" s="16" cm="1" t="str">
        <f t="array" ref="J12">IF(OR(H12="",I12=""),"",IFERROR(I12+CHOOSE(H12,1,3,7,14,30),""))</f>
        <v/>
      </c>
      <c r="K12" s="9" cm="1" t="str">
        <f t="array" ref="K12">IF(H12="","NEW",IF(J12="","DUE",IF(J12&lt;=TODAY(),"DUE","in "&amp;(J12-TODAY())&amp;IF(J12-TODAY()=1," day"," days"))))</f>
        <v>NEW</v>
      </c>
    </row>
    <row r="13" spans="1:11" ht="19.75" customHeight="1">
      <c r="A13" s="11">
        <v>9</v>
      </c>
      <c r="B13" s="11" t="s">
        <v>24</v>
      </c>
      <c r="C13" s="8" t="s">
        <v>43</v>
      </c>
      <c r="D13" s="8" t="s">
        <v>60</v>
      </c>
      <c r="E13" s="12"/>
      <c r="F13" s="13" cm="1" t="str">
        <f t="array" ref="F13">IFERROR(_xlfn.LET(_xlpm.a,Deck!$E$13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$10:$E$10),"✔ CLEAR","✘ TRY AGAIN"))),"✘ TRY AGAIN")</f>
        <v/>
      </c>
      <c r="G13" s="9" cm="1" t="str">
        <f t="array" ref="G13">IF(F13="","",IF(LEFT(F13,1)="✔",MIN(IF(H13="",1,H13)+1,5),1))</f>
        <v/>
      </c>
      <c r="H13" s="14"/>
      <c r="I13" s="15"/>
      <c r="J13" s="16" cm="1" t="str">
        <f t="array" ref="J13">IF(OR(H13="",I13=""),"",IFERROR(I13+CHOOSE(H13,1,3,7,14,30),""))</f>
        <v/>
      </c>
      <c r="K13" s="9" cm="1" t="str">
        <f t="array" ref="K13">IF(H13="","NEW",IF(J13="","DUE",IF(J13&lt;=TODAY(),"DUE","in "&amp;(J13-TODAY())&amp;IF(J13-TODAY()=1," day"," days"))))</f>
        <v>NEW</v>
      </c>
    </row>
    <row r="14" spans="1:11" ht="19.75" customHeight="1">
      <c r="A14" s="11">
        <v>10</v>
      </c>
      <c r="B14" s="11" t="s">
        <v>24</v>
      </c>
      <c r="C14" s="8" t="s">
        <v>68</v>
      </c>
      <c r="D14" s="8" t="s">
        <v>69</v>
      </c>
      <c r="E14" s="12"/>
      <c r="F14" s="13" cm="1" t="str">
        <f t="array" ref="F14">IFERROR(_xlfn.LET(_xlpm.a,Deck!$E$14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$11:$I$11),"✔ CLEAR","✘ TRY AGAIN"))),"✘ TRY AGAIN")</f>
        <v/>
      </c>
      <c r="G14" s="9" cm="1" t="str">
        <f t="array" ref="G14">IF(F14="","",IF(LEFT(F14,1)="✔",MIN(IF(H14="",1,H14)+1,5),1))</f>
        <v/>
      </c>
      <c r="H14" s="14"/>
      <c r="I14" s="15"/>
      <c r="J14" s="16" cm="1" t="str">
        <f t="array" ref="J14">IF(OR(H14="",I14=""),"",IFERROR(I14+CHOOSE(H14,1,3,7,14,30),""))</f>
        <v/>
      </c>
      <c r="K14" s="9" cm="1" t="str">
        <f t="array" ref="K14">IF(H14="","NEW",IF(J14="","DUE",IF(J14&lt;=TODAY(),"DUE","in "&amp;(J14-TODAY())&amp;IF(J14-TODAY()=1," day"," days"))))</f>
        <v>NEW</v>
      </c>
    </row>
    <row r="15" spans="1:11" ht="35.5" customHeight="1">
      <c r="A15" s="11">
        <v>11</v>
      </c>
      <c r="B15" s="11" t="s">
        <v>24</v>
      </c>
      <c r="C15" s="8" t="s">
        <v>68</v>
      </c>
      <c r="D15" s="8" t="s">
        <v>82</v>
      </c>
      <c r="E15" s="12"/>
      <c r="F15" s="13" cm="1" t="str">
        <f t="array" ref="F15">IFERROR(_xlfn.LET(_xlpm.a,Deck!$E$15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$12:$N$12),"✔ CLEAR","✘ TRY AGAIN"))),"✘ TRY AGAIN")</f>
        <v/>
      </c>
      <c r="G15" s="9" cm="1" t="str">
        <f t="array" ref="G15">IF(F15="","",IF(LEFT(F15,1)="✔",MIN(IF(H15="",1,H15)+1,5),1))</f>
        <v/>
      </c>
      <c r="H15" s="14"/>
      <c r="I15" s="15"/>
      <c r="J15" s="16" cm="1" t="str">
        <f t="array" ref="J15">IF(OR(H15="",I15=""),"",IFERROR(I15+CHOOSE(H15,1,3,7,14,30),""))</f>
        <v/>
      </c>
      <c r="K15" s="9" cm="1" t="str">
        <f t="array" ref="K15">IF(H15="","NEW",IF(J15="","DUE",IF(J15&lt;=TODAY(),"DUE","in "&amp;(J15-TODAY())&amp;IF(J15-TODAY()=1," day"," days"))))</f>
        <v>NEW</v>
      </c>
    </row>
    <row r="16" spans="1:11" ht="35.5" customHeight="1">
      <c r="A16" s="11">
        <v>12</v>
      </c>
      <c r="B16" s="11" t="s">
        <v>24</v>
      </c>
      <c r="C16" s="8" t="s">
        <v>68</v>
      </c>
      <c r="D16" s="8" t="s">
        <v>87</v>
      </c>
      <c r="E16" s="12"/>
      <c r="F16" s="13" cm="1" t="str">
        <f t="array" ref="F16">IFERROR(_xlfn.LET(_xlpm.a,Deck!$E$16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$13:$F$13),"✔ CLEAR","✘ TRY AGAIN"))),"✘ TRY AGAIN")</f>
        <v/>
      </c>
      <c r="G16" s="9" cm="1" t="str">
        <f t="array" ref="G16">IF(F16="","",IF(LEFT(F16,1)="✔",MIN(IF(H16="",1,H16)+1,5),1))</f>
        <v/>
      </c>
      <c r="H16" s="14"/>
      <c r="I16" s="15"/>
      <c r="J16" s="16" cm="1" t="str">
        <f t="array" ref="J16">IF(OR(H16="",I16=""),"",IFERROR(I16+CHOOSE(H16,1,3,7,14,30),""))</f>
        <v/>
      </c>
      <c r="K16" s="9" cm="1" t="str">
        <f t="array" ref="K16">IF(H16="","NEW",IF(J16="","DUE",IF(J16&lt;=TODAY(),"DUE","in "&amp;(J16-TODAY())&amp;IF(J16-TODAY()=1," day"," days"))))</f>
        <v>NEW</v>
      </c>
    </row>
    <row r="17" spans="1:11" ht="35.5" customHeight="1">
      <c r="A17" s="11">
        <v>13</v>
      </c>
      <c r="B17" s="11" t="s">
        <v>24</v>
      </c>
      <c r="C17" s="8" t="s">
        <v>68</v>
      </c>
      <c r="D17" s="8" t="s">
        <v>92</v>
      </c>
      <c r="E17" s="12"/>
      <c r="F17" s="13" cm="1" t="str">
        <f t="array" ref="F17">IFERROR(_xlfn.LET(_xlpm.a,Deck!$E$17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$14:$F$14),"✔ CLEAR","✘ TRY AGAIN"))),"✘ TRY AGAIN")</f>
        <v/>
      </c>
      <c r="G17" s="9" cm="1" t="str">
        <f t="array" ref="G17">IF(F17="","",IF(LEFT(F17,1)="✔",MIN(IF(H17="",1,H17)+1,5),1))</f>
        <v/>
      </c>
      <c r="H17" s="14"/>
      <c r="I17" s="15"/>
      <c r="J17" s="16" cm="1" t="str">
        <f t="array" ref="J17">IF(OR(H17="",I17=""),"",IFERROR(I17+CHOOSE(H17,1,3,7,14,30),""))</f>
        <v/>
      </c>
      <c r="K17" s="9" cm="1" t="str">
        <f t="array" ref="K17">IF(H17="","NEW",IF(J17="","DUE",IF(J17&lt;=TODAY(),"DUE","in "&amp;(J17-TODAY())&amp;IF(J17-TODAY()=1," day"," days"))))</f>
        <v>NEW</v>
      </c>
    </row>
    <row r="18" spans="1:11" ht="19.75" customHeight="1">
      <c r="A18" s="11">
        <v>14</v>
      </c>
      <c r="B18" s="11" t="s">
        <v>24</v>
      </c>
      <c r="C18" s="8" t="s">
        <v>96</v>
      </c>
      <c r="D18" s="8" t="s">
        <v>97</v>
      </c>
      <c r="E18" s="12"/>
      <c r="F18" s="13" cm="1" t="str">
        <f t="array" ref="F18">IFERROR(_xlfn.LET(_xlpm.a,Deck!$E$18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$15:$E$15),"✔ CLEAR","✘ TRY AGAIN"))),"✘ TRY AGAIN")</f>
        <v/>
      </c>
      <c r="G18" s="9" cm="1" t="str">
        <f t="array" ref="G18">IF(F18="","",IF(LEFT(F18,1)="✔",MIN(IF(H18="",1,H18)+1,5),1))</f>
        <v/>
      </c>
      <c r="H18" s="14"/>
      <c r="I18" s="15"/>
      <c r="J18" s="16" cm="1" t="str">
        <f t="array" ref="J18">IF(OR(H18="",I18=""),"",IFERROR(I18+CHOOSE(H18,1,3,7,14,30),""))</f>
        <v/>
      </c>
      <c r="K18" s="9" cm="1" t="str">
        <f t="array" ref="K18">IF(H18="","NEW",IF(J18="","DUE",IF(J18&lt;=TODAY(),"DUE","in "&amp;(J18-TODAY())&amp;IF(J18-TODAY()=1," day"," days"))))</f>
        <v>NEW</v>
      </c>
    </row>
    <row r="19" spans="1:11" ht="19.75" customHeight="1">
      <c r="A19" s="11">
        <v>15</v>
      </c>
      <c r="B19" s="11" t="s">
        <v>24</v>
      </c>
      <c r="C19" s="8" t="s">
        <v>96</v>
      </c>
      <c r="D19" s="8" t="s">
        <v>101</v>
      </c>
      <c r="E19" s="12"/>
      <c r="F19" s="13" cm="1" t="str">
        <f t="array" ref="F19">IFERROR(_xlfn.LET(_xlpm.a,Deck!$E$19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$16:$E$16),"✔ CLEAR","✘ TRY AGAIN"))),"✘ TRY AGAIN")</f>
        <v/>
      </c>
      <c r="G19" s="9" cm="1" t="str">
        <f t="array" ref="G19">IF(F19="","",IF(LEFT(F19,1)="✔",MIN(IF(H19="",1,H19)+1,5),1))</f>
        <v/>
      </c>
      <c r="H19" s="14"/>
      <c r="I19" s="15"/>
      <c r="J19" s="16" cm="1" t="str">
        <f t="array" ref="J19">IF(OR(H19="",I19=""),"",IFERROR(I19+CHOOSE(H19,1,3,7,14,30),""))</f>
        <v/>
      </c>
      <c r="K19" s="9" cm="1" t="str">
        <f t="array" ref="K19">IF(H19="","NEW",IF(J19="","DUE",IF(J19&lt;=TODAY(),"DUE","in "&amp;(J19-TODAY())&amp;IF(J19-TODAY()=1," day"," days"))))</f>
        <v>NEW</v>
      </c>
    </row>
    <row r="20" spans="1:11" ht="35.5" customHeight="1">
      <c r="A20" s="11">
        <v>16</v>
      </c>
      <c r="B20" s="11" t="s">
        <v>24</v>
      </c>
      <c r="C20" s="8" t="s">
        <v>96</v>
      </c>
      <c r="D20" s="8" t="s">
        <v>107</v>
      </c>
      <c r="E20" s="12"/>
      <c r="F20" s="13" cm="1" t="str">
        <f t="array" ref="F20">IFERROR(_xlfn.LET(_xlpm.a,Deck!$E$20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$17:$G$17),"✔ CLEAR","✘ TRY AGAIN"))),"✘ TRY AGAIN")</f>
        <v/>
      </c>
      <c r="G20" s="9" cm="1" t="str">
        <f t="array" ref="G20">IF(F20="","",IF(LEFT(F20,1)="✔",MIN(IF(H20="",1,H20)+1,5),1))</f>
        <v/>
      </c>
      <c r="H20" s="14"/>
      <c r="I20" s="15"/>
      <c r="J20" s="16" cm="1" t="str">
        <f t="array" ref="J20">IF(OR(H20="",I20=""),"",IFERROR(I20+CHOOSE(H20,1,3,7,14,30),""))</f>
        <v/>
      </c>
      <c r="K20" s="9" cm="1" t="str">
        <f t="array" ref="K20">IF(H20="","NEW",IF(J20="","DUE",IF(J20&lt;=TODAY(),"DUE","in "&amp;(J20-TODAY())&amp;IF(J20-TODAY()=1," day"," days"))))</f>
        <v>NEW</v>
      </c>
    </row>
    <row r="21" spans="1:11" ht="35.5" customHeight="1">
      <c r="A21" s="11">
        <v>17</v>
      </c>
      <c r="B21" s="11" t="s">
        <v>114</v>
      </c>
      <c r="C21" s="8" t="s">
        <v>115</v>
      </c>
      <c r="D21" s="8" t="s">
        <v>116</v>
      </c>
      <c r="E21" s="12"/>
      <c r="F21" s="13" cm="1" t="str">
        <f t="array" ref="F21">IFERROR(_xlfn.LET(_xlpm.a,Deck!$E$21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$18:$H$18),"✔ CLEAR","✘ TRY AGAIN"))),"✘ TRY AGAIN")</f>
        <v/>
      </c>
      <c r="G21" s="9" cm="1" t="str">
        <f t="array" ref="G21">IF(F21="","",IF(LEFT(F21,1)="✔",MIN(IF(H21="",1,H21)+1,5),1))</f>
        <v/>
      </c>
      <c r="H21" s="14"/>
      <c r="I21" s="15"/>
      <c r="J21" s="16" cm="1" t="str">
        <f t="array" ref="J21">IF(OR(H21="",I21=""),"",IFERROR(I21+CHOOSE(H21,1,3,7,14,30),""))</f>
        <v/>
      </c>
      <c r="K21" s="9" cm="1" t="str">
        <f t="array" ref="K21">IF(H21="","NEW",IF(J21="","DUE",IF(J21&lt;=TODAY(),"DUE","in "&amp;(J21-TODAY())&amp;IF(J21-TODAY()=1," day"," days"))))</f>
        <v>NEW</v>
      </c>
    </row>
    <row r="22" spans="1:11" ht="19.75" customHeight="1">
      <c r="A22" s="11">
        <v>18</v>
      </c>
      <c r="B22" s="11" t="s">
        <v>114</v>
      </c>
      <c r="C22" s="8" t="s">
        <v>115</v>
      </c>
      <c r="D22" s="8" t="s">
        <v>121</v>
      </c>
      <c r="E22" s="12"/>
      <c r="F22" s="13" cm="1" t="str">
        <f t="array" ref="F22">IFERROR(_xlfn.LET(_xlpm.a,Deck!$E$22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$19:$F$19),"✔ CLEAR","✘ TRY AGAIN"))),"✘ TRY AGAIN")</f>
        <v/>
      </c>
      <c r="G22" s="9" cm="1" t="str">
        <f t="array" ref="G22">IF(F22="","",IF(LEFT(F22,1)="✔",MIN(IF(H22="",1,H22)+1,5),1))</f>
        <v/>
      </c>
      <c r="H22" s="14"/>
      <c r="I22" s="15"/>
      <c r="J22" s="16" cm="1" t="str">
        <f t="array" ref="J22">IF(OR(H22="",I22=""),"",IFERROR(I22+CHOOSE(H22,1,3,7,14,30),""))</f>
        <v/>
      </c>
      <c r="K22" s="9" cm="1" t="str">
        <f t="array" ref="K22">IF(H22="","NEW",IF(J22="","DUE",IF(J22&lt;=TODAY(),"DUE","in "&amp;(J22-TODAY())&amp;IF(J22-TODAY()=1," day"," days"))))</f>
        <v>NEW</v>
      </c>
    </row>
    <row r="23" spans="1:11" ht="19.75" customHeight="1">
      <c r="A23" s="11">
        <v>19</v>
      </c>
      <c r="B23" s="11" t="s">
        <v>114</v>
      </c>
      <c r="C23" s="8" t="s">
        <v>115</v>
      </c>
      <c r="D23" s="8" t="s">
        <v>125</v>
      </c>
      <c r="E23" s="12"/>
      <c r="F23" s="13" cm="1" t="str">
        <f t="array" ref="F23">IFERROR(_xlfn.LET(_xlpm.a,Deck!$E$23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$20:$E$20),"✔ CLEAR","✘ TRY AGAIN"))),"✘ TRY AGAIN")</f>
        <v/>
      </c>
      <c r="G23" s="9" cm="1" t="str">
        <f t="array" ref="G23">IF(F23="","",IF(LEFT(F23,1)="✔",MIN(IF(H23="",1,H23)+1,5),1))</f>
        <v/>
      </c>
      <c r="H23" s="14"/>
      <c r="I23" s="15"/>
      <c r="J23" s="16" cm="1" t="str">
        <f t="array" ref="J23">IF(OR(H23="",I23=""),"",IFERROR(I23+CHOOSE(H23,1,3,7,14,30),""))</f>
        <v/>
      </c>
      <c r="K23" s="9" cm="1" t="str">
        <f t="array" ref="K23">IF(H23="","NEW",IF(J23="","DUE",IF(J23&lt;=TODAY(),"DUE","in "&amp;(J23-TODAY())&amp;IF(J23-TODAY()=1," day"," days"))))</f>
        <v>NEW</v>
      </c>
    </row>
    <row r="24" spans="1:11" ht="35.5" customHeight="1">
      <c r="A24" s="11">
        <v>20</v>
      </c>
      <c r="B24" s="11" t="s">
        <v>114</v>
      </c>
      <c r="C24" s="8" t="s">
        <v>115</v>
      </c>
      <c r="D24" s="8" t="s">
        <v>132</v>
      </c>
      <c r="E24" s="12"/>
      <c r="F24" s="13" cm="1" t="str">
        <f t="array" ref="F24">IFERROR(_xlfn.LET(_xlpm.a,Deck!$E$24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$21:$H$21),"✔ CLEAR","✘ TRY AGAIN"))),"✘ TRY AGAIN")</f>
        <v/>
      </c>
      <c r="G24" s="9" cm="1" t="str">
        <f t="array" ref="G24">IF(F24="","",IF(LEFT(F24,1)="✔",MIN(IF(H24="",1,H24)+1,5),1))</f>
        <v/>
      </c>
      <c r="H24" s="14"/>
      <c r="I24" s="15"/>
      <c r="J24" s="16" cm="1" t="str">
        <f t="array" ref="J24">IF(OR(H24="",I24=""),"",IFERROR(I24+CHOOSE(H24,1,3,7,14,30),""))</f>
        <v/>
      </c>
      <c r="K24" s="9" cm="1" t="str">
        <f t="array" ref="K24">IF(H24="","NEW",IF(J24="","DUE",IF(J24&lt;=TODAY(),"DUE","in "&amp;(J24-TODAY())&amp;IF(J24-TODAY()=1," day"," days"))))</f>
        <v>NEW</v>
      </c>
    </row>
    <row r="25" spans="1:11" ht="19.75" customHeight="1">
      <c r="A25" s="11">
        <v>21</v>
      </c>
      <c r="B25" s="11" t="s">
        <v>114</v>
      </c>
      <c r="C25" s="8" t="s">
        <v>141</v>
      </c>
      <c r="D25" s="8" t="s">
        <v>142</v>
      </c>
      <c r="E25" s="12"/>
      <c r="F25" s="13" cm="1" t="str">
        <f t="array" ref="F25">IFERROR(_xlfn.LET(_xlpm.a,Deck!$E$25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$22:$J$22),"✔ CLEAR","✘ TRY AGAIN"))),"✘ TRY AGAIN")</f>
        <v/>
      </c>
      <c r="G25" s="9" cm="1" t="str">
        <f t="array" ref="G25">IF(F25="","",IF(LEFT(F25,1)="✔",MIN(IF(H25="",1,H25)+1,5),1))</f>
        <v/>
      </c>
      <c r="H25" s="14"/>
      <c r="I25" s="15"/>
      <c r="J25" s="16" cm="1" t="str">
        <f t="array" ref="J25">IF(OR(H25="",I25=""),"",IFERROR(I25+CHOOSE(H25,1,3,7,14,30),""))</f>
        <v/>
      </c>
      <c r="K25" s="9" cm="1" t="str">
        <f t="array" ref="K25">IF(H25="","NEW",IF(J25="","DUE",IF(J25&lt;=TODAY(),"DUE","in "&amp;(J25-TODAY())&amp;IF(J25-TODAY()=1," day"," days"))))</f>
        <v>NEW</v>
      </c>
    </row>
    <row r="26" spans="1:11" ht="35.5" customHeight="1">
      <c r="A26" s="11">
        <v>22</v>
      </c>
      <c r="B26" s="11" t="s">
        <v>114</v>
      </c>
      <c r="C26" s="8" t="s">
        <v>141</v>
      </c>
      <c r="D26" s="8" t="s">
        <v>151</v>
      </c>
      <c r="E26" s="12"/>
      <c r="F26" s="13" cm="1" t="str">
        <f t="array" ref="F26">IFERROR(_xlfn.LET(_xlpm.a,Deck!$E$26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$23:$J$23),"✔ CLEAR","✘ TRY AGAIN"))),"✘ TRY AGAIN")</f>
        <v/>
      </c>
      <c r="G26" s="9" cm="1" t="str">
        <f t="array" ref="G26">IF(F26="","",IF(LEFT(F26,1)="✔",MIN(IF(H26="",1,H26)+1,5),1))</f>
        <v/>
      </c>
      <c r="H26" s="14"/>
      <c r="I26" s="15"/>
      <c r="J26" s="16" cm="1" t="str">
        <f t="array" ref="J26">IF(OR(H26="",I26=""),"",IFERROR(I26+CHOOSE(H26,1,3,7,14,30),""))</f>
        <v/>
      </c>
      <c r="K26" s="9" cm="1" t="str">
        <f t="array" ref="K26">IF(H26="","NEW",IF(J26="","DUE",IF(J26&lt;=TODAY(),"DUE","in "&amp;(J26-TODAY())&amp;IF(J26-TODAY()=1," day"," days"))))</f>
        <v>NEW</v>
      </c>
    </row>
    <row r="27" spans="1:11" ht="35.5" customHeight="1">
      <c r="A27" s="11">
        <v>23</v>
      </c>
      <c r="B27" s="11" t="s">
        <v>114</v>
      </c>
      <c r="C27" s="8" t="s">
        <v>141</v>
      </c>
      <c r="D27" s="8" t="s">
        <v>160</v>
      </c>
      <c r="E27" s="12"/>
      <c r="F27" s="13" cm="1" t="str">
        <f t="array" ref="F27">IFERROR(_xlfn.LET(_xlpm.a,Deck!$E$27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$24:$J$24),"✔ CLEAR","✘ TRY AGAIN"))),"✘ TRY AGAIN")</f>
        <v/>
      </c>
      <c r="G27" s="9" cm="1" t="str">
        <f t="array" ref="G27">IF(F27="","",IF(LEFT(F27,1)="✔",MIN(IF(H27="",1,H27)+1,5),1))</f>
        <v/>
      </c>
      <c r="H27" s="14"/>
      <c r="I27" s="15"/>
      <c r="J27" s="16" cm="1" t="str">
        <f t="array" ref="J27">IF(OR(H27="",I27=""),"",IFERROR(I27+CHOOSE(H27,1,3,7,14,30),""))</f>
        <v/>
      </c>
      <c r="K27" s="9" cm="1" t="str">
        <f t="array" ref="K27">IF(H27="","NEW",IF(J27="","DUE",IF(J27&lt;=TODAY(),"DUE","in "&amp;(J27-TODAY())&amp;IF(J27-TODAY()=1," day"," days"))))</f>
        <v>NEW</v>
      </c>
    </row>
    <row r="28" spans="1:11" ht="35.5" customHeight="1">
      <c r="A28" s="11">
        <v>24</v>
      </c>
      <c r="B28" s="11" t="s">
        <v>114</v>
      </c>
      <c r="C28" s="8" t="s">
        <v>141</v>
      </c>
      <c r="D28" s="8" t="s">
        <v>169</v>
      </c>
      <c r="E28" s="12"/>
      <c r="F28" s="13" cm="1" t="str">
        <f t="array" ref="F28">IFERROR(_xlfn.LET(_xlpm.a,Deck!$E$28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$25:$J$25),"✔ CLEAR","✘ TRY AGAIN"))),"✘ TRY AGAIN")</f>
        <v/>
      </c>
      <c r="G28" s="9" cm="1" t="str">
        <f t="array" ref="G28">IF(F28="","",IF(LEFT(F28,1)="✔",MIN(IF(H28="",1,H28)+1,5),1))</f>
        <v/>
      </c>
      <c r="H28" s="14"/>
      <c r="I28" s="15"/>
      <c r="J28" s="16" cm="1" t="str">
        <f t="array" ref="J28">IF(OR(H28="",I28=""),"",IFERROR(I28+CHOOSE(H28,1,3,7,14,30),""))</f>
        <v/>
      </c>
      <c r="K28" s="9" cm="1" t="str">
        <f t="array" ref="K28">IF(H28="","NEW",IF(J28="","DUE",IF(J28&lt;=TODAY(),"DUE","in "&amp;(J28-TODAY())&amp;IF(J28-TODAY()=1," day"," days"))))</f>
        <v>NEW</v>
      </c>
    </row>
    <row r="29" spans="1:11" ht="35.5" customHeight="1">
      <c r="A29" s="11">
        <v>25</v>
      </c>
      <c r="B29" s="11" t="s">
        <v>114</v>
      </c>
      <c r="C29" s="8" t="s">
        <v>141</v>
      </c>
      <c r="D29" s="8" t="s">
        <v>178</v>
      </c>
      <c r="E29" s="12"/>
      <c r="F29" s="13" cm="1" t="str">
        <f t="array" ref="F29">IFERROR(_xlfn.LET(_xlpm.a,Deck!$E$29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$26:$J$26),"✔ CLEAR","✘ TRY AGAIN"))),"✘ TRY AGAIN")</f>
        <v/>
      </c>
      <c r="G29" s="9" cm="1" t="str">
        <f t="array" ref="G29">IF(F29="","",IF(LEFT(F29,1)="✔",MIN(IF(H29="",1,H29)+1,5),1))</f>
        <v/>
      </c>
      <c r="H29" s="14"/>
      <c r="I29" s="15"/>
      <c r="J29" s="16" cm="1" t="str">
        <f t="array" ref="J29">IF(OR(H29="",I29=""),"",IFERROR(I29+CHOOSE(H29,1,3,7,14,30),""))</f>
        <v/>
      </c>
      <c r="K29" s="9" cm="1" t="str">
        <f t="array" ref="K29">IF(H29="","NEW",IF(J29="","DUE",IF(J29&lt;=TODAY(),"DUE","in "&amp;(J29-TODAY())&amp;IF(J29-TODAY()=1," day"," days"))))</f>
        <v>NEW</v>
      </c>
    </row>
    <row r="30" spans="1:11" ht="35.5" customHeight="1">
      <c r="A30" s="11">
        <v>26</v>
      </c>
      <c r="B30" s="11" t="s">
        <v>114</v>
      </c>
      <c r="C30" s="8" t="s">
        <v>141</v>
      </c>
      <c r="D30" s="8" t="s">
        <v>187</v>
      </c>
      <c r="E30" s="12"/>
      <c r="F30" s="13" cm="1" t="str">
        <f t="array" ref="F30">IFERROR(_xlfn.LET(_xlpm.a,Deck!$E$30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$27:$J$27),"✔ CLEAR","✘ TRY AGAIN"))),"✘ TRY AGAIN")</f>
        <v/>
      </c>
      <c r="G30" s="9" cm="1" t="str">
        <f t="array" ref="G30">IF(F30="","",IF(LEFT(F30,1)="✔",MIN(IF(H30="",1,H30)+1,5),1))</f>
        <v/>
      </c>
      <c r="H30" s="14"/>
      <c r="I30" s="15"/>
      <c r="J30" s="16" cm="1" t="str">
        <f t="array" ref="J30">IF(OR(H30="",I30=""),"",IFERROR(I30+CHOOSE(H30,1,3,7,14,30),""))</f>
        <v/>
      </c>
      <c r="K30" s="9" cm="1" t="str">
        <f t="array" ref="K30">IF(H30="","NEW",IF(J30="","DUE",IF(J30&lt;=TODAY(),"DUE","in "&amp;(J30-TODAY())&amp;IF(J30-TODAY()=1," day"," days"))))</f>
        <v>NEW</v>
      </c>
    </row>
    <row r="31" spans="1:11" ht="19.75" customHeight="1">
      <c r="A31" s="11">
        <v>27</v>
      </c>
      <c r="B31" s="11" t="s">
        <v>114</v>
      </c>
      <c r="C31" s="8" t="s">
        <v>141</v>
      </c>
      <c r="D31" s="8" t="s">
        <v>191</v>
      </c>
      <c r="E31" s="12"/>
      <c r="F31" s="13" cm="1" t="str">
        <f t="array" ref="F31">IFERROR(_xlfn.LET(_xlpm.a,Deck!$E$31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$28:$E$28),"✔ CLEAR","✘ TRY AGAIN"))),"✘ TRY AGAIN")</f>
        <v/>
      </c>
      <c r="G31" s="9" cm="1" t="str">
        <f t="array" ref="G31">IF(F31="","",IF(LEFT(F31,1)="✔",MIN(IF(H31="",1,H31)+1,5),1))</f>
        <v/>
      </c>
      <c r="H31" s="14"/>
      <c r="I31" s="15"/>
      <c r="J31" s="16" cm="1" t="str">
        <f t="array" ref="J31">IF(OR(H31="",I31=""),"",IFERROR(I31+CHOOSE(H31,1,3,7,14,30),""))</f>
        <v/>
      </c>
      <c r="K31" s="9" cm="1" t="str">
        <f t="array" ref="K31">IF(H31="","NEW",IF(J31="","DUE",IF(J31&lt;=TODAY(),"DUE","in "&amp;(J31-TODAY())&amp;IF(J31-TODAY()=1," day"," days"))))</f>
        <v>NEW</v>
      </c>
    </row>
    <row r="32" spans="1:11" ht="35.5" customHeight="1">
      <c r="A32" s="11">
        <v>28</v>
      </c>
      <c r="B32" s="11" t="s">
        <v>114</v>
      </c>
      <c r="C32" s="8" t="s">
        <v>195</v>
      </c>
      <c r="D32" s="8" t="s">
        <v>196</v>
      </c>
      <c r="E32" s="12"/>
      <c r="F32" s="13" cm="1" t="str">
        <f t="array" ref="F32">IFERROR(_xlfn.LET(_xlpm.a,Deck!$E$32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$29:$E$29),"✔ CLEAR","✘ TRY AGAIN"))),"✘ TRY AGAIN")</f>
        <v/>
      </c>
      <c r="G32" s="9" cm="1" t="str">
        <f t="array" ref="G32">IF(F32="","",IF(LEFT(F32,1)="✔",MIN(IF(H32="",1,H32)+1,5),1))</f>
        <v/>
      </c>
      <c r="H32" s="14"/>
      <c r="I32" s="15"/>
      <c r="J32" s="16" cm="1" t="str">
        <f t="array" ref="J32">IF(OR(H32="",I32=""),"",IFERROR(I32+CHOOSE(H32,1,3,7,14,30),""))</f>
        <v/>
      </c>
      <c r="K32" s="9" cm="1" t="str">
        <f t="array" ref="K32">IF(H32="","NEW",IF(J32="","DUE",IF(J32&lt;=TODAY(),"DUE","in "&amp;(J32-TODAY())&amp;IF(J32-TODAY()=1," day"," days"))))</f>
        <v>NEW</v>
      </c>
    </row>
    <row r="33" spans="1:11" ht="35.5" customHeight="1">
      <c r="A33" s="11">
        <v>29</v>
      </c>
      <c r="B33" s="11" t="s">
        <v>114</v>
      </c>
      <c r="C33" s="8" t="s">
        <v>195</v>
      </c>
      <c r="D33" s="8" t="s">
        <v>200</v>
      </c>
      <c r="E33" s="12"/>
      <c r="F33" s="13" cm="1" t="str">
        <f t="array" ref="F33">IFERROR(_xlfn.LET(_xlpm.a,Deck!$E$33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$30:$E$30),"✔ CLEAR","✘ TRY AGAIN"))),"✘ TRY AGAIN")</f>
        <v/>
      </c>
      <c r="G33" s="9" cm="1" t="str">
        <f t="array" ref="G33">IF(F33="","",IF(LEFT(F33,1)="✔",MIN(IF(H33="",1,H33)+1,5),1))</f>
        <v/>
      </c>
      <c r="H33" s="14"/>
      <c r="I33" s="15"/>
      <c r="J33" s="16" cm="1" t="str">
        <f t="array" ref="J33">IF(OR(H33="",I33=""),"",IFERROR(I33+CHOOSE(H33,1,3,7,14,30),""))</f>
        <v/>
      </c>
      <c r="K33" s="9" cm="1" t="str">
        <f t="array" ref="K33">IF(H33="","NEW",IF(J33="","DUE",IF(J33&lt;=TODAY(),"DUE","in "&amp;(J33-TODAY())&amp;IF(J33-TODAY()=1," day"," days"))))</f>
        <v>NEW</v>
      </c>
    </row>
    <row r="34" spans="1:11" ht="35.5" customHeight="1">
      <c r="A34" s="11">
        <v>30</v>
      </c>
      <c r="B34" s="11" t="s">
        <v>114</v>
      </c>
      <c r="C34" s="8" t="s">
        <v>195</v>
      </c>
      <c r="D34" s="8" t="s">
        <v>204</v>
      </c>
      <c r="E34" s="12"/>
      <c r="F34" s="13" cm="1" t="str">
        <f t="array" ref="F34">IFERROR(_xlfn.LET(_xlpm.a,Deck!$E$34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$31:$E$31),"✔ CLEAR","✘ TRY AGAIN"))),"✘ TRY AGAIN")</f>
        <v/>
      </c>
      <c r="G34" s="9" cm="1" t="str">
        <f t="array" ref="G34">IF(F34="","",IF(LEFT(F34,1)="✔",MIN(IF(H34="",1,H34)+1,5),1))</f>
        <v/>
      </c>
      <c r="H34" s="14"/>
      <c r="I34" s="15"/>
      <c r="J34" s="16" cm="1" t="str">
        <f t="array" ref="J34">IF(OR(H34="",I34=""),"",IFERROR(I34+CHOOSE(H34,1,3,7,14,30),""))</f>
        <v/>
      </c>
      <c r="K34" s="9" cm="1" t="str">
        <f t="array" ref="K34">IF(H34="","NEW",IF(J34="","DUE",IF(J34&lt;=TODAY(),"DUE","in "&amp;(J34-TODAY())&amp;IF(J34-TODAY()=1," day"," days"))))</f>
        <v>NEW</v>
      </c>
    </row>
    <row r="35" spans="1:11" ht="35.5" customHeight="1">
      <c r="A35" s="11">
        <v>31</v>
      </c>
      <c r="B35" s="11" t="s">
        <v>114</v>
      </c>
      <c r="C35" s="8" t="s">
        <v>195</v>
      </c>
      <c r="D35" s="8" t="s">
        <v>208</v>
      </c>
      <c r="E35" s="12"/>
      <c r="F35" s="13" cm="1" t="str">
        <f t="array" ref="F35">IFERROR(_xlfn.LET(_xlpm.a,Deck!$E$35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$32:$E$32),"✔ CLEAR","✘ TRY AGAIN"))),"✘ TRY AGAIN")</f>
        <v/>
      </c>
      <c r="G35" s="9" cm="1" t="str">
        <f t="array" ref="G35">IF(F35="","",IF(LEFT(F35,1)="✔",MIN(IF(H35="",1,H35)+1,5),1))</f>
        <v/>
      </c>
      <c r="H35" s="14"/>
      <c r="I35" s="15"/>
      <c r="J35" s="16" cm="1" t="str">
        <f t="array" ref="J35">IF(OR(H35="",I35=""),"",IFERROR(I35+CHOOSE(H35,1,3,7,14,30),""))</f>
        <v/>
      </c>
      <c r="K35" s="9" cm="1" t="str">
        <f t="array" ref="K35">IF(H35="","NEW",IF(J35="","DUE",IF(J35&lt;=TODAY(),"DUE","in "&amp;(J35-TODAY())&amp;IF(J35-TODAY()=1," day"," days"))))</f>
        <v>NEW</v>
      </c>
    </row>
    <row r="36" spans="1:11" ht="35.5" customHeight="1">
      <c r="A36" s="11">
        <v>32</v>
      </c>
      <c r="B36" s="11" t="s">
        <v>114</v>
      </c>
      <c r="C36" s="8" t="s">
        <v>217</v>
      </c>
      <c r="D36" s="8" t="s">
        <v>218</v>
      </c>
      <c r="E36" s="12"/>
      <c r="F36" s="13" cm="1" t="str">
        <f t="array" ref="F36">IFERROR(_xlfn.LET(_xlpm.a,Deck!$E$36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$33:$J$33),"✔ CLEAR","✘ TRY AGAIN"))),"✘ TRY AGAIN")</f>
        <v/>
      </c>
      <c r="G36" s="9" cm="1" t="str">
        <f t="array" ref="G36">IF(F36="","",IF(LEFT(F36,1)="✔",MIN(IF(H36="",1,H36)+1,5),1))</f>
        <v/>
      </c>
      <c r="H36" s="14"/>
      <c r="I36" s="15"/>
      <c r="J36" s="16" cm="1" t="str">
        <f t="array" ref="J36">IF(OR(H36="",I36=""),"",IFERROR(I36+CHOOSE(H36,1,3,7,14,30),""))</f>
        <v/>
      </c>
      <c r="K36" s="9" cm="1" t="str">
        <f t="array" ref="K36">IF(H36="","NEW",IF(J36="","DUE",IF(J36&lt;=TODAY(),"DUE","in "&amp;(J36-TODAY())&amp;IF(J36-TODAY()=1," day"," days"))))</f>
        <v>NEW</v>
      </c>
    </row>
    <row r="37" spans="1:11" ht="35.5" customHeight="1">
      <c r="A37" s="11">
        <v>33</v>
      </c>
      <c r="B37" s="11" t="s">
        <v>114</v>
      </c>
      <c r="C37" s="8" t="s">
        <v>217</v>
      </c>
      <c r="D37" s="8" t="s">
        <v>227</v>
      </c>
      <c r="E37" s="12"/>
      <c r="F37" s="13" cm="1" t="str">
        <f t="array" ref="F37">IFERROR(_xlfn.LET(_xlpm.a,Deck!$E$37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$34:$J$34),"✔ CLEAR","✘ TRY AGAIN"))),"✘ TRY AGAIN")</f>
        <v/>
      </c>
      <c r="G37" s="9" cm="1" t="str">
        <f t="array" ref="G37">IF(F37="","",IF(LEFT(F37,1)="✔",MIN(IF(H37="",1,H37)+1,5),1))</f>
        <v/>
      </c>
      <c r="H37" s="14"/>
      <c r="I37" s="15"/>
      <c r="J37" s="16" cm="1" t="str">
        <f t="array" ref="J37">IF(OR(H37="",I37=""),"",IFERROR(I37+CHOOSE(H37,1,3,7,14,30),""))</f>
        <v/>
      </c>
      <c r="K37" s="9" cm="1" t="str">
        <f t="array" ref="K37">IF(H37="","NEW",IF(J37="","DUE",IF(J37&lt;=TODAY(),"DUE","in "&amp;(J37-TODAY())&amp;IF(J37-TODAY()=1," day"," days"))))</f>
        <v>NEW</v>
      </c>
    </row>
    <row r="38" spans="1:11" ht="35.5" customHeight="1">
      <c r="A38" s="11">
        <v>34</v>
      </c>
      <c r="B38" s="11" t="s">
        <v>114</v>
      </c>
      <c r="C38" s="8" t="s">
        <v>217</v>
      </c>
      <c r="D38" s="8" t="s">
        <v>236</v>
      </c>
      <c r="E38" s="12"/>
      <c r="F38" s="13" cm="1" t="str">
        <f t="array" ref="F38">IFERROR(_xlfn.LET(_xlpm.a,Deck!$E$38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$35:$J$35),"✔ CLEAR","✘ TRY AGAIN"))),"✘ TRY AGAIN")</f>
        <v/>
      </c>
      <c r="G38" s="9" cm="1" t="str">
        <f t="array" ref="G38">IF(F38="","",IF(LEFT(F38,1)="✔",MIN(IF(H38="",1,H38)+1,5),1))</f>
        <v/>
      </c>
      <c r="H38" s="14"/>
      <c r="I38" s="15"/>
      <c r="J38" s="16" cm="1" t="str">
        <f t="array" ref="J38">IF(OR(H38="",I38=""),"",IFERROR(I38+CHOOSE(H38,1,3,7,14,30),""))</f>
        <v/>
      </c>
      <c r="K38" s="9" cm="1" t="str">
        <f t="array" ref="K38">IF(H38="","NEW",IF(J38="","DUE",IF(J38&lt;=TODAY(),"DUE","in "&amp;(J38-TODAY())&amp;IF(J38-TODAY()=1," day"," days"))))</f>
        <v>NEW</v>
      </c>
    </row>
    <row r="39" spans="1:11" ht="35.5" customHeight="1">
      <c r="A39" s="11">
        <v>35</v>
      </c>
      <c r="B39" s="11" t="s">
        <v>114</v>
      </c>
      <c r="C39" s="8" t="s">
        <v>243</v>
      </c>
      <c r="D39" s="8" t="s">
        <v>244</v>
      </c>
      <c r="E39" s="12"/>
      <c r="F39" s="13" cm="1" t="str">
        <f t="array" ref="F39">IFERROR(_xlfn.LET(_xlpm.a,Deck!$E$39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$36:$H$36),"✔ CLEAR","✘ TRY AGAIN"))),"✘ TRY AGAIN")</f>
        <v/>
      </c>
      <c r="G39" s="9" cm="1" t="str">
        <f t="array" ref="G39">IF(F39="","",IF(LEFT(F39,1)="✔",MIN(IF(H39="",1,H39)+1,5),1))</f>
        <v/>
      </c>
      <c r="H39" s="14"/>
      <c r="I39" s="15"/>
      <c r="J39" s="16" cm="1" t="str">
        <f t="array" ref="J39">IF(OR(H39="",I39=""),"",IFERROR(I39+CHOOSE(H39,1,3,7,14,30),""))</f>
        <v/>
      </c>
      <c r="K39" s="9" cm="1" t="str">
        <f t="array" ref="K39">IF(H39="","NEW",IF(J39="","DUE",IF(J39&lt;=TODAY(),"DUE","in "&amp;(J39-TODAY())&amp;IF(J39-TODAY()=1," day"," days"))))</f>
        <v>NEW</v>
      </c>
    </row>
    <row r="40" spans="1:11" ht="35.5" customHeight="1">
      <c r="A40" s="11">
        <v>36</v>
      </c>
      <c r="B40" s="11" t="s">
        <v>114</v>
      </c>
      <c r="C40" s="8" t="s">
        <v>243</v>
      </c>
      <c r="D40" s="8" t="s">
        <v>248</v>
      </c>
      <c r="E40" s="12"/>
      <c r="F40" s="13" cm="1" t="str">
        <f t="array" ref="F40">IFERROR(_xlfn.LET(_xlpm.a,Deck!$E$40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$37:$E$37),"✔ CLEAR","✘ TRY AGAIN"))),"✘ TRY AGAIN")</f>
        <v/>
      </c>
      <c r="G40" s="9" cm="1" t="str">
        <f t="array" ref="G40">IF(F40="","",IF(LEFT(F40,1)="✔",MIN(IF(H40="",1,H40)+1,5),1))</f>
        <v/>
      </c>
      <c r="H40" s="14"/>
      <c r="I40" s="15"/>
      <c r="J40" s="16" cm="1" t="str">
        <f t="array" ref="J40">IF(OR(H40="",I40=""),"",IFERROR(I40+CHOOSE(H40,1,3,7,14,30),""))</f>
        <v/>
      </c>
      <c r="K40" s="9" cm="1" t="str">
        <f t="array" ref="K40">IF(H40="","NEW",IF(J40="","DUE",IF(J40&lt;=TODAY(),"DUE","in "&amp;(J40-TODAY())&amp;IF(J40-TODAY()=1," day"," days"))))</f>
        <v>NEW</v>
      </c>
    </row>
    <row r="41" spans="1:11" ht="51.25" customHeight="1">
      <c r="A41" s="11">
        <v>37</v>
      </c>
      <c r="B41" s="11" t="s">
        <v>114</v>
      </c>
      <c r="C41" s="8" t="s">
        <v>243</v>
      </c>
      <c r="D41" s="8" t="s">
        <v>252</v>
      </c>
      <c r="E41" s="12"/>
      <c r="F41" s="13" cm="1" t="str">
        <f t="array" ref="F41">IFERROR(_xlfn.LET(_xlpm.a,Deck!$E$41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$38:$E$38),"✔ CLEAR","✘ TRY AGAIN"))),"✘ TRY AGAIN")</f>
        <v/>
      </c>
      <c r="G41" s="9" cm="1" t="str">
        <f t="array" ref="G41">IF(F41="","",IF(LEFT(F41,1)="✔",MIN(IF(H41="",1,H41)+1,5),1))</f>
        <v/>
      </c>
      <c r="H41" s="14"/>
      <c r="I41" s="15"/>
      <c r="J41" s="16" cm="1" t="str">
        <f t="array" ref="J41">IF(OR(H41="",I41=""),"",IFERROR(I41+CHOOSE(H41,1,3,7,14,30),""))</f>
        <v/>
      </c>
      <c r="K41" s="9" cm="1" t="str">
        <f t="array" ref="K41">IF(H41="","NEW",IF(J41="","DUE",IF(J41&lt;=TODAY(),"DUE","in "&amp;(J41-TODAY())&amp;IF(J41-TODAY()=1," day"," days"))))</f>
        <v>NEW</v>
      </c>
    </row>
    <row r="42" spans="1:11" ht="35.5" customHeight="1">
      <c r="A42" s="11">
        <v>38</v>
      </c>
      <c r="B42" s="11" t="s">
        <v>114</v>
      </c>
      <c r="C42" s="8" t="s">
        <v>243</v>
      </c>
      <c r="D42" s="8" t="s">
        <v>257</v>
      </c>
      <c r="E42" s="12"/>
      <c r="F42" s="13" cm="1" t="str">
        <f t="array" ref="F42">IFERROR(_xlfn.LET(_xlpm.a,Deck!$E$42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$39:$F$39),"✔ CLEAR","✘ TRY AGAIN"))),"✘ TRY AGAIN")</f>
        <v/>
      </c>
      <c r="G42" s="9" cm="1" t="str">
        <f t="array" ref="G42">IF(F42="","",IF(LEFT(F42,1)="✔",MIN(IF(H42="",1,H42)+1,5),1))</f>
        <v/>
      </c>
      <c r="H42" s="14"/>
      <c r="I42" s="15"/>
      <c r="J42" s="16" cm="1" t="str">
        <f t="array" ref="J42">IF(OR(H42="",I42=""),"",IFERROR(I42+CHOOSE(H42,1,3,7,14,30),""))</f>
        <v/>
      </c>
      <c r="K42" s="9" cm="1" t="str">
        <f t="array" ref="K42">IF(H42="","NEW",IF(J42="","DUE",IF(J42&lt;=TODAY(),"DUE","in "&amp;(J42-TODAY())&amp;IF(J42-TODAY()=1," day"," days"))))</f>
        <v>NEW</v>
      </c>
    </row>
    <row r="43" spans="1:11" ht="35.5" customHeight="1">
      <c r="A43" s="11">
        <v>39</v>
      </c>
      <c r="B43" s="11" t="s">
        <v>114</v>
      </c>
      <c r="C43" s="8" t="s">
        <v>243</v>
      </c>
      <c r="D43" s="8" t="s">
        <v>261</v>
      </c>
      <c r="E43" s="12"/>
      <c r="F43" s="13" cm="1" t="str">
        <f t="array" ref="F43">IFERROR(_xlfn.LET(_xlpm.a,Deck!$E$43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$40:$E$40),"✔ CLEAR","✘ TRY AGAIN"))),"✘ TRY AGAIN")</f>
        <v/>
      </c>
      <c r="G43" s="9" cm="1" t="str">
        <f t="array" ref="G43">IF(F43="","",IF(LEFT(F43,1)="✔",MIN(IF(H43="",1,H43)+1,5),1))</f>
        <v/>
      </c>
      <c r="H43" s="14"/>
      <c r="I43" s="15"/>
      <c r="J43" s="16" cm="1" t="str">
        <f t="array" ref="J43">IF(OR(H43="",I43=""),"",IFERROR(I43+CHOOSE(H43,1,3,7,14,30),""))</f>
        <v/>
      </c>
      <c r="K43" s="9" cm="1" t="str">
        <f t="array" ref="K43">IF(H43="","NEW",IF(J43="","DUE",IF(J43&lt;=TODAY(),"DUE","in "&amp;(J43-TODAY())&amp;IF(J43-TODAY()=1," day"," days"))))</f>
        <v>NEW</v>
      </c>
    </row>
    <row r="44" spans="1:11" ht="35.5" customHeight="1">
      <c r="A44" s="11">
        <v>40</v>
      </c>
      <c r="B44" s="11" t="s">
        <v>265</v>
      </c>
      <c r="C44" s="8" t="s">
        <v>266</v>
      </c>
      <c r="D44" s="8" t="s">
        <v>267</v>
      </c>
      <c r="E44" s="12"/>
      <c r="F44" s="13" cm="1" t="str">
        <f t="array" ref="F44">IFERROR(_xlfn.LET(_xlpm.a,Deck!$E$44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$41:$E$41),"✔ CLEAR","✘ TRY AGAIN"))),"✘ TRY AGAIN")</f>
        <v/>
      </c>
      <c r="G44" s="9" cm="1" t="str">
        <f t="array" ref="G44">IF(F44="","",IF(LEFT(F44,1)="✔",MIN(IF(H44="",1,H44)+1,5),1))</f>
        <v/>
      </c>
      <c r="H44" s="14"/>
      <c r="I44" s="15"/>
      <c r="J44" s="16" cm="1" t="str">
        <f t="array" ref="J44">IF(OR(H44="",I44=""),"",IFERROR(I44+CHOOSE(H44,1,3,7,14,30),""))</f>
        <v/>
      </c>
      <c r="K44" s="9" cm="1" t="str">
        <f t="array" ref="K44">IF(H44="","NEW",IF(J44="","DUE",IF(J44&lt;=TODAY(),"DUE","in "&amp;(J44-TODAY())&amp;IF(J44-TODAY()=1," day"," days"))))</f>
        <v>NEW</v>
      </c>
    </row>
    <row r="45" spans="1:11" ht="35.5" customHeight="1">
      <c r="A45" s="11">
        <v>41</v>
      </c>
      <c r="B45" s="11" t="s">
        <v>265</v>
      </c>
      <c r="C45" s="8" t="s">
        <v>266</v>
      </c>
      <c r="D45" s="8" t="s">
        <v>269</v>
      </c>
      <c r="E45" s="12"/>
      <c r="F45" s="13" cm="1" t="str">
        <f t="array" ref="F45">IFERROR(_xlfn.LET(_xlpm.a,Deck!$E$45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$42:$E$42),"✔ CLEAR","✘ TRY AGAIN"))),"✘ TRY AGAIN")</f>
        <v/>
      </c>
      <c r="G45" s="9" cm="1" t="str">
        <f t="array" ref="G45">IF(F45="","",IF(LEFT(F45,1)="✔",MIN(IF(H45="",1,H45)+1,5),1))</f>
        <v/>
      </c>
      <c r="H45" s="14"/>
      <c r="I45" s="15"/>
      <c r="J45" s="16" cm="1" t="str">
        <f t="array" ref="J45">IF(OR(H45="",I45=""),"",IFERROR(I45+CHOOSE(H45,1,3,7,14,30),""))</f>
        <v/>
      </c>
      <c r="K45" s="9" cm="1" t="str">
        <f t="array" ref="K45">IF(H45="","NEW",IF(J45="","DUE",IF(J45&lt;=TODAY(),"DUE","in "&amp;(J45-TODAY())&amp;IF(J45-TODAY()=1," day"," days"))))</f>
        <v>NEW</v>
      </c>
    </row>
    <row r="46" spans="1:11" ht="35.5" customHeight="1">
      <c r="A46" s="11">
        <v>42</v>
      </c>
      <c r="B46" s="11" t="s">
        <v>265</v>
      </c>
      <c r="C46" s="8" t="s">
        <v>266</v>
      </c>
      <c r="D46" s="8" t="s">
        <v>273</v>
      </c>
      <c r="E46" s="12"/>
      <c r="F46" s="13" cm="1" t="str">
        <f t="array" ref="F46">IFERROR(_xlfn.LET(_xlpm.a,Deck!$E$46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$43:$E$43),"✔ CLEAR","✘ TRY AGAIN"))),"✘ TRY AGAIN")</f>
        <v/>
      </c>
      <c r="G46" s="9" cm="1" t="str">
        <f t="array" ref="G46">IF(F46="","",IF(LEFT(F46,1)="✔",MIN(IF(H46="",1,H46)+1,5),1))</f>
        <v/>
      </c>
      <c r="H46" s="14"/>
      <c r="I46" s="15"/>
      <c r="J46" s="16" cm="1" t="str">
        <f t="array" ref="J46">IF(OR(H46="",I46=""),"",IFERROR(I46+CHOOSE(H46,1,3,7,14,30),""))</f>
        <v/>
      </c>
      <c r="K46" s="9" cm="1" t="str">
        <f t="array" ref="K46">IF(H46="","NEW",IF(J46="","DUE",IF(J46&lt;=TODAY(),"DUE","in "&amp;(J46-TODAY())&amp;IF(J46-TODAY()=1," day"," days"))))</f>
        <v>NEW</v>
      </c>
    </row>
    <row r="47" spans="1:11" ht="35.5" customHeight="1">
      <c r="A47" s="11">
        <v>43</v>
      </c>
      <c r="B47" s="11" t="s">
        <v>265</v>
      </c>
      <c r="C47" s="8" t="s">
        <v>266</v>
      </c>
      <c r="D47" s="8" t="s">
        <v>277</v>
      </c>
      <c r="E47" s="12"/>
      <c r="F47" s="13" cm="1" t="str">
        <f t="array" ref="F47">IFERROR(_xlfn.LET(_xlpm.a,Deck!$E$47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$44:$E$44),"✔ CLEAR","✘ TRY AGAIN"))),"✘ TRY AGAIN")</f>
        <v/>
      </c>
      <c r="G47" s="9" cm="1" t="str">
        <f t="array" ref="G47">IF(F47="","",IF(LEFT(F47,1)="✔",MIN(IF(H47="",1,H47)+1,5),1))</f>
        <v/>
      </c>
      <c r="H47" s="14"/>
      <c r="I47" s="15"/>
      <c r="J47" s="16" cm="1" t="str">
        <f t="array" ref="J47">IF(OR(H47="",I47=""),"",IFERROR(I47+CHOOSE(H47,1,3,7,14,30),""))</f>
        <v/>
      </c>
      <c r="K47" s="9" cm="1" t="str">
        <f t="array" ref="K47">IF(H47="","NEW",IF(J47="","DUE",IF(J47&lt;=TODAY(),"DUE","in "&amp;(J47-TODAY())&amp;IF(J47-TODAY()=1," day"," days"))))</f>
        <v>NEW</v>
      </c>
    </row>
    <row r="48" spans="1:11" ht="35.5" customHeight="1">
      <c r="A48" s="11">
        <v>44</v>
      </c>
      <c r="B48" s="11" t="s">
        <v>265</v>
      </c>
      <c r="C48" s="8" t="s">
        <v>266</v>
      </c>
      <c r="D48" s="8" t="s">
        <v>281</v>
      </c>
      <c r="E48" s="12"/>
      <c r="F48" s="13" cm="1" t="str">
        <f t="array" ref="F48">IFERROR(_xlfn.LET(_xlpm.a,Deck!$E$48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$45:$E$45),"✔ CLEAR","✘ TRY AGAIN"))),"✘ TRY AGAIN")</f>
        <v/>
      </c>
      <c r="G48" s="9" cm="1" t="str">
        <f t="array" ref="G48">IF(F48="","",IF(LEFT(F48,1)="✔",MIN(IF(H48="",1,H48)+1,5),1))</f>
        <v/>
      </c>
      <c r="H48" s="14"/>
      <c r="I48" s="15"/>
      <c r="J48" s="16" cm="1" t="str">
        <f t="array" ref="J48">IF(OR(H48="",I48=""),"",IFERROR(I48+CHOOSE(H48,1,3,7,14,30),""))</f>
        <v/>
      </c>
      <c r="K48" s="9" cm="1" t="str">
        <f t="array" ref="K48">IF(H48="","NEW",IF(J48="","DUE",IF(J48&lt;=TODAY(),"DUE","in "&amp;(J48-TODAY())&amp;IF(J48-TODAY()=1," day"," days"))))</f>
        <v>NEW</v>
      </c>
    </row>
    <row r="49" spans="1:11" ht="19.75" customHeight="1">
      <c r="A49" s="11">
        <v>45</v>
      </c>
      <c r="B49" s="11" t="s">
        <v>265</v>
      </c>
      <c r="C49" s="8" t="s">
        <v>285</v>
      </c>
      <c r="D49" s="8" t="s">
        <v>286</v>
      </c>
      <c r="E49" s="12"/>
      <c r="F49" s="13" cm="1" t="str">
        <f t="array" ref="F49">IFERROR(_xlfn.LET(_xlpm.a,Deck!$E$49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$46:$E$46),"✔ CLEAR","✘ TRY AGAIN"))),"✘ TRY AGAIN")</f>
        <v/>
      </c>
      <c r="G49" s="9" cm="1" t="str">
        <f t="array" ref="G49">IF(F49="","",IF(LEFT(F49,1)="✔",MIN(IF(H49="",1,H49)+1,5),1))</f>
        <v/>
      </c>
      <c r="H49" s="14"/>
      <c r="I49" s="15"/>
      <c r="J49" s="16" cm="1" t="str">
        <f t="array" ref="J49">IF(OR(H49="",I49=""),"",IFERROR(I49+CHOOSE(H49,1,3,7,14,30),""))</f>
        <v/>
      </c>
      <c r="K49" s="9" cm="1" t="str">
        <f t="array" ref="K49">IF(H49="","NEW",IF(J49="","DUE",IF(J49&lt;=TODAY(),"DUE","in "&amp;(J49-TODAY())&amp;IF(J49-TODAY()=1," day"," days"))))</f>
        <v>NEW</v>
      </c>
    </row>
    <row r="50" spans="1:11" ht="19.75" customHeight="1">
      <c r="A50" s="11">
        <v>46</v>
      </c>
      <c r="B50" s="11" t="s">
        <v>265</v>
      </c>
      <c r="C50" s="8" t="s">
        <v>285</v>
      </c>
      <c r="D50" s="8" t="s">
        <v>290</v>
      </c>
      <c r="E50" s="12"/>
      <c r="F50" s="13" cm="1" t="str">
        <f t="array" ref="F50">IFERROR(_xlfn.LET(_xlpm.a,Deck!$E$50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$47:$E$47),"✔ CLEAR","✘ TRY AGAIN"))),"✘ TRY AGAIN")</f>
        <v/>
      </c>
      <c r="G50" s="9" cm="1" t="str">
        <f t="array" ref="G50">IF(F50="","",IF(LEFT(F50,1)="✔",MIN(IF(H50="",1,H50)+1,5),1))</f>
        <v/>
      </c>
      <c r="H50" s="14"/>
      <c r="I50" s="15"/>
      <c r="J50" s="16" cm="1" t="str">
        <f t="array" ref="J50">IF(OR(H50="",I50=""),"",IFERROR(I50+CHOOSE(H50,1,3,7,14,30),""))</f>
        <v/>
      </c>
      <c r="K50" s="9" cm="1" t="str">
        <f t="array" ref="K50">IF(H50="","NEW",IF(J50="","DUE",IF(J50&lt;=TODAY(),"DUE","in "&amp;(J50-TODAY())&amp;IF(J50-TODAY()=1," day"," days"))))</f>
        <v>NEW</v>
      </c>
    </row>
    <row r="51" spans="1:11" ht="19.75" customHeight="1">
      <c r="A51" s="11">
        <v>47</v>
      </c>
      <c r="B51" s="11" t="s">
        <v>265</v>
      </c>
      <c r="C51" s="8" t="s">
        <v>285</v>
      </c>
      <c r="D51" s="8" t="s">
        <v>294</v>
      </c>
      <c r="E51" s="12"/>
      <c r="F51" s="13" cm="1" t="str">
        <f t="array" ref="F51">IFERROR(_xlfn.LET(_xlpm.a,Deck!$E$51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$48:$E$48),"✔ CLEAR","✘ TRY AGAIN"))),"✘ TRY AGAIN")</f>
        <v/>
      </c>
      <c r="G51" s="9" cm="1" t="str">
        <f t="array" ref="G51">IF(F51="","",IF(LEFT(F51,1)="✔",MIN(IF(H51="",1,H51)+1,5),1))</f>
        <v/>
      </c>
      <c r="H51" s="14"/>
      <c r="I51" s="15"/>
      <c r="J51" s="16" cm="1" t="str">
        <f t="array" ref="J51">IF(OR(H51="",I51=""),"",IFERROR(I51+CHOOSE(H51,1,3,7,14,30),""))</f>
        <v/>
      </c>
      <c r="K51" s="9" cm="1" t="str">
        <f t="array" ref="K51">IF(H51="","NEW",IF(J51="","DUE",IF(J51&lt;=TODAY(),"DUE","in "&amp;(J51-TODAY())&amp;IF(J51-TODAY()=1," day"," days"))))</f>
        <v>NEW</v>
      </c>
    </row>
    <row r="52" spans="1:11" ht="19.75" customHeight="1">
      <c r="A52" s="11">
        <v>48</v>
      </c>
      <c r="B52" s="11" t="s">
        <v>265</v>
      </c>
      <c r="C52" s="8" t="s">
        <v>285</v>
      </c>
      <c r="D52" s="8" t="s">
        <v>299</v>
      </c>
      <c r="E52" s="12"/>
      <c r="F52" s="13" cm="1" t="str">
        <f t="array" ref="F52">IFERROR(_xlfn.LET(_xlpm.a,Deck!$E$52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$49:$F$49),"✔ CLEAR","✘ TRY AGAIN"))),"✘ TRY AGAIN")</f>
        <v/>
      </c>
      <c r="G52" s="9" cm="1" t="str">
        <f t="array" ref="G52">IF(F52="","",IF(LEFT(F52,1)="✔",MIN(IF(H52="",1,H52)+1,5),1))</f>
        <v/>
      </c>
      <c r="H52" s="14"/>
      <c r="I52" s="15"/>
      <c r="J52" s="16" cm="1" t="str">
        <f t="array" ref="J52">IF(OR(H52="",I52=""),"",IFERROR(I52+CHOOSE(H52,1,3,7,14,30),""))</f>
        <v/>
      </c>
      <c r="K52" s="9" cm="1" t="str">
        <f t="array" ref="K52">IF(H52="","NEW",IF(J52="","DUE",IF(J52&lt;=TODAY(),"DUE","in "&amp;(J52-TODAY())&amp;IF(J52-TODAY()=1," day"," days"))))</f>
        <v>NEW</v>
      </c>
    </row>
    <row r="53" spans="1:11" ht="35.5" customHeight="1">
      <c r="A53" s="11">
        <v>49</v>
      </c>
      <c r="B53" s="11" t="s">
        <v>265</v>
      </c>
      <c r="C53" s="8" t="s">
        <v>285</v>
      </c>
      <c r="D53" s="8" t="s">
        <v>303</v>
      </c>
      <c r="E53" s="12"/>
      <c r="F53" s="13" cm="1" t="str">
        <f t="array" ref="F53">IFERROR(_xlfn.LET(_xlpm.a,Deck!$E$53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$50:$E$50),"✔ CLEAR","✘ TRY AGAIN"))),"✘ TRY AGAIN")</f>
        <v/>
      </c>
      <c r="G53" s="9" cm="1" t="str">
        <f t="array" ref="G53">IF(F53="","",IF(LEFT(F53,1)="✔",MIN(IF(H53="",1,H53)+1,5),1))</f>
        <v/>
      </c>
      <c r="H53" s="14"/>
      <c r="I53" s="15"/>
      <c r="J53" s="16" cm="1" t="str">
        <f t="array" ref="J53">IF(OR(H53="",I53=""),"",IFERROR(I53+CHOOSE(H53,1,3,7,14,30),""))</f>
        <v/>
      </c>
      <c r="K53" s="9" cm="1" t="str">
        <f t="array" ref="K53">IF(H53="","NEW",IF(J53="","DUE",IF(J53&lt;=TODAY(),"DUE","in "&amp;(J53-TODAY())&amp;IF(J53-TODAY()=1," day"," days"))))</f>
        <v>NEW</v>
      </c>
    </row>
    <row r="54" spans="1:11" ht="19.75" customHeight="1">
      <c r="A54" s="11">
        <v>50</v>
      </c>
      <c r="B54" s="11" t="s">
        <v>265</v>
      </c>
      <c r="C54" s="8" t="s">
        <v>285</v>
      </c>
      <c r="D54" s="8" t="s">
        <v>307</v>
      </c>
      <c r="E54" s="12"/>
      <c r="F54" s="13" cm="1" t="str">
        <f t="array" ref="F54">IFERROR(_xlfn.LET(_xlpm.a,Deck!$E$54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$51:$E$51),"✔ CLEAR","✘ TRY AGAIN"))),"✘ TRY AGAIN")</f>
        <v/>
      </c>
      <c r="G54" s="9" cm="1" t="str">
        <f t="array" ref="G54">IF(F54="","",IF(LEFT(F54,1)="✔",MIN(IF(H54="",1,H54)+1,5),1))</f>
        <v/>
      </c>
      <c r="H54" s="14"/>
      <c r="I54" s="15"/>
      <c r="J54" s="16" cm="1" t="str">
        <f t="array" ref="J54">IF(OR(H54="",I54=""),"",IFERROR(I54+CHOOSE(H54,1,3,7,14,30),""))</f>
        <v/>
      </c>
      <c r="K54" s="9" cm="1" t="str">
        <f t="array" ref="K54">IF(H54="","NEW",IF(J54="","DUE",IF(J54&lt;=TODAY(),"DUE","in "&amp;(J54-TODAY())&amp;IF(J54-TODAY()=1," day"," days"))))</f>
        <v>NEW</v>
      </c>
    </row>
    <row r="55" spans="1:11" ht="19.75" customHeight="1">
      <c r="A55" s="11">
        <v>51</v>
      </c>
      <c r="B55" s="11" t="s">
        <v>265</v>
      </c>
      <c r="C55" s="8" t="s">
        <v>285</v>
      </c>
      <c r="D55" s="8" t="s">
        <v>311</v>
      </c>
      <c r="E55" s="12"/>
      <c r="F55" s="13" cm="1" t="str">
        <f t="array" ref="F55">IFERROR(_xlfn.LET(_xlpm.a,Deck!$E$55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$52:$E$52),"✔ CLEAR","✘ TRY AGAIN"))),"✘ TRY AGAIN")</f>
        <v/>
      </c>
      <c r="G55" s="9" cm="1" t="str">
        <f t="array" ref="G55">IF(F55="","",IF(LEFT(F55,1)="✔",MIN(IF(H55="",1,H55)+1,5),1))</f>
        <v/>
      </c>
      <c r="H55" s="14"/>
      <c r="I55" s="15"/>
      <c r="J55" s="16" cm="1" t="str">
        <f t="array" ref="J55">IF(OR(H55="",I55=""),"",IFERROR(I55+CHOOSE(H55,1,3,7,14,30),""))</f>
        <v/>
      </c>
      <c r="K55" s="9" cm="1" t="str">
        <f t="array" ref="K55">IF(H55="","NEW",IF(J55="","DUE",IF(J55&lt;=TODAY(),"DUE","in "&amp;(J55-TODAY())&amp;IF(J55-TODAY()=1," day"," days"))))</f>
        <v>NEW</v>
      </c>
    </row>
    <row r="56" spans="1:11" ht="35.5" customHeight="1">
      <c r="A56" s="11">
        <v>52</v>
      </c>
      <c r="B56" s="11" t="s">
        <v>265</v>
      </c>
      <c r="C56" s="8" t="s">
        <v>316</v>
      </c>
      <c r="D56" s="8" t="s">
        <v>317</v>
      </c>
      <c r="E56" s="12"/>
      <c r="F56" s="13" cm="1" t="str">
        <f t="array" ref="F56">IFERROR(_xlfn.LET(_xlpm.a,Deck!$E$56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$53:$F$53),"✔ CLEAR","✘ TRY AGAIN"))),"✘ TRY AGAIN")</f>
        <v/>
      </c>
      <c r="G56" s="9" cm="1" t="str">
        <f t="array" ref="G56">IF(F56="","",IF(LEFT(F56,1)="✔",MIN(IF(H56="",1,H56)+1,5),1))</f>
        <v/>
      </c>
      <c r="H56" s="14"/>
      <c r="I56" s="15"/>
      <c r="J56" s="16" cm="1" t="str">
        <f t="array" ref="J56">IF(OR(H56="",I56=""),"",IFERROR(I56+CHOOSE(H56,1,3,7,14,30),""))</f>
        <v/>
      </c>
      <c r="K56" s="9" cm="1" t="str">
        <f t="array" ref="K56">IF(H56="","NEW",IF(J56="","DUE",IF(J56&lt;=TODAY(),"DUE","in "&amp;(J56-TODAY())&amp;IF(J56-TODAY()=1," day"," days"))))</f>
        <v>NEW</v>
      </c>
    </row>
    <row r="57" spans="1:11" ht="35.5" customHeight="1">
      <c r="A57" s="11">
        <v>53</v>
      </c>
      <c r="B57" s="11" t="s">
        <v>265</v>
      </c>
      <c r="C57" s="8" t="s">
        <v>316</v>
      </c>
      <c r="D57" s="8" t="s">
        <v>327</v>
      </c>
      <c r="E57" s="12"/>
      <c r="F57" s="13" cm="1" t="str">
        <f t="array" ref="F57">IFERROR(_xlfn.LET(_xlpm.a,Deck!$E$57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$54:$K$54),"✔ CLEAR","✘ TRY AGAIN"))),"✘ TRY AGAIN")</f>
        <v/>
      </c>
      <c r="G57" s="9" cm="1" t="str">
        <f t="array" ref="G57">IF(F57="","",IF(LEFT(F57,1)="✔",MIN(IF(H57="",1,H57)+1,5),1))</f>
        <v/>
      </c>
      <c r="H57" s="14"/>
      <c r="I57" s="15"/>
      <c r="J57" s="16" cm="1" t="str">
        <f t="array" ref="J57">IF(OR(H57="",I57=""),"",IFERROR(I57+CHOOSE(H57,1,3,7,14,30),""))</f>
        <v/>
      </c>
      <c r="K57" s="9" cm="1" t="str">
        <f t="array" ref="K57">IF(H57="","NEW",IF(J57="","DUE",IF(J57&lt;=TODAY(),"DUE","in "&amp;(J57-TODAY())&amp;IF(J57-TODAY()=1," day"," days"))))</f>
        <v>NEW</v>
      </c>
    </row>
    <row r="58" spans="1:11" ht="35.5" customHeight="1">
      <c r="A58" s="11">
        <v>54</v>
      </c>
      <c r="B58" s="11" t="s">
        <v>265</v>
      </c>
      <c r="C58" s="8" t="s">
        <v>316</v>
      </c>
      <c r="D58" s="8" t="s">
        <v>331</v>
      </c>
      <c r="E58" s="12"/>
      <c r="F58" s="13" cm="1" t="str">
        <f t="array" ref="F58">IFERROR(_xlfn.LET(_xlpm.a,Deck!$E$58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$55:$E$55),"✔ CLEAR","✘ TRY AGAIN"))),"✘ TRY AGAIN")</f>
        <v/>
      </c>
      <c r="G58" s="9" cm="1" t="str">
        <f t="array" ref="G58">IF(F58="","",IF(LEFT(F58,1)="✔",MIN(IF(H58="",1,H58)+1,5),1))</f>
        <v/>
      </c>
      <c r="H58" s="14"/>
      <c r="I58" s="15"/>
      <c r="J58" s="16" cm="1" t="str">
        <f t="array" ref="J58">IF(OR(H58="",I58=""),"",IFERROR(I58+CHOOSE(H58,1,3,7,14,30),""))</f>
        <v/>
      </c>
      <c r="K58" s="9" cm="1" t="str">
        <f t="array" ref="K58">IF(H58="","NEW",IF(J58="","DUE",IF(J58&lt;=TODAY(),"DUE","in "&amp;(J58-TODAY())&amp;IF(J58-TODAY()=1," day"," days"))))</f>
        <v>NEW</v>
      </c>
    </row>
    <row r="59" spans="1:11" ht="35.5" customHeight="1">
      <c r="A59" s="11">
        <v>55</v>
      </c>
      <c r="B59" s="11" t="s">
        <v>265</v>
      </c>
      <c r="C59" s="8" t="s">
        <v>316</v>
      </c>
      <c r="D59" s="8" t="s">
        <v>335</v>
      </c>
      <c r="E59" s="12"/>
      <c r="F59" s="13" cm="1" t="str">
        <f t="array" ref="F59">IFERROR(_xlfn.LET(_xlpm.a,Deck!$E$59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$56:$E$56),"✔ CLEAR","✘ TRY AGAIN"))),"✘ TRY AGAIN")</f>
        <v/>
      </c>
      <c r="G59" s="9" cm="1" t="str">
        <f t="array" ref="G59">IF(F59="","",IF(LEFT(F59,1)="✔",MIN(IF(H59="",1,H59)+1,5),1))</f>
        <v/>
      </c>
      <c r="H59" s="14"/>
      <c r="I59" s="15"/>
      <c r="J59" s="16" cm="1" t="str">
        <f t="array" ref="J59">IF(OR(H59="",I59=""),"",IFERROR(I59+CHOOSE(H59,1,3,7,14,30),""))</f>
        <v/>
      </c>
      <c r="K59" s="9" cm="1" t="str">
        <f t="array" ref="K59">IF(H59="","NEW",IF(J59="","DUE",IF(J59&lt;=TODAY(),"DUE","in "&amp;(J59-TODAY())&amp;IF(J59-TODAY()=1," day"," days"))))</f>
        <v>NEW</v>
      </c>
    </row>
    <row r="60" spans="1:11" ht="35.5" customHeight="1">
      <c r="A60" s="11">
        <v>56</v>
      </c>
      <c r="B60" s="11" t="s">
        <v>247</v>
      </c>
      <c r="C60" s="8" t="s">
        <v>339</v>
      </c>
      <c r="D60" s="8" t="s">
        <v>340</v>
      </c>
      <c r="E60" s="12"/>
      <c r="F60" s="13" cm="1" t="str">
        <f t="array" ref="F60">IFERROR(_xlfn.LET(_xlpm.a,Deck!$E$60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$57:$E$57),"✔ CLEAR","✘ TRY AGAIN"))),"✘ TRY AGAIN")</f>
        <v/>
      </c>
      <c r="G60" s="9" cm="1" t="str">
        <f t="array" ref="G60">IF(F60="","",IF(LEFT(F60,1)="✔",MIN(IF(H60="",1,H60)+1,5),1))</f>
        <v/>
      </c>
      <c r="H60" s="14"/>
      <c r="I60" s="15"/>
      <c r="J60" s="16" cm="1" t="str">
        <f t="array" ref="J60">IF(OR(H60="",I60=""),"",IFERROR(I60+CHOOSE(H60,1,3,7,14,30),""))</f>
        <v/>
      </c>
      <c r="K60" s="9" cm="1" t="str">
        <f t="array" ref="K60">IF(H60="","NEW",IF(J60="","DUE",IF(J60&lt;=TODAY(),"DUE","in "&amp;(J60-TODAY())&amp;IF(J60-TODAY()=1," day"," days"))))</f>
        <v>NEW</v>
      </c>
    </row>
    <row r="61" spans="1:11" ht="19.75" customHeight="1">
      <c r="A61" s="11">
        <v>57</v>
      </c>
      <c r="B61" s="11" t="s">
        <v>247</v>
      </c>
      <c r="C61" s="8" t="s">
        <v>339</v>
      </c>
      <c r="D61" s="8" t="s">
        <v>344</v>
      </c>
      <c r="E61" s="12"/>
      <c r="F61" s="13" cm="1" t="str">
        <f t="array" ref="F61">IFERROR(_xlfn.LET(_xlpm.a,Deck!$E$61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$58:$E$58),"✔ CLEAR","✘ TRY AGAIN"))),"✘ TRY AGAIN")</f>
        <v/>
      </c>
      <c r="G61" s="9" cm="1" t="str">
        <f t="array" ref="G61">IF(F61="","",IF(LEFT(F61,1)="✔",MIN(IF(H61="",1,H61)+1,5),1))</f>
        <v/>
      </c>
      <c r="H61" s="14"/>
      <c r="I61" s="15"/>
      <c r="J61" s="16" cm="1" t="str">
        <f t="array" ref="J61">IF(OR(H61="",I61=""),"",IFERROR(I61+CHOOSE(H61,1,3,7,14,30),""))</f>
        <v/>
      </c>
      <c r="K61" s="9" cm="1" t="str">
        <f t="array" ref="K61">IF(H61="","NEW",IF(J61="","DUE",IF(J61&lt;=TODAY(),"DUE","in "&amp;(J61-TODAY())&amp;IF(J61-TODAY()=1," day"," days"))))</f>
        <v>NEW</v>
      </c>
    </row>
    <row r="62" spans="1:11" ht="19.75" customHeight="1">
      <c r="A62" s="11">
        <v>58</v>
      </c>
      <c r="B62" s="11" t="s">
        <v>247</v>
      </c>
      <c r="C62" s="8" t="s">
        <v>339</v>
      </c>
      <c r="D62" s="8" t="s">
        <v>351</v>
      </c>
      <c r="E62" s="12"/>
      <c r="F62" s="13" cm="1" t="str">
        <f t="array" ref="F62">IFERROR(_xlfn.LET(_xlpm.a,Deck!$E$62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$59:$H$59),"✔ CLEAR","✘ TRY AGAIN"))),"✘ TRY AGAIN")</f>
        <v/>
      </c>
      <c r="G62" s="9" cm="1" t="str">
        <f t="array" ref="G62">IF(F62="","",IF(LEFT(F62,1)="✔",MIN(IF(H62="",1,H62)+1,5),1))</f>
        <v/>
      </c>
      <c r="H62" s="14"/>
      <c r="I62" s="15"/>
      <c r="J62" s="16" cm="1" t="str">
        <f t="array" ref="J62">IF(OR(H62="",I62=""),"",IFERROR(I62+CHOOSE(H62,1,3,7,14,30),""))</f>
        <v/>
      </c>
      <c r="K62" s="9" cm="1" t="str">
        <f t="array" ref="K62">IF(H62="","NEW",IF(J62="","DUE",IF(J62&lt;=TODAY(),"DUE","in "&amp;(J62-TODAY())&amp;IF(J62-TODAY()=1," day"," days"))))</f>
        <v>NEW</v>
      </c>
    </row>
    <row r="63" spans="1:11" ht="35.5" customHeight="1">
      <c r="A63" s="11">
        <v>59</v>
      </c>
      <c r="B63" s="11" t="s">
        <v>247</v>
      </c>
      <c r="C63" s="8" t="s">
        <v>360</v>
      </c>
      <c r="D63" s="8" t="s">
        <v>361</v>
      </c>
      <c r="E63" s="12"/>
      <c r="F63" s="13" cm="1" t="str">
        <f t="array" ref="F63">IFERROR(_xlfn.LET(_xlpm.a,Deck!$E$63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$60:$J$60),"✔ CLEAR","✘ TRY AGAIN"))),"✘ TRY AGAIN")</f>
        <v/>
      </c>
      <c r="G63" s="9" cm="1" t="str">
        <f t="array" ref="G63">IF(F63="","",IF(LEFT(F63,1)="✔",MIN(IF(H63="",1,H63)+1,5),1))</f>
        <v/>
      </c>
      <c r="H63" s="14"/>
      <c r="I63" s="15"/>
      <c r="J63" s="16" cm="1" t="str">
        <f t="array" ref="J63">IF(OR(H63="",I63=""),"",IFERROR(I63+CHOOSE(H63,1,3,7,14,30),""))</f>
        <v/>
      </c>
      <c r="K63" s="9" cm="1" t="str">
        <f t="array" ref="K63">IF(H63="","NEW",IF(J63="","DUE",IF(J63&lt;=TODAY(),"DUE","in "&amp;(J63-TODAY())&amp;IF(J63-TODAY()=1," day"," days"))))</f>
        <v>NEW</v>
      </c>
    </row>
    <row r="64" spans="1:11" ht="35.5" customHeight="1">
      <c r="A64" s="11">
        <v>60</v>
      </c>
      <c r="B64" s="11" t="s">
        <v>247</v>
      </c>
      <c r="C64" s="8" t="s">
        <v>360</v>
      </c>
      <c r="D64" s="8" t="s">
        <v>365</v>
      </c>
      <c r="E64" s="12"/>
      <c r="F64" s="13" cm="1" t="str">
        <f t="array" ref="F64">IFERROR(_xlfn.LET(_xlpm.a,Deck!$E$64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$61:$E$61),"✔ CLEAR","✘ TRY AGAIN"))),"✘ TRY AGAIN")</f>
        <v/>
      </c>
      <c r="G64" s="9" cm="1" t="str">
        <f t="array" ref="G64">IF(F64="","",IF(LEFT(F64,1)="✔",MIN(IF(H64="",1,H64)+1,5),1))</f>
        <v/>
      </c>
      <c r="H64" s="14"/>
      <c r="I64" s="15"/>
      <c r="J64" s="16" cm="1" t="str">
        <f t="array" ref="J64">IF(OR(H64="",I64=""),"",IFERROR(I64+CHOOSE(H64,1,3,7,14,30),""))</f>
        <v/>
      </c>
      <c r="K64" s="9" cm="1" t="str">
        <f t="array" ref="K64">IF(H64="","NEW",IF(J64="","DUE",IF(J64&lt;=TODAY(),"DUE","in "&amp;(J64-TODAY())&amp;IF(J64-TODAY()=1," day"," days"))))</f>
        <v>NEW</v>
      </c>
    </row>
    <row r="65" spans="1:11" ht="35.5" customHeight="1">
      <c r="A65" s="11">
        <v>61</v>
      </c>
      <c r="B65" s="11" t="s">
        <v>247</v>
      </c>
      <c r="C65" s="8" t="s">
        <v>360</v>
      </c>
      <c r="D65" s="8" t="s">
        <v>369</v>
      </c>
      <c r="E65" s="12"/>
      <c r="F65" s="13" cm="1" t="str">
        <f t="array" ref="F65">IFERROR(_xlfn.LET(_xlpm.a,Deck!$E$65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$62:$E$62),"✔ CLEAR","✘ TRY AGAIN"))),"✘ TRY AGAIN")</f>
        <v/>
      </c>
      <c r="G65" s="9" cm="1" t="str">
        <f t="array" ref="G65">IF(F65="","",IF(LEFT(F65,1)="✔",MIN(IF(H65="",1,H65)+1,5),1))</f>
        <v/>
      </c>
      <c r="H65" s="14"/>
      <c r="I65" s="15"/>
      <c r="J65" s="16" cm="1" t="str">
        <f t="array" ref="J65">IF(OR(H65="",I65=""),"",IFERROR(I65+CHOOSE(H65,1,3,7,14,30),""))</f>
        <v/>
      </c>
      <c r="K65" s="9" cm="1" t="str">
        <f t="array" ref="K65">IF(H65="","NEW",IF(J65="","DUE",IF(J65&lt;=TODAY(),"DUE","in "&amp;(J65-TODAY())&amp;IF(J65-TODAY()=1," day"," days"))))</f>
        <v>NEW</v>
      </c>
    </row>
    <row r="66" spans="1:11" ht="35.5" customHeight="1">
      <c r="A66" s="11">
        <v>62</v>
      </c>
      <c r="B66" s="11" t="s">
        <v>247</v>
      </c>
      <c r="C66" s="8" t="s">
        <v>378</v>
      </c>
      <c r="D66" s="8" t="s">
        <v>379</v>
      </c>
      <c r="E66" s="12"/>
      <c r="F66" s="13" cm="1" t="str">
        <f t="array" ref="F66">IFERROR(_xlfn.LET(_xlpm.a,Deck!$E$66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$63:$J$63),"✔ CLEAR","✘ TRY AGAIN"))),"✘ TRY AGAIN")</f>
        <v/>
      </c>
      <c r="G66" s="9" cm="1" t="str">
        <f t="array" ref="G66">IF(F66="","",IF(LEFT(F66,1)="✔",MIN(IF(H66="",1,H66)+1,5),1))</f>
        <v/>
      </c>
      <c r="H66" s="14"/>
      <c r="I66" s="15"/>
      <c r="J66" s="16" cm="1" t="str">
        <f t="array" ref="J66">IF(OR(H66="",I66=""),"",IFERROR(I66+CHOOSE(H66,1,3,7,14,30),""))</f>
        <v/>
      </c>
      <c r="K66" s="9" cm="1" t="str">
        <f t="array" ref="K66">IF(H66="","NEW",IF(J66="","DUE",IF(J66&lt;=TODAY(),"DUE","in "&amp;(J66-TODAY())&amp;IF(J66-TODAY()=1," day"," days"))))</f>
        <v>NEW</v>
      </c>
    </row>
    <row r="67" spans="1:11" ht="35.5" customHeight="1">
      <c r="A67" s="11">
        <v>63</v>
      </c>
      <c r="B67" s="11" t="s">
        <v>247</v>
      </c>
      <c r="C67" s="8" t="s">
        <v>378</v>
      </c>
      <c r="D67" s="8" t="s">
        <v>388</v>
      </c>
      <c r="E67" s="12"/>
      <c r="F67" s="13" cm="1" t="str">
        <f t="array" ref="F67">IFERROR(_xlfn.LET(_xlpm.a,Deck!$E$67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$64:$J$64),"✔ CLEAR","✘ TRY AGAIN"))),"✘ TRY AGAIN")</f>
        <v/>
      </c>
      <c r="G67" s="9" cm="1" t="str">
        <f t="array" ref="G67">IF(F67="","",IF(LEFT(F67,1)="✔",MIN(IF(H67="",1,H67)+1,5),1))</f>
        <v/>
      </c>
      <c r="H67" s="14"/>
      <c r="I67" s="15"/>
      <c r="J67" s="16" cm="1" t="str">
        <f t="array" ref="J67">IF(OR(H67="",I67=""),"",IFERROR(I67+CHOOSE(H67,1,3,7,14,30),""))</f>
        <v/>
      </c>
      <c r="K67" s="9" cm="1" t="str">
        <f t="array" ref="K67">IF(H67="","NEW",IF(J67="","DUE",IF(J67&lt;=TODAY(),"DUE","in "&amp;(J67-TODAY())&amp;IF(J67-TODAY()=1," day"," days"))))</f>
        <v>NEW</v>
      </c>
    </row>
    <row r="68" spans="1:11" ht="19.75" customHeight="1">
      <c r="A68" s="11">
        <v>64</v>
      </c>
      <c r="B68" s="11" t="s">
        <v>247</v>
      </c>
      <c r="C68" s="8" t="s">
        <v>378</v>
      </c>
      <c r="D68" s="8" t="s">
        <v>397</v>
      </c>
      <c r="E68" s="12"/>
      <c r="F68" s="13" cm="1" t="str">
        <f t="array" ref="F68">IFERROR(_xlfn.LET(_xlpm.a,Deck!$E$68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$65:$J$65),"✔ CLEAR","✘ TRY AGAIN"))),"✘ TRY AGAIN")</f>
        <v/>
      </c>
      <c r="G68" s="9" cm="1" t="str">
        <f t="array" ref="G68">IF(F68="","",IF(LEFT(F68,1)="✔",MIN(IF(H68="",1,H68)+1,5),1))</f>
        <v/>
      </c>
      <c r="H68" s="14"/>
      <c r="I68" s="15"/>
      <c r="J68" s="16" cm="1" t="str">
        <f t="array" ref="J68">IF(OR(H68="",I68=""),"",IFERROR(I68+CHOOSE(H68,1,3,7,14,30),""))</f>
        <v/>
      </c>
      <c r="K68" s="9" cm="1" t="str">
        <f t="array" ref="K68">IF(H68="","NEW",IF(J68="","DUE",IF(J68&lt;=TODAY(),"DUE","in "&amp;(J68-TODAY())&amp;IF(J68-TODAY()=1," day"," days"))))</f>
        <v>NEW</v>
      </c>
    </row>
    <row r="69" spans="1:11" ht="35.5" customHeight="1">
      <c r="A69" s="11">
        <v>65</v>
      </c>
      <c r="B69" s="11" t="s">
        <v>247</v>
      </c>
      <c r="C69" s="8" t="s">
        <v>402</v>
      </c>
      <c r="D69" s="8" t="s">
        <v>403</v>
      </c>
      <c r="E69" s="12"/>
      <c r="F69" s="13" cm="1" t="str">
        <f t="array" ref="F69">IFERROR(_xlfn.LET(_xlpm.a,Deck!$E$69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$66:$F$66),"✔ CLEAR","✘ TRY AGAIN"))),"✘ TRY AGAIN")</f>
        <v/>
      </c>
      <c r="G69" s="9" cm="1" t="str">
        <f t="array" ref="G69">IF(F69="","",IF(LEFT(F69,1)="✔",MIN(IF(H69="",1,H69)+1,5),1))</f>
        <v/>
      </c>
      <c r="H69" s="14"/>
      <c r="I69" s="15"/>
      <c r="J69" s="16" cm="1" t="str">
        <f t="array" ref="J69">IF(OR(H69="",I69=""),"",IFERROR(I69+CHOOSE(H69,1,3,7,14,30),""))</f>
        <v/>
      </c>
      <c r="K69" s="9" cm="1" t="str">
        <f t="array" ref="K69">IF(H69="","NEW",IF(J69="","DUE",IF(J69&lt;=TODAY(),"DUE","in "&amp;(J69-TODAY())&amp;IF(J69-TODAY()=1," day"," days"))))</f>
        <v>NEW</v>
      </c>
    </row>
    <row r="70" spans="1:11" ht="35.5" customHeight="1">
      <c r="A70" s="11">
        <v>66</v>
      </c>
      <c r="B70" s="11" t="s">
        <v>247</v>
      </c>
      <c r="C70" s="8" t="s">
        <v>402</v>
      </c>
      <c r="D70" s="8" t="s">
        <v>412</v>
      </c>
      <c r="E70" s="12"/>
      <c r="F70" s="13" cm="1" t="str">
        <f t="array" ref="F70">IFERROR(_xlfn.LET(_xlpm.a,Deck!$E$70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$67:$J$67),"✔ CLEAR","✘ TRY AGAIN"))),"✘ TRY AGAIN")</f>
        <v/>
      </c>
      <c r="G70" s="9" cm="1" t="str">
        <f t="array" ref="G70">IF(F70="","",IF(LEFT(F70,1)="✔",MIN(IF(H70="",1,H70)+1,5),1))</f>
        <v/>
      </c>
      <c r="H70" s="14"/>
      <c r="I70" s="15"/>
      <c r="J70" s="16" cm="1" t="str">
        <f t="array" ref="J70">IF(OR(H70="",I70=""),"",IFERROR(I70+CHOOSE(H70,1,3,7,14,30),""))</f>
        <v/>
      </c>
      <c r="K70" s="9" cm="1" t="str">
        <f t="array" ref="K70">IF(H70="","NEW",IF(J70="","DUE",IF(J70&lt;=TODAY(),"DUE","in "&amp;(J70-TODAY())&amp;IF(J70-TODAY()=1," day"," days"))))</f>
        <v>NEW</v>
      </c>
    </row>
    <row r="71" spans="1:11" ht="35.5" customHeight="1">
      <c r="A71" s="11">
        <v>67</v>
      </c>
      <c r="B71" s="11" t="s">
        <v>247</v>
      </c>
      <c r="C71" s="8" t="s">
        <v>402</v>
      </c>
      <c r="D71" s="8" t="s">
        <v>416</v>
      </c>
      <c r="E71" s="12"/>
      <c r="F71" s="13" cm="1" t="str">
        <f t="array" ref="F71">IFERROR(_xlfn.LET(_xlpm.a,Deck!$E$71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$68:$E$68),"✔ CLEAR","✘ TRY AGAIN"))),"✘ TRY AGAIN")</f>
        <v/>
      </c>
      <c r="G71" s="9" cm="1" t="str">
        <f t="array" ref="G71">IF(F71="","",IF(LEFT(F71,1)="✔",MIN(IF(H71="",1,H71)+1,5),1))</f>
        <v/>
      </c>
      <c r="H71" s="14"/>
      <c r="I71" s="15"/>
      <c r="J71" s="16" cm="1" t="str">
        <f t="array" ref="J71">IF(OR(H71="",I71=""),"",IFERROR(I71+CHOOSE(H71,1,3,7,14,30),""))</f>
        <v/>
      </c>
      <c r="K71" s="9" cm="1" t="str">
        <f t="array" ref="K71">IF(H71="","NEW",IF(J71="","DUE",IF(J71&lt;=TODAY(),"DUE","in "&amp;(J71-TODAY())&amp;IF(J71-TODAY()=1," day"," days"))))</f>
        <v>NEW</v>
      </c>
    </row>
    <row r="72" spans="1:11" ht="35.5" customHeight="1">
      <c r="A72" s="11">
        <v>68</v>
      </c>
      <c r="B72" s="11" t="s">
        <v>247</v>
      </c>
      <c r="C72" s="8" t="s">
        <v>425</v>
      </c>
      <c r="D72" s="8" t="s">
        <v>426</v>
      </c>
      <c r="E72" s="12"/>
      <c r="F72" s="13" cm="1" t="str">
        <f t="array" ref="F72">IFERROR(_xlfn.LET(_xlpm.a,Deck!$E$72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$69:$J$69),"✔ CLEAR","✘ TRY AGAIN"))),"✘ TRY AGAIN")</f>
        <v/>
      </c>
      <c r="G72" s="9" cm="1" t="str">
        <f t="array" ref="G72">IF(F72="","",IF(LEFT(F72,1)="✔",MIN(IF(H72="",1,H72)+1,5),1))</f>
        <v/>
      </c>
      <c r="H72" s="14"/>
      <c r="I72" s="15"/>
      <c r="J72" s="16" cm="1" t="str">
        <f t="array" ref="J72">IF(OR(H72="",I72=""),"",IFERROR(I72+CHOOSE(H72,1,3,7,14,30),""))</f>
        <v/>
      </c>
      <c r="K72" s="9" cm="1" t="str">
        <f t="array" ref="K72">IF(H72="","NEW",IF(J72="","DUE",IF(J72&lt;=TODAY(),"DUE","in "&amp;(J72-TODAY())&amp;IF(J72-TODAY()=1," day"," days"))))</f>
        <v>NEW</v>
      </c>
    </row>
    <row r="73" spans="1:11" ht="35.5" customHeight="1">
      <c r="A73" s="11">
        <v>69</v>
      </c>
      <c r="B73" s="11" t="s">
        <v>247</v>
      </c>
      <c r="C73" s="8" t="s">
        <v>425</v>
      </c>
      <c r="D73" s="8" t="s">
        <v>435</v>
      </c>
      <c r="E73" s="12"/>
      <c r="F73" s="13" cm="1" t="str">
        <f t="array" ref="F73">IFERROR(_xlfn.LET(_xlpm.a,Deck!$E$73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$70:$J$70),"✔ CLEAR","✘ TRY AGAIN"))),"✘ TRY AGAIN")</f>
        <v/>
      </c>
      <c r="G73" s="9" cm="1" t="str">
        <f t="array" ref="G73">IF(F73="","",IF(LEFT(F73,1)="✔",MIN(IF(H73="",1,H73)+1,5),1))</f>
        <v/>
      </c>
      <c r="H73" s="14"/>
      <c r="I73" s="15"/>
      <c r="J73" s="16" cm="1" t="str">
        <f t="array" ref="J73">IF(OR(H73="",I73=""),"",IFERROR(I73+CHOOSE(H73,1,3,7,14,30),""))</f>
        <v/>
      </c>
      <c r="K73" s="9" cm="1" t="str">
        <f t="array" ref="K73">IF(H73="","NEW",IF(J73="","DUE",IF(J73&lt;=TODAY(),"DUE","in "&amp;(J73-TODAY())&amp;IF(J73-TODAY()=1," day"," days"))))</f>
        <v>NEW</v>
      </c>
    </row>
    <row r="74" spans="1:11" ht="35.5" customHeight="1">
      <c r="A74" s="11">
        <v>70</v>
      </c>
      <c r="B74" s="11" t="s">
        <v>247</v>
      </c>
      <c r="C74" s="8" t="s">
        <v>425</v>
      </c>
      <c r="D74" s="8" t="s">
        <v>444</v>
      </c>
      <c r="E74" s="12"/>
      <c r="F74" s="13" cm="1" t="str">
        <f t="array" ref="F74">IFERROR(_xlfn.LET(_xlpm.a,Deck!$E$74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$71:$J$71),"✔ CLEAR","✘ TRY AGAIN"))),"✘ TRY AGAIN")</f>
        <v/>
      </c>
      <c r="G74" s="9" cm="1" t="str">
        <f t="array" ref="G74">IF(F74="","",IF(LEFT(F74,1)="✔",MIN(IF(H74="",1,H74)+1,5),1))</f>
        <v/>
      </c>
      <c r="H74" s="14"/>
      <c r="I74" s="15"/>
      <c r="J74" s="16" cm="1" t="str">
        <f t="array" ref="J74">IF(OR(H74="",I74=""),"",IFERROR(I74+CHOOSE(H74,1,3,7,14,30),""))</f>
        <v/>
      </c>
      <c r="K74" s="9" cm="1" t="str">
        <f t="array" ref="K74">IF(H74="","NEW",IF(J74="","DUE",IF(J74&lt;=TODAY(),"DUE","in "&amp;(J74-TODAY())&amp;IF(J74-TODAY()=1," day"," days"))))</f>
        <v>NEW</v>
      </c>
    </row>
    <row r="75" spans="1:11" ht="35.5" customHeight="1">
      <c r="A75" s="11">
        <v>71</v>
      </c>
      <c r="B75" s="11" t="s">
        <v>247</v>
      </c>
      <c r="C75" s="8" t="s">
        <v>425</v>
      </c>
      <c r="D75" s="8" t="s">
        <v>453</v>
      </c>
      <c r="E75" s="12"/>
      <c r="F75" s="13" cm="1" t="str">
        <f t="array" ref="F75">IFERROR(_xlfn.LET(_xlpm.a,Deck!$E$75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$72:$J$72),"✔ CLEAR","✘ TRY AGAIN"))),"✘ TRY AGAIN")</f>
        <v/>
      </c>
      <c r="G75" s="9" cm="1" t="str">
        <f t="array" ref="G75">IF(F75="","",IF(LEFT(F75,1)="✔",MIN(IF(H75="",1,H75)+1,5),1))</f>
        <v/>
      </c>
      <c r="H75" s="14"/>
      <c r="I75" s="15"/>
      <c r="J75" s="16" cm="1" t="str">
        <f t="array" ref="J75">IF(OR(H75="",I75=""),"",IFERROR(I75+CHOOSE(H75,1,3,7,14,30),""))</f>
        <v/>
      </c>
      <c r="K75" s="9" cm="1" t="str">
        <f t="array" ref="K75">IF(H75="","NEW",IF(J75="","DUE",IF(J75&lt;=TODAY(),"DUE","in "&amp;(J75-TODAY())&amp;IF(J75-TODAY()=1," day"," days"))))</f>
        <v>NEW</v>
      </c>
    </row>
    <row r="76" spans="1:11" ht="19.75" customHeight="1">
      <c r="A76" s="11">
        <v>72</v>
      </c>
      <c r="B76" s="11" t="s">
        <v>460</v>
      </c>
      <c r="C76" s="8" t="s">
        <v>461</v>
      </c>
      <c r="D76" s="8" t="s">
        <v>462</v>
      </c>
      <c r="E76" s="12"/>
      <c r="F76" s="13" cm="1" t="str">
        <f t="array" ref="F76">IFERROR(_xlfn.LET(_xlpm.a,Deck!$E$76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$73:$H$73),"✔ CLEAR","✘ TRY AGAIN"))),"✘ TRY AGAIN")</f>
        <v/>
      </c>
      <c r="G76" s="9" cm="1" t="str">
        <f t="array" ref="G76">IF(F76="","",IF(LEFT(F76,1)="✔",MIN(IF(H76="",1,H76)+1,5),1))</f>
        <v/>
      </c>
      <c r="H76" s="14"/>
      <c r="I76" s="15"/>
      <c r="J76" s="16" cm="1" t="str">
        <f t="array" ref="J76">IF(OR(H76="",I76=""),"",IFERROR(I76+CHOOSE(H76,1,3,7,14,30),""))</f>
        <v/>
      </c>
      <c r="K76" s="9" cm="1" t="str">
        <f t="array" ref="K76">IF(H76="","NEW",IF(J76="","DUE",IF(J76&lt;=TODAY(),"DUE","in "&amp;(J76-TODAY())&amp;IF(J76-TODAY()=1," day"," days"))))</f>
        <v>NEW</v>
      </c>
    </row>
    <row r="77" spans="1:11" ht="19.75" customHeight="1">
      <c r="A77" s="11">
        <v>73</v>
      </c>
      <c r="B77" s="11" t="s">
        <v>460</v>
      </c>
      <c r="C77" s="8" t="s">
        <v>461</v>
      </c>
      <c r="D77" s="8" t="s">
        <v>469</v>
      </c>
      <c r="E77" s="12"/>
      <c r="F77" s="13" cm="1" t="str">
        <f t="array" ref="F77">IFERROR(_xlfn.LET(_xlpm.a,Deck!$E$77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$74:$H$74),"✔ CLEAR","✘ TRY AGAIN"))),"✘ TRY AGAIN")</f>
        <v/>
      </c>
      <c r="G77" s="9" cm="1" t="str">
        <f t="array" ref="G77">IF(F77="","",IF(LEFT(F77,1)="✔",MIN(IF(H77="",1,H77)+1,5),1))</f>
        <v/>
      </c>
      <c r="H77" s="14"/>
      <c r="I77" s="15"/>
      <c r="J77" s="16" cm="1" t="str">
        <f t="array" ref="J77">IF(OR(H77="",I77=""),"",IFERROR(I77+CHOOSE(H77,1,3,7,14,30),""))</f>
        <v/>
      </c>
      <c r="K77" s="9" cm="1" t="str">
        <f t="array" ref="K77">IF(H77="","NEW",IF(J77="","DUE",IF(J77&lt;=TODAY(),"DUE","in "&amp;(J77-TODAY())&amp;IF(J77-TODAY()=1," day"," days"))))</f>
        <v>NEW</v>
      </c>
    </row>
    <row r="78" spans="1:11" ht="35.5" customHeight="1">
      <c r="A78" s="11">
        <v>74</v>
      </c>
      <c r="B78" s="11" t="s">
        <v>460</v>
      </c>
      <c r="C78" s="8" t="s">
        <v>461</v>
      </c>
      <c r="D78" s="8" t="s">
        <v>476</v>
      </c>
      <c r="E78" s="12"/>
      <c r="F78" s="13" cm="1" t="str">
        <f t="array" ref="F78">IFERROR(_xlfn.LET(_xlpm.a,Deck!$E$78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$75:$H$75),"✔ CLEAR","✘ TRY AGAIN"))),"✘ TRY AGAIN")</f>
        <v/>
      </c>
      <c r="G78" s="9" cm="1" t="str">
        <f t="array" ref="G78">IF(F78="","",IF(LEFT(F78,1)="✔",MIN(IF(H78="",1,H78)+1,5),1))</f>
        <v/>
      </c>
      <c r="H78" s="14"/>
      <c r="I78" s="15"/>
      <c r="J78" s="16" cm="1" t="str">
        <f t="array" ref="J78">IF(OR(H78="",I78=""),"",IFERROR(I78+CHOOSE(H78,1,3,7,14,30),""))</f>
        <v/>
      </c>
      <c r="K78" s="9" cm="1" t="str">
        <f t="array" ref="K78">IF(H78="","NEW",IF(J78="","DUE",IF(J78&lt;=TODAY(),"DUE","in "&amp;(J78-TODAY())&amp;IF(J78-TODAY()=1," day"," days"))))</f>
        <v>NEW</v>
      </c>
    </row>
    <row r="79" spans="1:11" ht="19.75" customHeight="1">
      <c r="A79" s="11">
        <v>75</v>
      </c>
      <c r="B79" s="11" t="s">
        <v>460</v>
      </c>
      <c r="C79" s="8" t="s">
        <v>461</v>
      </c>
      <c r="D79" s="8" t="s">
        <v>483</v>
      </c>
      <c r="E79" s="12"/>
      <c r="F79" s="13" cm="1" t="str">
        <f t="array" ref="F79">IFERROR(_xlfn.LET(_xlpm.a,Deck!$E$79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$76:$H$76),"✔ CLEAR","✘ TRY AGAIN"))),"✘ TRY AGAIN")</f>
        <v/>
      </c>
      <c r="G79" s="9" cm="1" t="str">
        <f t="array" ref="G79">IF(F79="","",IF(LEFT(F79,1)="✔",MIN(IF(H79="",1,H79)+1,5),1))</f>
        <v/>
      </c>
      <c r="H79" s="14"/>
      <c r="I79" s="15"/>
      <c r="J79" s="16" cm="1" t="str">
        <f t="array" ref="J79">IF(OR(H79="",I79=""),"",IFERROR(I79+CHOOSE(H79,1,3,7,14,30),""))</f>
        <v/>
      </c>
      <c r="K79" s="9" cm="1" t="str">
        <f t="array" ref="K79">IF(H79="","NEW",IF(J79="","DUE",IF(J79&lt;=TODAY(),"DUE","in "&amp;(J79-TODAY())&amp;IF(J79-TODAY()=1," day"," days"))))</f>
        <v>NEW</v>
      </c>
    </row>
    <row r="80" spans="1:11" ht="19.75" customHeight="1">
      <c r="A80" s="11">
        <v>76</v>
      </c>
      <c r="B80" s="11" t="s">
        <v>460</v>
      </c>
      <c r="C80" s="8" t="s">
        <v>461</v>
      </c>
      <c r="D80" s="8" t="s">
        <v>490</v>
      </c>
      <c r="E80" s="12"/>
      <c r="F80" s="13" cm="1" t="str">
        <f t="array" ref="F80">IFERROR(_xlfn.LET(_xlpm.a,Deck!$E$80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$77:$H$77),"✔ CLEAR","✘ TRY AGAIN"))),"✘ TRY AGAIN")</f>
        <v/>
      </c>
      <c r="G80" s="9" cm="1" t="str">
        <f t="array" ref="G80">IF(F80="","",IF(LEFT(F80,1)="✔",MIN(IF(H80="",1,H80)+1,5),1))</f>
        <v/>
      </c>
      <c r="H80" s="14"/>
      <c r="I80" s="15"/>
      <c r="J80" s="16" cm="1" t="str">
        <f t="array" ref="J80">IF(OR(H80="",I80=""),"",IFERROR(I80+CHOOSE(H80,1,3,7,14,30),""))</f>
        <v/>
      </c>
      <c r="K80" s="9" cm="1" t="str">
        <f t="array" ref="K80">IF(H80="","NEW",IF(J80="","DUE",IF(J80&lt;=TODAY(),"DUE","in "&amp;(J80-TODAY())&amp;IF(J80-TODAY()=1," day"," days"))))</f>
        <v>NEW</v>
      </c>
    </row>
    <row r="81" spans="1:11" ht="35.5" customHeight="1">
      <c r="A81" s="11">
        <v>77</v>
      </c>
      <c r="B81" s="11" t="s">
        <v>460</v>
      </c>
      <c r="C81" s="8" t="s">
        <v>461</v>
      </c>
      <c r="D81" s="8" t="s">
        <v>497</v>
      </c>
      <c r="E81" s="12"/>
      <c r="F81" s="13" cm="1" t="str">
        <f t="array" ref="F81">IFERROR(_xlfn.LET(_xlpm.a,Deck!$E$81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$78:$H$78),"✔ CLEAR","✘ TRY AGAIN"))),"✘ TRY AGAIN")</f>
        <v/>
      </c>
      <c r="G81" s="9" cm="1" t="str">
        <f t="array" ref="G81">IF(F81="","",IF(LEFT(F81,1)="✔",MIN(IF(H81="",1,H81)+1,5),1))</f>
        <v/>
      </c>
      <c r="H81" s="14"/>
      <c r="I81" s="15"/>
      <c r="J81" s="16" cm="1" t="str">
        <f t="array" ref="J81">IF(OR(H81="",I81=""),"",IFERROR(I81+CHOOSE(H81,1,3,7,14,30),""))</f>
        <v/>
      </c>
      <c r="K81" s="9" cm="1" t="str">
        <f t="array" ref="K81">IF(H81="","NEW",IF(J81="","DUE",IF(J81&lt;=TODAY(),"DUE","in "&amp;(J81-TODAY())&amp;IF(J81-TODAY()=1," day"," days"))))</f>
        <v>NEW</v>
      </c>
    </row>
    <row r="82" spans="1:11" ht="19.75" customHeight="1">
      <c r="A82" s="11">
        <v>78</v>
      </c>
      <c r="B82" s="11" t="s">
        <v>460</v>
      </c>
      <c r="C82" s="8" t="s">
        <v>502</v>
      </c>
      <c r="D82" s="8" t="s">
        <v>503</v>
      </c>
      <c r="E82" s="12"/>
      <c r="F82" s="13" cm="1" t="str">
        <f t="array" ref="F82">IFERROR(_xlfn.LET(_xlpm.a,Deck!$E$82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$79:$F$79),"✔ CLEAR","✘ TRY AGAIN"))),"✘ TRY AGAIN")</f>
        <v/>
      </c>
      <c r="G82" s="9" cm="1" t="str">
        <f t="array" ref="G82">IF(F82="","",IF(LEFT(F82,1)="✔",MIN(IF(H82="",1,H82)+1,5),1))</f>
        <v/>
      </c>
      <c r="H82" s="14"/>
      <c r="I82" s="15"/>
      <c r="J82" s="16" cm="1" t="str">
        <f t="array" ref="J82">IF(OR(H82="",I82=""),"",IFERROR(I82+CHOOSE(H82,1,3,7,14,30),""))</f>
        <v/>
      </c>
      <c r="K82" s="9" cm="1" t="str">
        <f t="array" ref="K82">IF(H82="","NEW",IF(J82="","DUE",IF(J82&lt;=TODAY(),"DUE","in "&amp;(J82-TODAY())&amp;IF(J82-TODAY()=1," day"," days"))))</f>
        <v>NEW</v>
      </c>
    </row>
    <row r="83" spans="1:11" ht="19.75" customHeight="1">
      <c r="A83" s="11">
        <v>79</v>
      </c>
      <c r="B83" s="11" t="s">
        <v>460</v>
      </c>
      <c r="C83" s="8" t="s">
        <v>502</v>
      </c>
      <c r="D83" s="8" t="s">
        <v>508</v>
      </c>
      <c r="E83" s="12"/>
      <c r="F83" s="13" cm="1" t="str">
        <f t="array" ref="F83">IFERROR(_xlfn.LET(_xlpm.a,Deck!$E$83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$80:$F$80),"✔ CLEAR","✘ TRY AGAIN"))),"✘ TRY AGAIN")</f>
        <v/>
      </c>
      <c r="G83" s="9" cm="1" t="str">
        <f t="array" ref="G83">IF(F83="","",IF(LEFT(F83,1)="✔",MIN(IF(H83="",1,H83)+1,5),1))</f>
        <v/>
      </c>
      <c r="H83" s="14"/>
      <c r="I83" s="15"/>
      <c r="J83" s="16" cm="1" t="str">
        <f t="array" ref="J83">IF(OR(H83="",I83=""),"",IFERROR(I83+CHOOSE(H83,1,3,7,14,30),""))</f>
        <v/>
      </c>
      <c r="K83" s="9" cm="1" t="str">
        <f t="array" ref="K83">IF(H83="","NEW",IF(J83="","DUE",IF(J83&lt;=TODAY(),"DUE","in "&amp;(J83-TODAY())&amp;IF(J83-TODAY()=1," day"," days"))))</f>
        <v>NEW</v>
      </c>
    </row>
    <row r="84" spans="1:11" ht="19.75" customHeight="1">
      <c r="A84" s="11">
        <v>80</v>
      </c>
      <c r="B84" s="11" t="s">
        <v>460</v>
      </c>
      <c r="C84" s="8" t="s">
        <v>502</v>
      </c>
      <c r="D84" s="8" t="s">
        <v>513</v>
      </c>
      <c r="E84" s="12"/>
      <c r="F84" s="13" cm="1" t="str">
        <f t="array" ref="F84">IFERROR(_xlfn.LET(_xlpm.a,Deck!$E$84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$81:$F$81),"✔ CLEAR","✘ TRY AGAIN"))),"✘ TRY AGAIN")</f>
        <v/>
      </c>
      <c r="G84" s="9" cm="1" t="str">
        <f t="array" ref="G84">IF(F84="","",IF(LEFT(F84,1)="✔",MIN(IF(H84="",1,H84)+1,5),1))</f>
        <v/>
      </c>
      <c r="H84" s="14"/>
      <c r="I84" s="15"/>
      <c r="J84" s="16" cm="1" t="str">
        <f t="array" ref="J84">IF(OR(H84="",I84=""),"",IFERROR(I84+CHOOSE(H84,1,3,7,14,30),""))</f>
        <v/>
      </c>
      <c r="K84" s="9" cm="1" t="str">
        <f t="array" ref="K84">IF(H84="","NEW",IF(J84="","DUE",IF(J84&lt;=TODAY(),"DUE","in "&amp;(J84-TODAY())&amp;IF(J84-TODAY()=1," day"," days"))))</f>
        <v>NEW</v>
      </c>
    </row>
    <row r="85" spans="1:11" ht="19.75" customHeight="1">
      <c r="A85" s="11">
        <v>81</v>
      </c>
      <c r="B85" s="11" t="s">
        <v>460</v>
      </c>
      <c r="C85" s="8" t="s">
        <v>502</v>
      </c>
      <c r="D85" s="8" t="s">
        <v>517</v>
      </c>
      <c r="E85" s="12"/>
      <c r="F85" s="13" cm="1" t="str">
        <f t="array" ref="F85">IFERROR(_xlfn.LET(_xlpm.a,Deck!$E$85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$82:$E$82),"✔ CLEAR","✘ TRY AGAIN"))),"✘ TRY AGAIN")</f>
        <v/>
      </c>
      <c r="G85" s="9" cm="1" t="str">
        <f t="array" ref="G85">IF(F85="","",IF(LEFT(F85,1)="✔",MIN(IF(H85="",1,H85)+1,5),1))</f>
        <v/>
      </c>
      <c r="H85" s="14"/>
      <c r="I85" s="15"/>
      <c r="J85" s="16" cm="1" t="str">
        <f t="array" ref="J85">IF(OR(H85="",I85=""),"",IFERROR(I85+CHOOSE(H85,1,3,7,14,30),""))</f>
        <v/>
      </c>
      <c r="K85" s="9" cm="1" t="str">
        <f t="array" ref="K85">IF(H85="","NEW",IF(J85="","DUE",IF(J85&lt;=TODAY(),"DUE","in "&amp;(J85-TODAY())&amp;IF(J85-TODAY()=1," day"," days"))))</f>
        <v>NEW</v>
      </c>
    </row>
    <row r="86" spans="1:11" ht="19.75" customHeight="1">
      <c r="A86" s="11">
        <v>82</v>
      </c>
      <c r="B86" s="11" t="s">
        <v>460</v>
      </c>
      <c r="C86" s="8" t="s">
        <v>521</v>
      </c>
      <c r="D86" s="8" t="s">
        <v>522</v>
      </c>
      <c r="E86" s="12"/>
      <c r="F86" s="13" cm="1" t="str">
        <f t="array" ref="F86">IFERROR(_xlfn.LET(_xlpm.a,Deck!$E$86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$83:$E$83),"✔ CLEAR","✘ TRY AGAIN"))),"✘ TRY AGAIN")</f>
        <v/>
      </c>
      <c r="G86" s="9" cm="1" t="str">
        <f t="array" ref="G86">IF(F86="","",IF(LEFT(F86,1)="✔",MIN(IF(H86="",1,H86)+1,5),1))</f>
        <v/>
      </c>
      <c r="H86" s="14"/>
      <c r="I86" s="15"/>
      <c r="J86" s="16" cm="1" t="str">
        <f t="array" ref="J86">IF(OR(H86="",I86=""),"",IFERROR(I86+CHOOSE(H86,1,3,7,14,30),""))</f>
        <v/>
      </c>
      <c r="K86" s="9" cm="1" t="str">
        <f t="array" ref="K86">IF(H86="","NEW",IF(J86="","DUE",IF(J86&lt;=TODAY(),"DUE","in "&amp;(J86-TODAY())&amp;IF(J86-TODAY()=1," day"," days"))))</f>
        <v>NEW</v>
      </c>
    </row>
    <row r="87" spans="1:11" ht="19.75" customHeight="1">
      <c r="A87" s="11">
        <v>83</v>
      </c>
      <c r="B87" s="11" t="s">
        <v>460</v>
      </c>
      <c r="C87" s="8" t="s">
        <v>521</v>
      </c>
      <c r="D87" s="8" t="s">
        <v>529</v>
      </c>
      <c r="E87" s="12"/>
      <c r="F87" s="13" cm="1" t="str">
        <f t="array" ref="F87">IFERROR(_xlfn.LET(_xlpm.a,Deck!$E$87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$84:$H$84),"✔ CLEAR","✘ TRY AGAIN"))),"✘ TRY AGAIN")</f>
        <v/>
      </c>
      <c r="G87" s="9" cm="1" t="str">
        <f t="array" ref="G87">IF(F87="","",IF(LEFT(F87,1)="✔",MIN(IF(H87="",1,H87)+1,5),1))</f>
        <v/>
      </c>
      <c r="H87" s="14"/>
      <c r="I87" s="15"/>
      <c r="J87" s="16" cm="1" t="str">
        <f t="array" ref="J87">IF(OR(H87="",I87=""),"",IFERROR(I87+CHOOSE(H87,1,3,7,14,30),""))</f>
        <v/>
      </c>
      <c r="K87" s="9" cm="1" t="str">
        <f t="array" ref="K87">IF(H87="","NEW",IF(J87="","DUE",IF(J87&lt;=TODAY(),"DUE","in "&amp;(J87-TODAY())&amp;IF(J87-TODAY()=1," day"," days"))))</f>
        <v>NEW</v>
      </c>
    </row>
    <row r="88" spans="1:11" ht="19.75" customHeight="1">
      <c r="A88" s="11">
        <v>84</v>
      </c>
      <c r="B88" s="11" t="s">
        <v>460</v>
      </c>
      <c r="C88" s="8" t="s">
        <v>521</v>
      </c>
      <c r="D88" s="8" t="s">
        <v>536</v>
      </c>
      <c r="E88" s="12"/>
      <c r="F88" s="13" cm="1" t="str">
        <f t="array" ref="F88">IFERROR(_xlfn.LET(_xlpm.a,Deck!$E$88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$85:$H$85),"✔ CLEAR","✘ TRY AGAIN"))),"✘ TRY AGAIN")</f>
        <v/>
      </c>
      <c r="G88" s="9" cm="1" t="str">
        <f t="array" ref="G88">IF(F88="","",IF(LEFT(F88,1)="✔",MIN(IF(H88="",1,H88)+1,5),1))</f>
        <v/>
      </c>
      <c r="H88" s="14"/>
      <c r="I88" s="15"/>
      <c r="J88" s="16" cm="1" t="str">
        <f t="array" ref="J88">IF(OR(H88="",I88=""),"",IFERROR(I88+CHOOSE(H88,1,3,7,14,30),""))</f>
        <v/>
      </c>
      <c r="K88" s="9" cm="1" t="str">
        <f t="array" ref="K88">IF(H88="","NEW",IF(J88="","DUE",IF(J88&lt;=TODAY(),"DUE","in "&amp;(J88-TODAY())&amp;IF(J88-TODAY()=1," day"," days"))))</f>
        <v>NEW</v>
      </c>
    </row>
    <row r="89" spans="1:11" ht="19.75" customHeight="1">
      <c r="A89" s="11">
        <v>85</v>
      </c>
      <c r="B89" s="11" t="s">
        <v>460</v>
      </c>
      <c r="C89" s="8" t="s">
        <v>521</v>
      </c>
      <c r="D89" s="8" t="s">
        <v>541</v>
      </c>
      <c r="E89" s="12"/>
      <c r="F89" s="13" cm="1" t="str">
        <f t="array" ref="F89">IFERROR(_xlfn.LET(_xlpm.a,Deck!$E$89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$86:$F$86),"✔ CLEAR","✘ TRY AGAIN"))),"✘ TRY AGAIN")</f>
        <v/>
      </c>
      <c r="G89" s="9" cm="1" t="str">
        <f t="array" ref="G89">IF(F89="","",IF(LEFT(F89,1)="✔",MIN(IF(H89="",1,H89)+1,5),1))</f>
        <v/>
      </c>
      <c r="H89" s="14"/>
      <c r="I89" s="15"/>
      <c r="J89" s="16" cm="1" t="str">
        <f t="array" ref="J89">IF(OR(H89="",I89=""),"",IFERROR(I89+CHOOSE(H89,1,3,7,14,30),""))</f>
        <v/>
      </c>
      <c r="K89" s="9" cm="1" t="str">
        <f t="array" ref="K89">IF(H89="","NEW",IF(J89="","DUE",IF(J89&lt;=TODAY(),"DUE","in "&amp;(J89-TODAY())&amp;IF(J89-TODAY()=1," day"," days"))))</f>
        <v>NEW</v>
      </c>
    </row>
    <row r="90" spans="1:11" ht="19.75" customHeight="1">
      <c r="A90" s="11">
        <v>86</v>
      </c>
      <c r="B90" s="11" t="s">
        <v>460</v>
      </c>
      <c r="C90" s="8" t="s">
        <v>521</v>
      </c>
      <c r="D90" s="8" t="s">
        <v>560</v>
      </c>
      <c r="E90" s="12"/>
      <c r="F90" s="13" cm="1" t="str">
        <f t="array" ref="F90">IFERROR(_xlfn.LET(_xlpm.a,Deck!$E$90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$87:$T$87),"✔ CLEAR","✘ TRY AGAIN"))),"✘ TRY AGAIN")</f>
        <v/>
      </c>
      <c r="G90" s="9" cm="1" t="str">
        <f t="array" ref="G90">IF(F90="","",IF(LEFT(F90,1)="✔",MIN(IF(H90="",1,H90)+1,5),1))</f>
        <v/>
      </c>
      <c r="H90" s="14"/>
      <c r="I90" s="15"/>
      <c r="J90" s="16" cm="1" t="str">
        <f t="array" ref="J90">IF(OR(H90="",I90=""),"",IFERROR(I90+CHOOSE(H90,1,3,7,14,30),""))</f>
        <v/>
      </c>
      <c r="K90" s="9" cm="1" t="str">
        <f t="array" ref="K90">IF(H90="","NEW",IF(J90="","DUE",IF(J90&lt;=TODAY(),"DUE","in "&amp;(J90-TODAY())&amp;IF(J90-TODAY()=1," day"," days"))))</f>
        <v>NEW</v>
      </c>
    </row>
    <row r="91" spans="1:11" ht="19.75" customHeight="1">
      <c r="A91" s="11">
        <v>87</v>
      </c>
      <c r="B91" s="11" t="s">
        <v>460</v>
      </c>
      <c r="C91" s="8" t="s">
        <v>521</v>
      </c>
      <c r="D91" s="8" t="s">
        <v>579</v>
      </c>
      <c r="E91" s="12"/>
      <c r="F91" s="13" cm="1" t="str">
        <f t="array" ref="F91">IFERROR(_xlfn.LET(_xlpm.a,Deck!$E$91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$88:$T$88),"✔ CLEAR","✘ TRY AGAIN"))),"✘ TRY AGAIN")</f>
        <v/>
      </c>
      <c r="G91" s="9" cm="1" t="str">
        <f t="array" ref="G91">IF(F91="","",IF(LEFT(F91,1)="✔",MIN(IF(H91="",1,H91)+1,5),1))</f>
        <v/>
      </c>
      <c r="H91" s="14"/>
      <c r="I91" s="15"/>
      <c r="J91" s="16" cm="1" t="str">
        <f t="array" ref="J91">IF(OR(H91="",I91=""),"",IFERROR(I91+CHOOSE(H91,1,3,7,14,30),""))</f>
        <v/>
      </c>
      <c r="K91" s="9" cm="1" t="str">
        <f t="array" ref="K91">IF(H91="","NEW",IF(J91="","DUE",IF(J91&lt;=TODAY(),"DUE","in "&amp;(J91-TODAY())&amp;IF(J91-TODAY()=1," day"," days"))))</f>
        <v>NEW</v>
      </c>
    </row>
    <row r="92" spans="1:11" ht="19.75" customHeight="1">
      <c r="A92" s="11">
        <v>88</v>
      </c>
      <c r="B92" s="11" t="s">
        <v>460</v>
      </c>
      <c r="C92" s="8" t="s">
        <v>521</v>
      </c>
      <c r="D92" s="8" t="s">
        <v>582</v>
      </c>
      <c r="E92" s="12"/>
      <c r="F92" s="13" cm="1" t="str">
        <f t="array" ref="F92">IFERROR(_xlfn.LET(_xlpm.a,Deck!$E$92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$89:$F$89),"✔ CLEAR","✘ TRY AGAIN"))),"✘ TRY AGAIN")</f>
        <v/>
      </c>
      <c r="G92" s="9" cm="1" t="str">
        <f t="array" ref="G92">IF(F92="","",IF(LEFT(F92,1)="✔",MIN(IF(H92="",1,H92)+1,5),1))</f>
        <v/>
      </c>
      <c r="H92" s="14"/>
      <c r="I92" s="15"/>
      <c r="J92" s="16" cm="1" t="str">
        <f t="array" ref="J92">IF(OR(H92="",I92=""),"",IFERROR(I92+CHOOSE(H92,1,3,7,14,30),""))</f>
        <v/>
      </c>
      <c r="K92" s="9" cm="1" t="str">
        <f t="array" ref="K92">IF(H92="","NEW",IF(J92="","DUE",IF(J92&lt;=TODAY(),"DUE","in "&amp;(J92-TODAY())&amp;IF(J92-TODAY()=1," day"," days"))))</f>
        <v>NEW</v>
      </c>
    </row>
    <row r="93" spans="1:11" ht="35.5" customHeight="1">
      <c r="A93" s="11">
        <v>89</v>
      </c>
      <c r="B93" s="11" t="s">
        <v>591</v>
      </c>
      <c r="C93" s="8" t="s">
        <v>592</v>
      </c>
      <c r="D93" s="8" t="s">
        <v>593</v>
      </c>
      <c r="E93" s="12"/>
      <c r="F93" s="13" cm="1" t="str">
        <f t="array" ref="F93">IFERROR(_xlfn.LET(_xlpm.a,Deck!$E$93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$90:$J$90),"✔ CLEAR","✘ TRY AGAIN"))),"✘ TRY AGAIN")</f>
        <v/>
      </c>
      <c r="G93" s="9" cm="1" t="str">
        <f t="array" ref="G93">IF(F93="","",IF(LEFT(F93,1)="✔",MIN(IF(H93="",1,H93)+1,5),1))</f>
        <v/>
      </c>
      <c r="H93" s="14"/>
      <c r="I93" s="15"/>
      <c r="J93" s="16" cm="1" t="str">
        <f t="array" ref="J93">IF(OR(H93="",I93=""),"",IFERROR(I93+CHOOSE(H93,1,3,7,14,30),""))</f>
        <v/>
      </c>
      <c r="K93" s="9" cm="1" t="str">
        <f t="array" ref="K93">IF(H93="","NEW",IF(J93="","DUE",IF(J93&lt;=TODAY(),"DUE","in "&amp;(J93-TODAY())&amp;IF(J93-TODAY()=1," day"," days"))))</f>
        <v>NEW</v>
      </c>
    </row>
    <row r="94" spans="1:11" ht="35.5" customHeight="1">
      <c r="A94" s="11">
        <v>90</v>
      </c>
      <c r="B94" s="11" t="s">
        <v>591</v>
      </c>
      <c r="C94" s="8" t="s">
        <v>592</v>
      </c>
      <c r="D94" s="8" t="s">
        <v>597</v>
      </c>
      <c r="E94" s="12"/>
      <c r="F94" s="13" cm="1" t="str">
        <f t="array" ref="F94">IFERROR(_xlfn.LET(_xlpm.a,Deck!$E$94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$91:$E$91),"✔ CLEAR","✘ TRY AGAIN"))),"✘ TRY AGAIN")</f>
        <v/>
      </c>
      <c r="G94" s="9" cm="1" t="str">
        <f t="array" ref="G94">IF(F94="","",IF(LEFT(F94,1)="✔",MIN(IF(H94="",1,H94)+1,5),1))</f>
        <v/>
      </c>
      <c r="H94" s="14"/>
      <c r="I94" s="15"/>
      <c r="J94" s="16" cm="1" t="str">
        <f t="array" ref="J94">IF(OR(H94="",I94=""),"",IFERROR(I94+CHOOSE(H94,1,3,7,14,30),""))</f>
        <v/>
      </c>
      <c r="K94" s="9" cm="1" t="str">
        <f t="array" ref="K94">IF(H94="","NEW",IF(J94="","DUE",IF(J94&lt;=TODAY(),"DUE","in "&amp;(J94-TODAY())&amp;IF(J94-TODAY()=1," day"," days"))))</f>
        <v>NEW</v>
      </c>
    </row>
    <row r="95" spans="1:11" ht="35.5" customHeight="1">
      <c r="A95" s="11">
        <v>91</v>
      </c>
      <c r="B95" s="11" t="s">
        <v>591</v>
      </c>
      <c r="C95" s="8" t="s">
        <v>592</v>
      </c>
      <c r="D95" s="8" t="s">
        <v>602</v>
      </c>
      <c r="E95" s="12"/>
      <c r="F95" s="13" cm="1" t="str">
        <f t="array" ref="F95">IFERROR(_xlfn.LET(_xlpm.a,Deck!$E$95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$92:$F$92),"✔ CLEAR","✘ TRY AGAIN"))),"✘ TRY AGAIN")</f>
        <v/>
      </c>
      <c r="G95" s="9" cm="1" t="str">
        <f t="array" ref="G95">IF(F95="","",IF(LEFT(F95,1)="✔",MIN(IF(H95="",1,H95)+1,5),1))</f>
        <v/>
      </c>
      <c r="H95" s="14"/>
      <c r="I95" s="15"/>
      <c r="J95" s="16" cm="1" t="str">
        <f t="array" ref="J95">IF(OR(H95="",I95=""),"",IFERROR(I95+CHOOSE(H95,1,3,7,14,30),""))</f>
        <v/>
      </c>
      <c r="K95" s="9" cm="1" t="str">
        <f t="array" ref="K95">IF(H95="","NEW",IF(J95="","DUE",IF(J95&lt;=TODAY(),"DUE","in "&amp;(J95-TODAY())&amp;IF(J95-TODAY()=1," day"," days"))))</f>
        <v>NEW</v>
      </c>
    </row>
    <row r="96" spans="1:11" ht="35.5" customHeight="1">
      <c r="A96" s="11">
        <v>92</v>
      </c>
      <c r="B96" s="11" t="s">
        <v>591</v>
      </c>
      <c r="C96" s="8" t="s">
        <v>611</v>
      </c>
      <c r="D96" s="8" t="s">
        <v>612</v>
      </c>
      <c r="E96" s="12"/>
      <c r="F96" s="13" cm="1" t="str">
        <f t="array" ref="F96">IFERROR(_xlfn.LET(_xlpm.a,Deck!$E$96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$93:$J$93),"✔ CLEAR","✘ TRY AGAIN"))),"✘ TRY AGAIN")</f>
        <v/>
      </c>
      <c r="G96" s="9" cm="1" t="str">
        <f t="array" ref="G96">IF(F96="","",IF(LEFT(F96,1)="✔",MIN(IF(H96="",1,H96)+1,5),1))</f>
        <v/>
      </c>
      <c r="H96" s="14"/>
      <c r="I96" s="15"/>
      <c r="J96" s="16" cm="1" t="str">
        <f t="array" ref="J96">IF(OR(H96="",I96=""),"",IFERROR(I96+CHOOSE(H96,1,3,7,14,30),""))</f>
        <v/>
      </c>
      <c r="K96" s="9" cm="1" t="str">
        <f t="array" ref="K96">IF(H96="","NEW",IF(J96="","DUE",IF(J96&lt;=TODAY(),"DUE","in "&amp;(J96-TODAY())&amp;IF(J96-TODAY()=1," day"," days"))))</f>
        <v>NEW</v>
      </c>
    </row>
    <row r="97" spans="1:11" ht="35.5" customHeight="1">
      <c r="A97" s="11">
        <v>93</v>
      </c>
      <c r="B97" s="11" t="s">
        <v>591</v>
      </c>
      <c r="C97" s="8" t="s">
        <v>611</v>
      </c>
      <c r="D97" s="8" t="s">
        <v>621</v>
      </c>
      <c r="E97" s="12"/>
      <c r="F97" s="13" cm="1" t="str">
        <f t="array" ref="F97">IFERROR(_xlfn.LET(_xlpm.a,Deck!$E$97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$94:$J$94),"✔ CLEAR","✘ TRY AGAIN"))),"✘ TRY AGAIN")</f>
        <v/>
      </c>
      <c r="G97" s="9" cm="1" t="str">
        <f t="array" ref="G97">IF(F97="","",IF(LEFT(F97,1)="✔",MIN(IF(H97="",1,H97)+1,5),1))</f>
        <v/>
      </c>
      <c r="H97" s="14"/>
      <c r="I97" s="15"/>
      <c r="J97" s="16" cm="1" t="str">
        <f t="array" ref="J97">IF(OR(H97="",I97=""),"",IFERROR(I97+CHOOSE(H97,1,3,7,14,30),""))</f>
        <v/>
      </c>
      <c r="K97" s="9" cm="1" t="str">
        <f t="array" ref="K97">IF(H97="","NEW",IF(J97="","DUE",IF(J97&lt;=TODAY(),"DUE","in "&amp;(J97-TODAY())&amp;IF(J97-TODAY()=1," day"," days"))))</f>
        <v>NEW</v>
      </c>
    </row>
    <row r="98" spans="1:11" ht="35.5" customHeight="1">
      <c r="A98" s="11">
        <v>94</v>
      </c>
      <c r="B98" s="11" t="s">
        <v>591</v>
      </c>
      <c r="C98" s="8" t="s">
        <v>630</v>
      </c>
      <c r="D98" s="8" t="s">
        <v>631</v>
      </c>
      <c r="E98" s="12"/>
      <c r="F98" s="13" cm="1" t="str">
        <f t="array" ref="F98">IFERROR(_xlfn.LET(_xlpm.a,Deck!$E$98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$95:$J$95),"✔ CLEAR","✘ TRY AGAIN"))),"✘ TRY AGAIN")</f>
        <v/>
      </c>
      <c r="G98" s="9" cm="1" t="str">
        <f t="array" ref="G98">IF(F98="","",IF(LEFT(F98,1)="✔",MIN(IF(H98="",1,H98)+1,5),1))</f>
        <v/>
      </c>
      <c r="H98" s="14"/>
      <c r="I98" s="15"/>
      <c r="J98" s="16" cm="1" t="str">
        <f t="array" ref="J98">IF(OR(H98="",I98=""),"",IFERROR(I98+CHOOSE(H98,1,3,7,14,30),""))</f>
        <v/>
      </c>
      <c r="K98" s="9" cm="1" t="str">
        <f t="array" ref="K98">IF(H98="","NEW",IF(J98="","DUE",IF(J98&lt;=TODAY(),"DUE","in "&amp;(J98-TODAY())&amp;IF(J98-TODAY()=1," day"," days"))))</f>
        <v>NEW</v>
      </c>
    </row>
    <row r="99" spans="1:11" ht="35.5" customHeight="1">
      <c r="A99" s="11">
        <v>95</v>
      </c>
      <c r="B99" s="11" t="s">
        <v>591</v>
      </c>
      <c r="C99" s="8" t="s">
        <v>630</v>
      </c>
      <c r="D99" s="8" t="s">
        <v>640</v>
      </c>
      <c r="E99" s="12"/>
      <c r="F99" s="13" cm="1" t="str">
        <f t="array" ref="F99">IFERROR(_xlfn.LET(_xlpm.a,Deck!$E$99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$96:$J$96),"✔ CLEAR","✘ TRY AGAIN"))),"✘ TRY AGAIN")</f>
        <v/>
      </c>
      <c r="G99" s="9" cm="1" t="str">
        <f t="array" ref="G99">IF(F99="","",IF(LEFT(F99,1)="✔",MIN(IF(H99="",1,H99)+1,5),1))</f>
        <v/>
      </c>
      <c r="H99" s="14"/>
      <c r="I99" s="15"/>
      <c r="J99" s="16" cm="1" t="str">
        <f t="array" ref="J99">IF(OR(H99="",I99=""),"",IFERROR(I99+CHOOSE(H99,1,3,7,14,30),""))</f>
        <v/>
      </c>
      <c r="K99" s="9" cm="1" t="str">
        <f t="array" ref="K99">IF(H99="","NEW",IF(J99="","DUE",IF(J99&lt;=TODAY(),"DUE","in "&amp;(J99-TODAY())&amp;IF(J99-TODAY()=1," day"," days"))))</f>
        <v>NEW</v>
      </c>
    </row>
    <row r="100" spans="1:11" ht="35.5" customHeight="1">
      <c r="A100" s="11">
        <v>96</v>
      </c>
      <c r="B100" s="11" t="s">
        <v>591</v>
      </c>
      <c r="C100" s="8" t="s">
        <v>630</v>
      </c>
      <c r="D100" s="8" t="s">
        <v>649</v>
      </c>
      <c r="E100" s="12"/>
      <c r="F100" s="13" cm="1" t="str">
        <f t="array" ref="F100">IFERROR(_xlfn.LET(_xlpm.a,Deck!$E$100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$97:$J$97),"✔ CLEAR","✘ TRY AGAIN"))),"✘ TRY AGAIN")</f>
        <v/>
      </c>
      <c r="G100" s="9" cm="1" t="str">
        <f t="array" ref="G100">IF(F100="","",IF(LEFT(F100,1)="✔",MIN(IF(H100="",1,H100)+1,5),1))</f>
        <v/>
      </c>
      <c r="H100" s="14"/>
      <c r="I100" s="15"/>
      <c r="J100" s="16" cm="1" t="str">
        <f t="array" ref="J100">IF(OR(H100="",I100=""),"",IFERROR(I100+CHOOSE(H100,1,3,7,14,30),""))</f>
        <v/>
      </c>
      <c r="K100" s="9" cm="1" t="str">
        <f t="array" ref="K100">IF(H100="","NEW",IF(J100="","DUE",IF(J100&lt;=TODAY(),"DUE","in "&amp;(J100-TODAY())&amp;IF(J100-TODAY()=1," day"," days"))))</f>
        <v>NEW</v>
      </c>
    </row>
    <row r="101" spans="1:11" ht="35.5" customHeight="1">
      <c r="A101" s="11">
        <v>97</v>
      </c>
      <c r="B101" s="11" t="s">
        <v>591</v>
      </c>
      <c r="C101" s="8" t="s">
        <v>658</v>
      </c>
      <c r="D101" s="8" t="s">
        <v>659</v>
      </c>
      <c r="E101" s="12"/>
      <c r="F101" s="13" cm="1" t="str">
        <f t="array" ref="F101">IFERROR(_xlfn.LET(_xlpm.a,Deck!$E$101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$98:$J$98),"✔ CLEAR","✘ TRY AGAIN"))),"✘ TRY AGAIN")</f>
        <v/>
      </c>
      <c r="G101" s="9" cm="1" t="str">
        <f t="array" ref="G101">IF(F101="","",IF(LEFT(F101,1)="✔",MIN(IF(H101="",1,H101)+1,5),1))</f>
        <v/>
      </c>
      <c r="H101" s="14"/>
      <c r="I101" s="15"/>
      <c r="J101" s="16" cm="1" t="str">
        <f t="array" ref="J101">IF(OR(H101="",I101=""),"",IFERROR(I101+CHOOSE(H101,1,3,7,14,30),""))</f>
        <v/>
      </c>
      <c r="K101" s="9" cm="1" t="str">
        <f t="array" ref="K101">IF(H101="","NEW",IF(J101="","DUE",IF(J101&lt;=TODAY(),"DUE","in "&amp;(J101-TODAY())&amp;IF(J101-TODAY()=1," day"," days"))))</f>
        <v>NEW</v>
      </c>
    </row>
    <row r="102" spans="1:11" ht="35.5" customHeight="1">
      <c r="A102" s="11">
        <v>98</v>
      </c>
      <c r="B102" s="11" t="s">
        <v>591</v>
      </c>
      <c r="C102" s="8" t="s">
        <v>658</v>
      </c>
      <c r="D102" s="8" t="s">
        <v>668</v>
      </c>
      <c r="E102" s="12"/>
      <c r="F102" s="13" cm="1" t="str">
        <f t="array" ref="F102">IFERROR(_xlfn.LET(_xlpm.a,Deck!$E$102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$99:$J$99),"✔ CLEAR","✘ TRY AGAIN"))),"✘ TRY AGAIN")</f>
        <v/>
      </c>
      <c r="G102" s="9" cm="1" t="str">
        <f t="array" ref="G102">IF(F102="","",IF(LEFT(F102,1)="✔",MIN(IF(H102="",1,H102)+1,5),1))</f>
        <v/>
      </c>
      <c r="H102" s="14"/>
      <c r="I102" s="15"/>
      <c r="J102" s="16" cm="1" t="str">
        <f t="array" ref="J102">IF(OR(H102="",I102=""),"",IFERROR(I102+CHOOSE(H102,1,3,7,14,30),""))</f>
        <v/>
      </c>
      <c r="K102" s="9" cm="1" t="str">
        <f t="array" ref="K102">IF(H102="","NEW",IF(J102="","DUE",IF(J102&lt;=TODAY(),"DUE","in "&amp;(J102-TODAY())&amp;IF(J102-TODAY()=1," day"," days"))))</f>
        <v>NEW</v>
      </c>
    </row>
    <row r="103" spans="1:11" ht="35.5" customHeight="1">
      <c r="A103" s="11">
        <v>99</v>
      </c>
      <c r="B103" s="11" t="s">
        <v>591</v>
      </c>
      <c r="C103" s="8" t="s">
        <v>658</v>
      </c>
      <c r="D103" s="8" t="s">
        <v>673</v>
      </c>
      <c r="E103" s="12"/>
      <c r="F103" s="13" cm="1" t="str">
        <f t="array" ref="F103">IFERROR(_xlfn.LET(_xlpm.a,Deck!$E$103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$100:$F$100),"✔ CLEAR","✘ TRY AGAIN"))),"✘ TRY AGAIN")</f>
        <v/>
      </c>
      <c r="G103" s="9" cm="1" t="str">
        <f t="array" ref="G103">IF(F103="","",IF(LEFT(F103,1)="✔",MIN(IF(H103="",1,H103)+1,5),1))</f>
        <v/>
      </c>
      <c r="H103" s="14"/>
      <c r="I103" s="15"/>
      <c r="J103" s="16" cm="1" t="str">
        <f t="array" ref="J103">IF(OR(H103="",I103=""),"",IFERROR(I103+CHOOSE(H103,1,3,7,14,30),""))</f>
        <v/>
      </c>
      <c r="K103" s="9" cm="1" t="str">
        <f t="array" ref="K103">IF(H103="","NEW",IF(J103="","DUE",IF(J103&lt;=TODAY(),"DUE","in "&amp;(J103-TODAY())&amp;IF(J103-TODAY()=1," day"," days"))))</f>
        <v>NEW</v>
      </c>
    </row>
    <row r="104" spans="1:11" ht="35.5" customHeight="1">
      <c r="A104" s="11">
        <v>100</v>
      </c>
      <c r="B104" s="11" t="s">
        <v>591</v>
      </c>
      <c r="C104" s="8" t="s">
        <v>658</v>
      </c>
      <c r="D104" s="8" t="s">
        <v>676</v>
      </c>
      <c r="E104" s="12"/>
      <c r="F104" s="13" cm="1" t="str">
        <f t="array" ref="F104">IFERROR(_xlfn.LET(_xlpm.a,Deck!$E$104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$101:$F$101),"✔ CLEAR","✘ TRY AGAIN"))),"✘ TRY AGAIN")</f>
        <v/>
      </c>
      <c r="G104" s="9" cm="1" t="str">
        <f t="array" ref="G104">IF(F104="","",IF(LEFT(F104,1)="✔",MIN(IF(H104="",1,H104)+1,5),1))</f>
        <v/>
      </c>
      <c r="H104" s="14"/>
      <c r="I104" s="15"/>
      <c r="J104" s="16" cm="1" t="str">
        <f t="array" ref="J104">IF(OR(H104="",I104=""),"",IFERROR(I104+CHOOSE(H104,1,3,7,14,30),""))</f>
        <v/>
      </c>
      <c r="K104" s="9" cm="1" t="str">
        <f t="array" ref="K104">IF(H104="","NEW",IF(J104="","DUE",IF(J104&lt;=TODAY(),"DUE","in "&amp;(J104-TODAY())&amp;IF(J104-TODAY()=1," day"," days"))))</f>
        <v>NEW</v>
      </c>
    </row>
    <row r="105" spans="1:11" ht="35.5" customHeight="1">
      <c r="A105" s="11">
        <v>101</v>
      </c>
      <c r="B105" s="11" t="s">
        <v>684</v>
      </c>
      <c r="C105" s="8" t="s">
        <v>685</v>
      </c>
      <c r="D105" s="8" t="s">
        <v>686</v>
      </c>
      <c r="E105" s="12"/>
      <c r="F105" s="13" cm="1" t="str">
        <f t="array" ref="F105">IFERROR(_xlfn.LET(_xlpm.a,Deck!$E$105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$102:$I$102),"✔ CLEAR","✘ TRY AGAIN"))),"✘ TRY AGAIN")</f>
        <v/>
      </c>
      <c r="G105" s="9" cm="1" t="str">
        <f t="array" ref="G105">IF(F105="","",IF(LEFT(F105,1)="✔",MIN(IF(H105="",1,H105)+1,5),1))</f>
        <v/>
      </c>
      <c r="H105" s="14"/>
      <c r="I105" s="15"/>
      <c r="J105" s="16" cm="1" t="str">
        <f t="array" ref="J105">IF(OR(H105="",I105=""),"",IFERROR(I105+CHOOSE(H105,1,3,7,14,30),""))</f>
        <v/>
      </c>
      <c r="K105" s="9" cm="1" t="str">
        <f t="array" ref="K105">IF(H105="","NEW",IF(J105="","DUE",IF(J105&lt;=TODAY(),"DUE","in "&amp;(J105-TODAY())&amp;IF(J105-TODAY()=1," day"," days"))))</f>
        <v>NEW</v>
      </c>
    </row>
    <row r="106" spans="1:11" ht="35.5" customHeight="1">
      <c r="A106" s="11">
        <v>102</v>
      </c>
      <c r="B106" s="11" t="s">
        <v>684</v>
      </c>
      <c r="C106" s="8" t="s">
        <v>685</v>
      </c>
      <c r="D106" s="8" t="s">
        <v>690</v>
      </c>
      <c r="E106" s="12"/>
      <c r="F106" s="13" cm="1" t="str">
        <f t="array" ref="F106">IFERROR(_xlfn.LET(_xlpm.a,Deck!$E$106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$103:$E$103),"✔ CLEAR","✘ TRY AGAIN"))),"✘ TRY AGAIN")</f>
        <v/>
      </c>
      <c r="G106" s="9" cm="1" t="str">
        <f t="array" ref="G106">IF(F106="","",IF(LEFT(F106,1)="✔",MIN(IF(H106="",1,H106)+1,5),1))</f>
        <v/>
      </c>
      <c r="H106" s="14"/>
      <c r="I106" s="15"/>
      <c r="J106" s="16" cm="1" t="str">
        <f t="array" ref="J106">IF(OR(H106="",I106=""),"",IFERROR(I106+CHOOSE(H106,1,3,7,14,30),""))</f>
        <v/>
      </c>
      <c r="K106" s="9" cm="1" t="str">
        <f t="array" ref="K106">IF(H106="","NEW",IF(J106="","DUE",IF(J106&lt;=TODAY(),"DUE","in "&amp;(J106-TODAY())&amp;IF(J106-TODAY()=1," day"," days"))))</f>
        <v>NEW</v>
      </c>
    </row>
    <row r="107" spans="1:11" ht="35.5" customHeight="1">
      <c r="A107" s="11">
        <v>103</v>
      </c>
      <c r="B107" s="11" t="s">
        <v>684</v>
      </c>
      <c r="C107" s="8" t="s">
        <v>685</v>
      </c>
      <c r="D107" s="8" t="s">
        <v>693</v>
      </c>
      <c r="E107" s="12"/>
      <c r="F107" s="13" cm="1" t="str">
        <f t="array" ref="F107">IFERROR(_xlfn.LET(_xlpm.a,Deck!$E$107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$104:$E$104),"✔ CLEAR","✘ TRY AGAIN"))),"✘ TRY AGAIN")</f>
        <v/>
      </c>
      <c r="G107" s="9" cm="1" t="str">
        <f t="array" ref="G107">IF(F107="","",IF(LEFT(F107,1)="✔",MIN(IF(H107="",1,H107)+1,5),1))</f>
        <v/>
      </c>
      <c r="H107" s="14"/>
      <c r="I107" s="15"/>
      <c r="J107" s="16" cm="1" t="str">
        <f t="array" ref="J107">IF(OR(H107="",I107=""),"",IFERROR(I107+CHOOSE(H107,1,3,7,14,30),""))</f>
        <v/>
      </c>
      <c r="K107" s="9" cm="1" t="str">
        <f t="array" ref="K107">IF(H107="","NEW",IF(J107="","DUE",IF(J107&lt;=TODAY(),"DUE","in "&amp;(J107-TODAY())&amp;IF(J107-TODAY()=1," day"," days"))))</f>
        <v>NEW</v>
      </c>
    </row>
    <row r="108" spans="1:11" ht="35.5" customHeight="1">
      <c r="A108" s="11">
        <v>104</v>
      </c>
      <c r="B108" s="11" t="s">
        <v>684</v>
      </c>
      <c r="C108" s="8" t="s">
        <v>685</v>
      </c>
      <c r="D108" s="8" t="s">
        <v>697</v>
      </c>
      <c r="E108" s="12"/>
      <c r="F108" s="13" cm="1" t="str">
        <f t="array" ref="F108">IFERROR(_xlfn.LET(_xlpm.a,Deck!$E$108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$105:$E$105),"✔ CLEAR","✘ TRY AGAIN"))),"✘ TRY AGAIN")</f>
        <v/>
      </c>
      <c r="G108" s="9" cm="1" t="str">
        <f t="array" ref="G108">IF(F108="","",IF(LEFT(F108,1)="✔",MIN(IF(H108="",1,H108)+1,5),1))</f>
        <v/>
      </c>
      <c r="H108" s="14"/>
      <c r="I108" s="15"/>
      <c r="J108" s="16" cm="1" t="str">
        <f t="array" ref="J108">IF(OR(H108="",I108=""),"",IFERROR(I108+CHOOSE(H108,1,3,7,14,30),""))</f>
        <v/>
      </c>
      <c r="K108" s="9" cm="1" t="str">
        <f t="array" ref="K108">IF(H108="","NEW",IF(J108="","DUE",IF(J108&lt;=TODAY(),"DUE","in "&amp;(J108-TODAY())&amp;IF(J108-TODAY()=1," day"," days"))))</f>
        <v>NEW</v>
      </c>
    </row>
    <row r="109" spans="1:11" ht="19.75" customHeight="1">
      <c r="A109" s="11">
        <v>105</v>
      </c>
      <c r="B109" s="11" t="s">
        <v>684</v>
      </c>
      <c r="C109" s="8" t="s">
        <v>703</v>
      </c>
      <c r="D109" s="8" t="s">
        <v>704</v>
      </c>
      <c r="E109" s="12"/>
      <c r="F109" s="13" cm="1" t="str">
        <f t="array" ref="F109">IFERROR(_xlfn.LET(_xlpm.a,Deck!$E$109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$106:$G$106),"✔ CLEAR","✘ TRY AGAIN"))),"✘ TRY AGAIN")</f>
        <v/>
      </c>
      <c r="G109" s="9" cm="1" t="str">
        <f t="array" ref="G109">IF(F109="","",IF(LEFT(F109,1)="✔",MIN(IF(H109="",1,H109)+1,5),1))</f>
        <v/>
      </c>
      <c r="H109" s="14"/>
      <c r="I109" s="15"/>
      <c r="J109" s="16" cm="1" t="str">
        <f t="array" ref="J109">IF(OR(H109="",I109=""),"",IFERROR(I109+CHOOSE(H109,1,3,7,14,30),""))</f>
        <v/>
      </c>
      <c r="K109" s="9" cm="1" t="str">
        <f t="array" ref="K109">IF(H109="","NEW",IF(J109="","DUE",IF(J109&lt;=TODAY(),"DUE","in "&amp;(J109-TODAY())&amp;IF(J109-TODAY()=1," day"," days"))))</f>
        <v>NEW</v>
      </c>
    </row>
    <row r="110" spans="1:11" ht="19.75" customHeight="1">
      <c r="A110" s="11">
        <v>106</v>
      </c>
      <c r="B110" s="11" t="s">
        <v>684</v>
      </c>
      <c r="C110" s="8" t="s">
        <v>703</v>
      </c>
      <c r="D110" s="8" t="s">
        <v>723</v>
      </c>
      <c r="E110" s="12"/>
      <c r="F110" s="13" cm="1" t="str">
        <f t="array" ref="F110">IFERROR(_xlfn.LET(_xlpm.a,Deck!$E$110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$107:$T$107),"✔ CLEAR","✘ TRY AGAIN"))),"✘ TRY AGAIN")</f>
        <v/>
      </c>
      <c r="G110" s="9" cm="1" t="str">
        <f t="array" ref="G110">IF(F110="","",IF(LEFT(F110,1)="✔",MIN(IF(H110="",1,H110)+1,5),1))</f>
        <v/>
      </c>
      <c r="H110" s="14"/>
      <c r="I110" s="15"/>
      <c r="J110" s="16" cm="1" t="str">
        <f t="array" ref="J110">IF(OR(H110="",I110=""),"",IFERROR(I110+CHOOSE(H110,1,3,7,14,30),""))</f>
        <v/>
      </c>
      <c r="K110" s="9" cm="1" t="str">
        <f t="array" ref="K110">IF(H110="","NEW",IF(J110="","DUE",IF(J110&lt;=TODAY(),"DUE","in "&amp;(J110-TODAY())&amp;IF(J110-TODAY()=1," day"," days"))))</f>
        <v>NEW</v>
      </c>
    </row>
    <row r="111" spans="1:11" ht="19.75" customHeight="1">
      <c r="A111" s="11">
        <v>107</v>
      </c>
      <c r="B111" s="11" t="s">
        <v>684</v>
      </c>
      <c r="C111" s="8" t="s">
        <v>703</v>
      </c>
      <c r="D111" s="8" t="s">
        <v>727</v>
      </c>
      <c r="E111" s="12"/>
      <c r="F111" s="13" cm="1" t="str">
        <f t="array" ref="F111">IFERROR(_xlfn.LET(_xlpm.a,Deck!$E$111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$108:$E$108),"✔ CLEAR","✘ TRY AGAIN"))),"✘ TRY AGAIN")</f>
        <v/>
      </c>
      <c r="G111" s="9" cm="1" t="str">
        <f t="array" ref="G111">IF(F111="","",IF(LEFT(F111,1)="✔",MIN(IF(H111="",1,H111)+1,5),1))</f>
        <v/>
      </c>
      <c r="H111" s="14"/>
      <c r="I111" s="15"/>
      <c r="J111" s="16" cm="1" t="str">
        <f t="array" ref="J111">IF(OR(H111="",I111=""),"",IFERROR(I111+CHOOSE(H111,1,3,7,14,30),""))</f>
        <v/>
      </c>
      <c r="K111" s="9" cm="1" t="str">
        <f t="array" ref="K111">IF(H111="","NEW",IF(J111="","DUE",IF(J111&lt;=TODAY(),"DUE","in "&amp;(J111-TODAY())&amp;IF(J111-TODAY()=1," day"," days"))))</f>
        <v>NEW</v>
      </c>
    </row>
    <row r="112" spans="1:11" ht="19.75" customHeight="1">
      <c r="A112" s="11">
        <v>108</v>
      </c>
      <c r="B112" s="11" t="s">
        <v>684</v>
      </c>
      <c r="C112" s="8" t="s">
        <v>703</v>
      </c>
      <c r="D112" s="8" t="s">
        <v>731</v>
      </c>
      <c r="E112" s="12"/>
      <c r="F112" s="13" cm="1" t="str">
        <f t="array" ref="F112">IFERROR(_xlfn.LET(_xlpm.a,Deck!$E$112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$109:$E$109),"✔ CLEAR","✘ TRY AGAIN"))),"✘ TRY AGAIN")</f>
        <v/>
      </c>
      <c r="G112" s="9" cm="1" t="str">
        <f t="array" ref="G112">IF(F112="","",IF(LEFT(F112,1)="✔",MIN(IF(H112="",1,H112)+1,5),1))</f>
        <v/>
      </c>
      <c r="H112" s="14"/>
      <c r="I112" s="15"/>
      <c r="J112" s="16" cm="1" t="str">
        <f t="array" ref="J112">IF(OR(H112="",I112=""),"",IFERROR(I112+CHOOSE(H112,1,3,7,14,30),""))</f>
        <v/>
      </c>
      <c r="K112" s="9" cm="1" t="str">
        <f t="array" ref="K112">IF(H112="","NEW",IF(J112="","DUE",IF(J112&lt;=TODAY(),"DUE","in "&amp;(J112-TODAY())&amp;IF(J112-TODAY()=1," day"," days"))))</f>
        <v>NEW</v>
      </c>
    </row>
    <row r="113" spans="1:11" ht="19.75" customHeight="1">
      <c r="A113" s="11">
        <v>109</v>
      </c>
      <c r="B113" s="11" t="s">
        <v>684</v>
      </c>
      <c r="C113" s="8" t="s">
        <v>703</v>
      </c>
      <c r="D113" s="8" t="s">
        <v>735</v>
      </c>
      <c r="E113" s="12"/>
      <c r="F113" s="13" cm="1" t="str">
        <f t="array" ref="F113">IFERROR(_xlfn.LET(_xlpm.a,Deck!$E$113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$110:$E$110),"✔ CLEAR","✘ TRY AGAIN"))),"✘ TRY AGAIN")</f>
        <v/>
      </c>
      <c r="G113" s="9" cm="1" t="str">
        <f t="array" ref="G113">IF(F113="","",IF(LEFT(F113,1)="✔",MIN(IF(H113="",1,H113)+1,5),1))</f>
        <v/>
      </c>
      <c r="H113" s="14"/>
      <c r="I113" s="15"/>
      <c r="J113" s="16" cm="1" t="str">
        <f t="array" ref="J113">IF(OR(H113="",I113=""),"",IFERROR(I113+CHOOSE(H113,1,3,7,14,30),""))</f>
        <v/>
      </c>
      <c r="K113" s="9" cm="1" t="str">
        <f t="array" ref="K113">IF(H113="","NEW",IF(J113="","DUE",IF(J113&lt;=TODAY(),"DUE","in "&amp;(J113-TODAY())&amp;IF(J113-TODAY()=1," day"," days"))))</f>
        <v>NEW</v>
      </c>
    </row>
    <row r="114" spans="1:11" ht="19.75" customHeight="1">
      <c r="A114" s="11">
        <v>110</v>
      </c>
      <c r="B114" s="11" t="s">
        <v>684</v>
      </c>
      <c r="C114" s="8" t="s">
        <v>703</v>
      </c>
      <c r="D114" s="8" t="s">
        <v>739</v>
      </c>
      <c r="E114" s="12"/>
      <c r="F114" s="13" cm="1" t="str">
        <f t="array" ref="F114">IFERROR(_xlfn.LET(_xlpm.a,Deck!$E$114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$111:$E$111),"✔ CLEAR","✘ TRY AGAIN"))),"✘ TRY AGAIN")</f>
        <v/>
      </c>
      <c r="G114" s="9" cm="1" t="str">
        <f t="array" ref="G114">IF(F114="","",IF(LEFT(F114,1)="✔",MIN(IF(H114="",1,H114)+1,5),1))</f>
        <v/>
      </c>
      <c r="H114" s="14"/>
      <c r="I114" s="15"/>
      <c r="J114" s="16" cm="1" t="str">
        <f t="array" ref="J114">IF(OR(H114="",I114=""),"",IFERROR(I114+CHOOSE(H114,1,3,7,14,30),""))</f>
        <v/>
      </c>
      <c r="K114" s="9" cm="1" t="str">
        <f t="array" ref="K114">IF(H114="","NEW",IF(J114="","DUE",IF(J114&lt;=TODAY(),"DUE","in "&amp;(J114-TODAY())&amp;IF(J114-TODAY()=1," day"," days"))))</f>
        <v>NEW</v>
      </c>
    </row>
    <row r="115" spans="1:11" ht="19.75" customHeight="1">
      <c r="A115" s="11">
        <v>111</v>
      </c>
      <c r="B115" s="11" t="s">
        <v>684</v>
      </c>
      <c r="C115" s="8" t="s">
        <v>703</v>
      </c>
      <c r="D115" s="8" t="s">
        <v>743</v>
      </c>
      <c r="E115" s="12"/>
      <c r="F115" s="13" cm="1" t="str">
        <f t="array" ref="F115">IFERROR(_xlfn.LET(_xlpm.a,Deck!$E$115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$112:$E$112),"✔ CLEAR","✘ TRY AGAIN"))),"✘ TRY AGAIN")</f>
        <v/>
      </c>
      <c r="G115" s="9" cm="1" t="str">
        <f t="array" ref="G115">IF(F115="","",IF(LEFT(F115,1)="✔",MIN(IF(H115="",1,H115)+1,5),1))</f>
        <v/>
      </c>
      <c r="H115" s="14"/>
      <c r="I115" s="15"/>
      <c r="J115" s="16" cm="1" t="str">
        <f t="array" ref="J115">IF(OR(H115="",I115=""),"",IFERROR(I115+CHOOSE(H115,1,3,7,14,30),""))</f>
        <v/>
      </c>
      <c r="K115" s="9" cm="1" t="str">
        <f t="array" ref="K115">IF(H115="","NEW",IF(J115="","DUE",IF(J115&lt;=TODAY(),"DUE","in "&amp;(J115-TODAY())&amp;IF(J115-TODAY()=1," day"," days"))))</f>
        <v>NEW</v>
      </c>
    </row>
    <row r="116" spans="1:11" ht="19.75" customHeight="1">
      <c r="A116" s="11">
        <v>112</v>
      </c>
      <c r="B116" s="11" t="s">
        <v>684</v>
      </c>
      <c r="C116" s="8" t="s">
        <v>703</v>
      </c>
      <c r="D116" s="8" t="s">
        <v>747</v>
      </c>
      <c r="E116" s="12"/>
      <c r="F116" s="13" cm="1" t="str">
        <f t="array" ref="F116">IFERROR(_xlfn.LET(_xlpm.a,Deck!$E$116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$113:$E$113),"✔ CLEAR","✘ TRY AGAIN"))),"✘ TRY AGAIN")</f>
        <v/>
      </c>
      <c r="G116" s="9" cm="1" t="str">
        <f t="array" ref="G116">IF(F116="","",IF(LEFT(F116,1)="✔",MIN(IF(H116="",1,H116)+1,5),1))</f>
        <v/>
      </c>
      <c r="H116" s="14"/>
      <c r="I116" s="15"/>
      <c r="J116" s="16" cm="1" t="str">
        <f t="array" ref="J116">IF(OR(H116="",I116=""),"",IFERROR(I116+CHOOSE(H116,1,3,7,14,30),""))</f>
        <v/>
      </c>
      <c r="K116" s="9" cm="1" t="str">
        <f t="array" ref="K116">IF(H116="","NEW",IF(J116="","DUE",IF(J116&lt;=TODAY(),"DUE","in "&amp;(J116-TODAY())&amp;IF(J116-TODAY()=1," day"," days"))))</f>
        <v>NEW</v>
      </c>
    </row>
    <row r="117" spans="1:11" ht="19.75" customHeight="1">
      <c r="A117" s="11">
        <v>113</v>
      </c>
      <c r="B117" s="11" t="s">
        <v>684</v>
      </c>
      <c r="C117" s="8" t="s">
        <v>751</v>
      </c>
      <c r="D117" s="8" t="s">
        <v>752</v>
      </c>
      <c r="E117" s="12"/>
      <c r="F117" s="13" cm="1" t="str">
        <f t="array" ref="F117">IFERROR(_xlfn.LET(_xlpm.a,Deck!$E$117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$114:$E$114),"✔ CLEAR","✘ TRY AGAIN"))),"✘ TRY AGAIN")</f>
        <v/>
      </c>
      <c r="G117" s="9" cm="1" t="str">
        <f t="array" ref="G117">IF(F117="","",IF(LEFT(F117,1)="✔",MIN(IF(H117="",1,H117)+1,5),1))</f>
        <v/>
      </c>
      <c r="H117" s="14"/>
      <c r="I117" s="15"/>
      <c r="J117" s="16" cm="1" t="str">
        <f t="array" ref="J117">IF(OR(H117="",I117=""),"",IFERROR(I117+CHOOSE(H117,1,3,7,14,30),""))</f>
        <v/>
      </c>
      <c r="K117" s="9" cm="1" t="str">
        <f t="array" ref="K117">IF(H117="","NEW",IF(J117="","DUE",IF(J117&lt;=TODAY(),"DUE","in "&amp;(J117-TODAY())&amp;IF(J117-TODAY()=1," day"," days"))))</f>
        <v>NEW</v>
      </c>
    </row>
    <row r="118" spans="1:11" ht="35.5" customHeight="1">
      <c r="A118" s="11">
        <v>114</v>
      </c>
      <c r="B118" s="11" t="s">
        <v>684</v>
      </c>
      <c r="C118" s="8" t="s">
        <v>751</v>
      </c>
      <c r="D118" s="8" t="s">
        <v>756</v>
      </c>
      <c r="E118" s="12"/>
      <c r="F118" s="13" cm="1" t="str">
        <f t="array" ref="F118">IFERROR(_xlfn.LET(_xlpm.a,Deck!$E$118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$115:$E$115),"✔ CLEAR","✘ TRY AGAIN"))),"✘ TRY AGAIN")</f>
        <v/>
      </c>
      <c r="G118" s="9" cm="1" t="str">
        <f t="array" ref="G118">IF(F118="","",IF(LEFT(F118,1)="✔",MIN(IF(H118="",1,H118)+1,5),1))</f>
        <v/>
      </c>
      <c r="H118" s="14"/>
      <c r="I118" s="15"/>
      <c r="J118" s="16" cm="1" t="str">
        <f t="array" ref="J118">IF(OR(H118="",I118=""),"",IFERROR(I118+CHOOSE(H118,1,3,7,14,30),""))</f>
        <v/>
      </c>
      <c r="K118" s="9" cm="1" t="str">
        <f t="array" ref="K118">IF(H118="","NEW",IF(J118="","DUE",IF(J118&lt;=TODAY(),"DUE","in "&amp;(J118-TODAY())&amp;IF(J118-TODAY()=1," day"," days"))))</f>
        <v>NEW</v>
      </c>
    </row>
    <row r="119" spans="1:11" ht="19.75" customHeight="1">
      <c r="A119" s="11">
        <v>115</v>
      </c>
      <c r="B119" s="11" t="s">
        <v>684</v>
      </c>
      <c r="C119" s="8" t="s">
        <v>761</v>
      </c>
      <c r="D119" s="8" t="s">
        <v>762</v>
      </c>
      <c r="E119" s="12"/>
      <c r="F119" s="13" cm="1" t="str">
        <f t="array" ref="F119">IFERROR(_xlfn.LET(_xlpm.a,Deck!$E$119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$116:$F$116),"✔ CLEAR","✘ TRY AGAIN"))),"✘ TRY AGAIN")</f>
        <v/>
      </c>
      <c r="G119" s="9" cm="1" t="str">
        <f t="array" ref="G119">IF(F119="","",IF(LEFT(F119,1)="✔",MIN(IF(H119="",1,H119)+1,5),1))</f>
        <v/>
      </c>
      <c r="H119" s="14"/>
      <c r="I119" s="15"/>
      <c r="J119" s="16" cm="1" t="str">
        <f t="array" ref="J119">IF(OR(H119="",I119=""),"",IFERROR(I119+CHOOSE(H119,1,3,7,14,30),""))</f>
        <v/>
      </c>
      <c r="K119" s="9" cm="1" t="str">
        <f t="array" ref="K119">IF(H119="","NEW",IF(J119="","DUE",IF(J119&lt;=TODAY(),"DUE","in "&amp;(J119-TODAY())&amp;IF(J119-TODAY()=1," day"," days"))))</f>
        <v>NEW</v>
      </c>
    </row>
    <row r="120" spans="1:11" ht="35.5" customHeight="1">
      <c r="A120" s="11">
        <v>116</v>
      </c>
      <c r="B120" s="11" t="s">
        <v>684</v>
      </c>
      <c r="C120" s="8" t="s">
        <v>761</v>
      </c>
      <c r="D120" s="8" t="s">
        <v>765</v>
      </c>
      <c r="E120" s="12"/>
      <c r="F120" s="13" cm="1" t="str">
        <f t="array" ref="F120">IFERROR(_xlfn.LET(_xlpm.a,Deck!$E$120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$117:$E$117),"✔ CLEAR","✘ TRY AGAIN"))),"✘ TRY AGAIN")</f>
        <v/>
      </c>
      <c r="G120" s="9" cm="1" t="str">
        <f t="array" ref="G120">IF(F120="","",IF(LEFT(F120,1)="✔",MIN(IF(H120="",1,H120)+1,5),1))</f>
        <v/>
      </c>
      <c r="H120" s="14"/>
      <c r="I120" s="15"/>
      <c r="J120" s="16" cm="1" t="str">
        <f t="array" ref="J120">IF(OR(H120="",I120=""),"",IFERROR(I120+CHOOSE(H120,1,3,7,14,30),""))</f>
        <v/>
      </c>
      <c r="K120" s="9" cm="1" t="str">
        <f t="array" ref="K120">IF(H120="","NEW",IF(J120="","DUE",IF(J120&lt;=TODAY(),"DUE","in "&amp;(J120-TODAY())&amp;IF(J120-TODAY()=1," day"," days"))))</f>
        <v>NEW</v>
      </c>
    </row>
    <row r="121" spans="1:11" ht="19.75" customHeight="1">
      <c r="A121" s="11">
        <v>117</v>
      </c>
      <c r="B121" s="11" t="s">
        <v>684</v>
      </c>
      <c r="C121" s="8" t="s">
        <v>761</v>
      </c>
      <c r="D121" s="8" t="s">
        <v>770</v>
      </c>
      <c r="E121" s="12"/>
      <c r="F121" s="13" cm="1" t="str">
        <f t="array" ref="F121">IFERROR(_xlfn.LET(_xlpm.a,Deck!$E$121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$118:$F$118),"✔ CLEAR","✘ TRY AGAIN"))),"✘ TRY AGAIN")</f>
        <v/>
      </c>
      <c r="G121" s="9" cm="1" t="str">
        <f t="array" ref="G121">IF(F121="","",IF(LEFT(F121,1)="✔",MIN(IF(H121="",1,H121)+1,5),1))</f>
        <v/>
      </c>
      <c r="H121" s="14"/>
      <c r="I121" s="15"/>
      <c r="J121" s="16" cm="1" t="str">
        <f t="array" ref="J121">IF(OR(H121="",I121=""),"",IFERROR(I121+CHOOSE(H121,1,3,7,14,30),""))</f>
        <v/>
      </c>
      <c r="K121" s="9" cm="1" t="str">
        <f t="array" ref="K121">IF(H121="","NEW",IF(J121="","DUE",IF(J121&lt;=TODAY(),"DUE","in "&amp;(J121-TODAY())&amp;IF(J121-TODAY()=1," day"," days"))))</f>
        <v>NEW</v>
      </c>
    </row>
    <row r="122" spans="1:11" ht="19.75" customHeight="1">
      <c r="A122" s="11">
        <v>118</v>
      </c>
      <c r="B122" s="11" t="s">
        <v>684</v>
      </c>
      <c r="C122" s="8" t="s">
        <v>761</v>
      </c>
      <c r="D122" s="8" t="s">
        <v>789</v>
      </c>
      <c r="E122" s="12"/>
      <c r="F122" s="13" cm="1" t="str">
        <f t="array" ref="F122">IFERROR(_xlfn.LET(_xlpm.a,Deck!$E$122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$119:$T$119),"✔ CLEAR","✘ TRY AGAIN"))),"✘ TRY AGAIN")</f>
        <v/>
      </c>
      <c r="G122" s="9" cm="1" t="str">
        <f t="array" ref="G122">IF(F122="","",IF(LEFT(F122,1)="✔",MIN(IF(H122="",1,H122)+1,5),1))</f>
        <v/>
      </c>
      <c r="H122" s="14"/>
      <c r="I122" s="15"/>
      <c r="J122" s="16" cm="1" t="str">
        <f t="array" ref="J122">IF(OR(H122="",I122=""),"",IFERROR(I122+CHOOSE(H122,1,3,7,14,30),""))</f>
        <v/>
      </c>
      <c r="K122" s="9" cm="1" t="str">
        <f t="array" ref="K122">IF(H122="","NEW",IF(J122="","DUE",IF(J122&lt;=TODAY(),"DUE","in "&amp;(J122-TODAY())&amp;IF(J122-TODAY()=1," day"," days"))))</f>
        <v>NEW</v>
      </c>
    </row>
    <row r="123" spans="1:11" ht="19.75" customHeight="1">
      <c r="A123" s="11">
        <v>119</v>
      </c>
      <c r="B123" s="11" t="s">
        <v>684</v>
      </c>
      <c r="C123" s="8" t="s">
        <v>761</v>
      </c>
      <c r="D123" s="8" t="s">
        <v>808</v>
      </c>
      <c r="E123" s="12"/>
      <c r="F123" s="13" cm="1" t="str">
        <f t="array" ref="F123">IFERROR(_xlfn.LET(_xlpm.a,Deck!$E$123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$120:$T$120),"✔ CLEAR","✘ TRY AGAIN"))),"✘ TRY AGAIN")</f>
        <v/>
      </c>
      <c r="G123" s="9" cm="1" t="str">
        <f t="array" ref="G123">IF(F123="","",IF(LEFT(F123,1)="✔",MIN(IF(H123="",1,H123)+1,5),1))</f>
        <v/>
      </c>
      <c r="H123" s="14"/>
      <c r="I123" s="15"/>
      <c r="J123" s="16" cm="1" t="str">
        <f t="array" ref="J123">IF(OR(H123="",I123=""),"",IFERROR(I123+CHOOSE(H123,1,3,7,14,30),""))</f>
        <v/>
      </c>
      <c r="K123" s="9" cm="1" t="str">
        <f t="array" ref="K123">IF(H123="","NEW",IF(J123="","DUE",IF(J123&lt;=TODAY(),"DUE","in "&amp;(J123-TODAY())&amp;IF(J123-TODAY()=1," day"," days"))))</f>
        <v>NEW</v>
      </c>
    </row>
    <row r="124" spans="1:11" ht="35.5" customHeight="1">
      <c r="A124" s="11">
        <v>120</v>
      </c>
      <c r="B124" s="11" t="s">
        <v>684</v>
      </c>
      <c r="C124" s="8" t="s">
        <v>761</v>
      </c>
      <c r="D124" s="8" t="s">
        <v>812</v>
      </c>
      <c r="E124" s="12"/>
      <c r="F124" s="13" cm="1" t="str">
        <f t="array" ref="F124">IFERROR(_xlfn.LET(_xlpm.a,Deck!$E$124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$121:$E$121),"✔ CLEAR","✘ TRY AGAIN"))),"✘ TRY AGAIN")</f>
        <v/>
      </c>
      <c r="G124" s="9" cm="1" t="str">
        <f t="array" ref="G124">IF(F124="","",IF(LEFT(F124,1)="✔",MIN(IF(H124="",1,H124)+1,5),1))</f>
        <v/>
      </c>
      <c r="H124" s="14"/>
      <c r="I124" s="15"/>
      <c r="J124" s="16" cm="1" t="str">
        <f t="array" ref="J124">IF(OR(H124="",I124=""),"",IFERROR(I124+CHOOSE(H124,1,3,7,14,30),""))</f>
        <v/>
      </c>
      <c r="K124" s="9" cm="1" t="str">
        <f t="array" ref="K124">IF(H124="","NEW",IF(J124="","DUE",IF(J124&lt;=TODAY(),"DUE","in "&amp;(J124-TODAY())&amp;IF(J124-TODAY()=1," day"," days"))))</f>
        <v>NEW</v>
      </c>
    </row>
    <row r="125" spans="1:11" ht="51.25" customHeight="1">
      <c r="A125" s="11">
        <v>121</v>
      </c>
      <c r="B125" s="11" t="s">
        <v>203</v>
      </c>
      <c r="C125" s="8" t="s">
        <v>821</v>
      </c>
      <c r="D125" s="8" t="s">
        <v>822</v>
      </c>
      <c r="E125" s="12"/>
      <c r="F125" s="13" cm="1" t="str">
        <f t="array" ref="F125">IFERROR(_xlfn.LET(_xlpm.a,Deck!$E$125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$122:$J$122),"✔ CLEAR","✘ TRY AGAIN"))),"✘ TRY AGAIN")</f>
        <v/>
      </c>
      <c r="G125" s="9" cm="1" t="str">
        <f t="array" ref="G125">IF(F125="","",IF(LEFT(F125,1)="✔",MIN(IF(H125="",1,H125)+1,5),1))</f>
        <v/>
      </c>
      <c r="H125" s="14"/>
      <c r="I125" s="15"/>
      <c r="J125" s="16" cm="1" t="str">
        <f t="array" ref="J125">IF(OR(H125="",I125=""),"",IFERROR(I125+CHOOSE(H125,1,3,7,14,30),""))</f>
        <v/>
      </c>
      <c r="K125" s="9" cm="1" t="str">
        <f t="array" ref="K125">IF(H125="","NEW",IF(J125="","DUE",IF(J125&lt;=TODAY(),"DUE","in "&amp;(J125-TODAY())&amp;IF(J125-TODAY()=1," day"," days"))))</f>
        <v>NEW</v>
      </c>
    </row>
    <row r="126" spans="1:11" ht="35.5" customHeight="1">
      <c r="A126" s="11">
        <v>122</v>
      </c>
      <c r="B126" s="11" t="s">
        <v>203</v>
      </c>
      <c r="C126" s="8" t="s">
        <v>821</v>
      </c>
      <c r="D126" s="8" t="s">
        <v>828</v>
      </c>
      <c r="E126" s="12"/>
      <c r="F126" s="13" cm="1" t="str">
        <f t="array" ref="F126">IFERROR(_xlfn.LET(_xlpm.a,Deck!$E$126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$123:$G$123),"✔ CLEAR","✘ TRY AGAIN"))),"✘ TRY AGAIN")</f>
        <v/>
      </c>
      <c r="G126" s="9" cm="1" t="str">
        <f t="array" ref="G126">IF(F126="","",IF(LEFT(F126,1)="✔",MIN(IF(H126="",1,H126)+1,5),1))</f>
        <v/>
      </c>
      <c r="H126" s="14"/>
      <c r="I126" s="15"/>
      <c r="J126" s="16" cm="1" t="str">
        <f t="array" ref="J126">IF(OR(H126="",I126=""),"",IFERROR(I126+CHOOSE(H126,1,3,7,14,30),""))</f>
        <v/>
      </c>
      <c r="K126" s="9" cm="1" t="str">
        <f t="array" ref="K126">IF(H126="","NEW",IF(J126="","DUE",IF(J126&lt;=TODAY(),"DUE","in "&amp;(J126-TODAY())&amp;IF(J126-TODAY()=1," day"," days"))))</f>
        <v>NEW</v>
      </c>
    </row>
    <row r="127" spans="1:11" ht="35.5" customHeight="1">
      <c r="A127" s="11">
        <v>123</v>
      </c>
      <c r="B127" s="11" t="s">
        <v>203</v>
      </c>
      <c r="C127" s="8" t="s">
        <v>835</v>
      </c>
      <c r="D127" s="8" t="s">
        <v>836</v>
      </c>
      <c r="E127" s="12"/>
      <c r="F127" s="13" cm="1" t="str">
        <f t="array" ref="F127">IFERROR(_xlfn.LET(_xlpm.a,Deck!$E$127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$124:$H$124),"✔ CLEAR","✘ TRY AGAIN"))),"✘ TRY AGAIN")</f>
        <v/>
      </c>
      <c r="G127" s="9" cm="1" t="str">
        <f t="array" ref="G127">IF(F127="","",IF(LEFT(F127,1)="✔",MIN(IF(H127="",1,H127)+1,5),1))</f>
        <v/>
      </c>
      <c r="H127" s="14"/>
      <c r="I127" s="15"/>
      <c r="J127" s="16" cm="1" t="str">
        <f t="array" ref="J127">IF(OR(H127="",I127=""),"",IFERROR(I127+CHOOSE(H127,1,3,7,14,30),""))</f>
        <v/>
      </c>
      <c r="K127" s="9" cm="1" t="str">
        <f t="array" ref="K127">IF(H127="","NEW",IF(J127="","DUE",IF(J127&lt;=TODAY(),"DUE","in "&amp;(J127-TODAY())&amp;IF(J127-TODAY()=1," day"," days"))))</f>
        <v>NEW</v>
      </c>
    </row>
    <row r="128" spans="1:11" ht="35.5" customHeight="1">
      <c r="A128" s="11">
        <v>124</v>
      </c>
      <c r="B128" s="11" t="s">
        <v>203</v>
      </c>
      <c r="C128" s="8" t="s">
        <v>835</v>
      </c>
      <c r="D128" s="8" t="s">
        <v>839</v>
      </c>
      <c r="E128" s="12"/>
      <c r="F128" s="13" cm="1" t="str">
        <f t="array" ref="F128">IFERROR(_xlfn.LET(_xlpm.a,Deck!$E$128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$125:$F$125),"✔ CLEAR","✘ TRY AGAIN"))),"✘ TRY AGAIN")</f>
        <v/>
      </c>
      <c r="G128" s="9" cm="1" t="str">
        <f t="array" ref="G128">IF(F128="","",IF(LEFT(F128,1)="✔",MIN(IF(H128="",1,H128)+1,5),1))</f>
        <v/>
      </c>
      <c r="H128" s="14"/>
      <c r="I128" s="15"/>
      <c r="J128" s="16" cm="1" t="str">
        <f t="array" ref="J128">IF(OR(H128="",I128=""),"",IFERROR(I128+CHOOSE(H128,1,3,7,14,30),""))</f>
        <v/>
      </c>
      <c r="K128" s="9" cm="1" t="str">
        <f t="array" ref="K128">IF(H128="","NEW",IF(J128="","DUE",IF(J128&lt;=TODAY(),"DUE","in "&amp;(J128-TODAY())&amp;IF(J128-TODAY()=1," day"," days"))))</f>
        <v>NEW</v>
      </c>
    </row>
    <row r="129" spans="1:11" ht="51.25" customHeight="1">
      <c r="A129" s="11">
        <v>125</v>
      </c>
      <c r="B129" s="11" t="s">
        <v>203</v>
      </c>
      <c r="C129" s="8" t="s">
        <v>848</v>
      </c>
      <c r="D129" s="8" t="s">
        <v>849</v>
      </c>
      <c r="E129" s="12"/>
      <c r="F129" s="13" cm="1" t="str">
        <f t="array" ref="F129">IFERROR(_xlfn.LET(_xlpm.a,Deck!$E$129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$126:$J$126),"✔ CLEAR","✘ TRY AGAIN"))),"✘ TRY AGAIN")</f>
        <v/>
      </c>
      <c r="G129" s="9" cm="1" t="str">
        <f t="array" ref="G129">IF(F129="","",IF(LEFT(F129,1)="✔",MIN(IF(H129="",1,H129)+1,5),1))</f>
        <v/>
      </c>
      <c r="H129" s="14"/>
      <c r="I129" s="15"/>
      <c r="J129" s="16" cm="1" t="str">
        <f t="array" ref="J129">IF(OR(H129="",I129=""),"",IFERROR(I129+CHOOSE(H129,1,3,7,14,30),""))</f>
        <v/>
      </c>
      <c r="K129" s="9" cm="1" t="str">
        <f t="array" ref="K129">IF(H129="","NEW",IF(J129="","DUE",IF(J129&lt;=TODAY(),"DUE","in "&amp;(J129-TODAY())&amp;IF(J129-TODAY()=1," day"," days"))))</f>
        <v>NEW</v>
      </c>
    </row>
    <row r="130" spans="1:11" ht="35.5" customHeight="1">
      <c r="A130" s="11">
        <v>126</v>
      </c>
      <c r="B130" s="11" t="s">
        <v>203</v>
      </c>
      <c r="C130" s="8" t="s">
        <v>848</v>
      </c>
      <c r="D130" s="8" t="s">
        <v>854</v>
      </c>
      <c r="E130" s="12"/>
      <c r="F130" s="13" cm="1" t="str">
        <f t="array" ref="F130">IFERROR(_xlfn.LET(_xlpm.a,Deck!$E$130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$127:$F$127),"✔ CLEAR","✘ TRY AGAIN"))),"✘ TRY AGAIN")</f>
        <v/>
      </c>
      <c r="G130" s="9" cm="1" t="str">
        <f t="array" ref="G130">IF(F130="","",IF(LEFT(F130,1)="✔",MIN(IF(H130="",1,H130)+1,5),1))</f>
        <v/>
      </c>
      <c r="H130" s="14"/>
      <c r="I130" s="15"/>
      <c r="J130" s="16" cm="1" t="str">
        <f t="array" ref="J130">IF(OR(H130="",I130=""),"",IFERROR(I130+CHOOSE(H130,1,3,7,14,30),""))</f>
        <v/>
      </c>
      <c r="K130" s="9" cm="1" t="str">
        <f t="array" ref="K130">IF(H130="","NEW",IF(J130="","DUE",IF(J130&lt;=TODAY(),"DUE","in "&amp;(J130-TODAY())&amp;IF(J130-TODAY()=1," day"," days"))))</f>
        <v>NEW</v>
      </c>
    </row>
    <row r="131" spans="1:11" ht="35.5" customHeight="1">
      <c r="A131" s="11">
        <v>127</v>
      </c>
      <c r="B131" s="11" t="s">
        <v>203</v>
      </c>
      <c r="C131" s="8" t="s">
        <v>863</v>
      </c>
      <c r="D131" s="8" t="s">
        <v>864</v>
      </c>
      <c r="E131" s="12"/>
      <c r="F131" s="13" cm="1" t="str">
        <f t="array" ref="F131">IFERROR(_xlfn.LET(_xlpm.a,Deck!$E$131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$128:$J$128),"✔ CLEAR","✘ TRY AGAIN"))),"✘ TRY AGAIN")</f>
        <v/>
      </c>
      <c r="G131" s="9" cm="1" t="str">
        <f t="array" ref="G131">IF(F131="","",IF(LEFT(F131,1)="✔",MIN(IF(H131="",1,H131)+1,5),1))</f>
        <v/>
      </c>
      <c r="H131" s="14"/>
      <c r="I131" s="15"/>
      <c r="J131" s="16" cm="1" t="str">
        <f t="array" ref="J131">IF(OR(H131="",I131=""),"",IFERROR(I131+CHOOSE(H131,1,3,7,14,30),""))</f>
        <v/>
      </c>
      <c r="K131" s="9" cm="1" t="str">
        <f t="array" ref="K131">IF(H131="","NEW",IF(J131="","DUE",IF(J131&lt;=TODAY(),"DUE","in "&amp;(J131-TODAY())&amp;IF(J131-TODAY()=1," day"," days"))))</f>
        <v>NEW</v>
      </c>
    </row>
    <row r="132" spans="1:11" ht="35.5" customHeight="1">
      <c r="A132" s="11">
        <v>128</v>
      </c>
      <c r="B132" s="11" t="s">
        <v>203</v>
      </c>
      <c r="C132" s="8" t="s">
        <v>863</v>
      </c>
      <c r="D132" s="8" t="s">
        <v>873</v>
      </c>
      <c r="E132" s="12"/>
      <c r="F132" s="13" cm="1" t="str">
        <f t="array" ref="F132">IFERROR(_xlfn.LET(_xlpm.a,Deck!$E$132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$129:$J$129),"✔ CLEAR","✘ TRY AGAIN"))),"✘ TRY AGAIN")</f>
        <v/>
      </c>
      <c r="G132" s="9" cm="1" t="str">
        <f t="array" ref="G132">IF(F132="","",IF(LEFT(F132,1)="✔",MIN(IF(H132="",1,H132)+1,5),1))</f>
        <v/>
      </c>
      <c r="H132" s="14"/>
      <c r="I132" s="15"/>
      <c r="J132" s="16" cm="1" t="str">
        <f t="array" ref="J132">IF(OR(H132="",I132=""),"",IFERROR(I132+CHOOSE(H132,1,3,7,14,30),""))</f>
        <v/>
      </c>
      <c r="K132" s="9" cm="1" t="str">
        <f t="array" ref="K132">IF(H132="","NEW",IF(J132="","DUE",IF(J132&lt;=TODAY(),"DUE","in "&amp;(J132-TODAY())&amp;IF(J132-TODAY()=1," day"," days"))))</f>
        <v>NEW</v>
      </c>
    </row>
    <row r="133" spans="1:11" ht="35.5" customHeight="1">
      <c r="A133" s="11">
        <v>129</v>
      </c>
      <c r="B133" s="11" t="s">
        <v>203</v>
      </c>
      <c r="C133" s="8" t="s">
        <v>863</v>
      </c>
      <c r="D133" s="8" t="s">
        <v>876</v>
      </c>
      <c r="E133" s="12"/>
      <c r="F133" s="13" cm="1" t="str">
        <f t="array" ref="F133">IFERROR(_xlfn.LET(_xlpm.a,Deck!$E$133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$130:$E$130),"✔ CLEAR","✘ TRY AGAIN"))),"✘ TRY AGAIN")</f>
        <v/>
      </c>
      <c r="G133" s="9" cm="1" t="str">
        <f t="array" ref="G133">IF(F133="","",IF(LEFT(F133,1)="✔",MIN(IF(H133="",1,H133)+1,5),1))</f>
        <v/>
      </c>
      <c r="H133" s="14"/>
      <c r="I133" s="15"/>
      <c r="J133" s="16" cm="1" t="str">
        <f t="array" ref="J133">IF(OR(H133="",I133=""),"",IFERROR(I133+CHOOSE(H133,1,3,7,14,30),""))</f>
        <v/>
      </c>
      <c r="K133" s="9" cm="1" t="str">
        <f t="array" ref="K133">IF(H133="","NEW",IF(J133="","DUE",IF(J133&lt;=TODAY(),"DUE","in "&amp;(J133-TODAY())&amp;IF(J133-TODAY()=1," day"," days"))))</f>
        <v>NEW</v>
      </c>
    </row>
    <row r="134" spans="1:11" ht="35.5" customHeight="1">
      <c r="A134" s="11">
        <v>130</v>
      </c>
      <c r="B134" s="11" t="s">
        <v>203</v>
      </c>
      <c r="C134" s="8" t="s">
        <v>863</v>
      </c>
      <c r="D134" s="8" t="s">
        <v>885</v>
      </c>
      <c r="E134" s="12"/>
      <c r="F134" s="13" cm="1" t="str">
        <f t="array" ref="F134">IFERROR(_xlfn.LET(_xlpm.a,Deck!$E$134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$131:$J$131),"✔ CLEAR","✘ TRY AGAIN"))),"✘ TRY AGAIN")</f>
        <v/>
      </c>
      <c r="G134" s="9" cm="1" t="str">
        <f t="array" ref="G134">IF(F134="","",IF(LEFT(F134,1)="✔",MIN(IF(H134="",1,H134)+1,5),1))</f>
        <v/>
      </c>
      <c r="H134" s="14"/>
      <c r="I134" s="15"/>
      <c r="J134" s="16" cm="1" t="str">
        <f t="array" ref="J134">IF(OR(H134="",I134=""),"",IFERROR(I134+CHOOSE(H134,1,3,7,14,30),""))</f>
        <v/>
      </c>
      <c r="K134" s="9" cm="1" t="str">
        <f t="array" ref="K134">IF(H134="","NEW",IF(J134="","DUE",IF(J134&lt;=TODAY(),"DUE","in "&amp;(J134-TODAY())&amp;IF(J134-TODAY()=1," day"," days"))))</f>
        <v>NEW</v>
      </c>
    </row>
    <row r="135" spans="1:11" ht="35.5" customHeight="1">
      <c r="A135" s="11">
        <v>131</v>
      </c>
      <c r="B135" s="11" t="s">
        <v>203</v>
      </c>
      <c r="C135" s="8" t="s">
        <v>889</v>
      </c>
      <c r="D135" s="8" t="s">
        <v>890</v>
      </c>
      <c r="E135" s="12"/>
      <c r="F135" s="13" cm="1" t="str">
        <f t="array" ref="F135">IFERROR(_xlfn.LET(_xlpm.a,Deck!$E$135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$132:$E$132),"✔ CLEAR","✘ TRY AGAIN"))),"✘ TRY AGAIN")</f>
        <v/>
      </c>
      <c r="G135" s="9" cm="1" t="str">
        <f t="array" ref="G135">IF(F135="","",IF(LEFT(F135,1)="✔",MIN(IF(H135="",1,H135)+1,5),1))</f>
        <v/>
      </c>
      <c r="H135" s="14"/>
      <c r="I135" s="15"/>
      <c r="J135" s="16" cm="1" t="str">
        <f t="array" ref="J135">IF(OR(H135="",I135=""),"",IFERROR(I135+CHOOSE(H135,1,3,7,14,30),""))</f>
        <v/>
      </c>
      <c r="K135" s="9" cm="1" t="str">
        <f t="array" ref="K135">IF(H135="","NEW",IF(J135="","DUE",IF(J135&lt;=TODAY(),"DUE","in "&amp;(J135-TODAY())&amp;IF(J135-TODAY()=1," day"," days"))))</f>
        <v>NEW</v>
      </c>
    </row>
    <row r="136" spans="1:11" ht="35.5" customHeight="1">
      <c r="A136" s="11">
        <v>132</v>
      </c>
      <c r="B136" s="11" t="s">
        <v>203</v>
      </c>
      <c r="C136" s="8" t="s">
        <v>889</v>
      </c>
      <c r="D136" s="8" t="s">
        <v>897</v>
      </c>
      <c r="E136" s="12"/>
      <c r="F136" s="13" cm="1" t="str">
        <f t="array" ref="F136">IFERROR(_xlfn.LET(_xlpm.a,Deck!$E$136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$133:$H$133),"✔ CLEAR","✘ TRY AGAIN"))),"✘ TRY AGAIN")</f>
        <v/>
      </c>
      <c r="G136" s="9" cm="1" t="str">
        <f t="array" ref="G136">IF(F136="","",IF(LEFT(F136,1)="✔",MIN(IF(H136="",1,H136)+1,5),1))</f>
        <v/>
      </c>
      <c r="H136" s="14"/>
      <c r="I136" s="15"/>
      <c r="J136" s="16" cm="1" t="str">
        <f t="array" ref="J136">IF(OR(H136="",I136=""),"",IFERROR(I136+CHOOSE(H136,1,3,7,14,30),""))</f>
        <v/>
      </c>
      <c r="K136" s="9" cm="1" t="str">
        <f t="array" ref="K136">IF(H136="","NEW",IF(J136="","DUE",IF(J136&lt;=TODAY(),"DUE","in "&amp;(J136-TODAY())&amp;IF(J136-TODAY()=1," day"," days"))))</f>
        <v>NEW</v>
      </c>
    </row>
    <row r="137" spans="1:11" ht="35.5" customHeight="1">
      <c r="A137" s="11">
        <v>133</v>
      </c>
      <c r="B137" s="11" t="s">
        <v>42</v>
      </c>
      <c r="C137" s="8" t="s">
        <v>906</v>
      </c>
      <c r="D137" s="8" t="s">
        <v>907</v>
      </c>
      <c r="E137" s="12"/>
      <c r="F137" s="13" cm="1" t="str">
        <f t="array" ref="F137">IFERROR(_xlfn.LET(_xlpm.a,Deck!$E$137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$134:$J$134),"✔ CLEAR","✘ TRY AGAIN"))),"✘ TRY AGAIN")</f>
        <v/>
      </c>
      <c r="G137" s="9" cm="1" t="str">
        <f t="array" ref="G137">IF(F137="","",IF(LEFT(F137,1)="✔",MIN(IF(H137="",1,H137)+1,5),1))</f>
        <v/>
      </c>
      <c r="H137" s="14"/>
      <c r="I137" s="15"/>
      <c r="J137" s="16" cm="1" t="str">
        <f t="array" ref="J137">IF(OR(H137="",I137=""),"",IFERROR(I137+CHOOSE(H137,1,3,7,14,30),""))</f>
        <v/>
      </c>
      <c r="K137" s="9" cm="1" t="str">
        <f t="array" ref="K137">IF(H137="","NEW",IF(J137="","DUE",IF(J137&lt;=TODAY(),"DUE","in "&amp;(J137-TODAY())&amp;IF(J137-TODAY()=1," day"," days"))))</f>
        <v>NEW</v>
      </c>
    </row>
    <row r="138" spans="1:11" ht="35.5" customHeight="1">
      <c r="A138" s="11">
        <v>134</v>
      </c>
      <c r="B138" s="11" t="s">
        <v>42</v>
      </c>
      <c r="C138" s="8" t="s">
        <v>906</v>
      </c>
      <c r="D138" s="8" t="s">
        <v>916</v>
      </c>
      <c r="E138" s="12"/>
      <c r="F138" s="13" cm="1" t="str">
        <f t="array" ref="F138">IFERROR(_xlfn.LET(_xlpm.a,Deck!$E$138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$135:$J$135),"✔ CLEAR","✘ TRY AGAIN"))),"✘ TRY AGAIN")</f>
        <v/>
      </c>
      <c r="G138" s="9" cm="1" t="str">
        <f t="array" ref="G138">IF(F138="","",IF(LEFT(F138,1)="✔",MIN(IF(H138="",1,H138)+1,5),1))</f>
        <v/>
      </c>
      <c r="H138" s="14"/>
      <c r="I138" s="15"/>
      <c r="J138" s="16" cm="1" t="str">
        <f t="array" ref="J138">IF(OR(H138="",I138=""),"",IFERROR(I138+CHOOSE(H138,1,3,7,14,30),""))</f>
        <v/>
      </c>
      <c r="K138" s="9" cm="1" t="str">
        <f t="array" ref="K138">IF(H138="","NEW",IF(J138="","DUE",IF(J138&lt;=TODAY(),"DUE","in "&amp;(J138-TODAY())&amp;IF(J138-TODAY()=1," day"," days"))))</f>
        <v>NEW</v>
      </c>
    </row>
    <row r="139" spans="1:11" ht="35.5" customHeight="1">
      <c r="A139" s="11">
        <v>135</v>
      </c>
      <c r="B139" s="11" t="s">
        <v>42</v>
      </c>
      <c r="C139" s="8" t="s">
        <v>906</v>
      </c>
      <c r="D139" s="8" t="s">
        <v>925</v>
      </c>
      <c r="E139" s="12"/>
      <c r="F139" s="13" cm="1" t="str">
        <f t="array" ref="F139">IFERROR(_xlfn.LET(_xlpm.a,Deck!$E$139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$136:$J$136),"✔ CLEAR","✘ TRY AGAIN"))),"✘ TRY AGAIN")</f>
        <v/>
      </c>
      <c r="G139" s="9" cm="1" t="str">
        <f t="array" ref="G139">IF(F139="","",IF(LEFT(F139,1)="✔",MIN(IF(H139="",1,H139)+1,5),1))</f>
        <v/>
      </c>
      <c r="H139" s="14"/>
      <c r="I139" s="15"/>
      <c r="J139" s="16" cm="1" t="str">
        <f t="array" ref="J139">IF(OR(H139="",I139=""),"",IFERROR(I139+CHOOSE(H139,1,3,7,14,30),""))</f>
        <v/>
      </c>
      <c r="K139" s="9" cm="1" t="str">
        <f t="array" ref="K139">IF(H139="","NEW",IF(J139="","DUE",IF(J139&lt;=TODAY(),"DUE","in "&amp;(J139-TODAY())&amp;IF(J139-TODAY()=1," day"," days"))))</f>
        <v>NEW</v>
      </c>
    </row>
    <row r="140" spans="1:11" ht="35.5" customHeight="1">
      <c r="A140" s="11">
        <v>136</v>
      </c>
      <c r="B140" s="11" t="s">
        <v>42</v>
      </c>
      <c r="C140" s="8" t="s">
        <v>906</v>
      </c>
      <c r="D140" s="8" t="s">
        <v>934</v>
      </c>
      <c r="E140" s="12"/>
      <c r="F140" s="13" cm="1" t="str">
        <f t="array" ref="F140">IFERROR(_xlfn.LET(_xlpm.a,Deck!$E$140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$137:$J$137),"✔ CLEAR","✘ TRY AGAIN"))),"✘ TRY AGAIN")</f>
        <v/>
      </c>
      <c r="G140" s="9" cm="1" t="str">
        <f t="array" ref="G140">IF(F140="","",IF(LEFT(F140,1)="✔",MIN(IF(H140="",1,H140)+1,5),1))</f>
        <v/>
      </c>
      <c r="H140" s="14"/>
      <c r="I140" s="15"/>
      <c r="J140" s="16" cm="1" t="str">
        <f t="array" ref="J140">IF(OR(H140="",I140=""),"",IFERROR(I140+CHOOSE(H140,1,3,7,14,30),""))</f>
        <v/>
      </c>
      <c r="K140" s="9" cm="1" t="str">
        <f t="array" ref="K140">IF(H140="","NEW",IF(J140="","DUE",IF(J140&lt;=TODAY(),"DUE","in "&amp;(J140-TODAY())&amp;IF(J140-TODAY()=1," day"," days"))))</f>
        <v>NEW</v>
      </c>
    </row>
    <row r="141" spans="1:11" ht="35.5" customHeight="1">
      <c r="A141" s="11">
        <v>137</v>
      </c>
      <c r="B141" s="11" t="s">
        <v>42</v>
      </c>
      <c r="C141" s="8" t="s">
        <v>906</v>
      </c>
      <c r="D141" s="8" t="s">
        <v>936</v>
      </c>
      <c r="E141" s="12"/>
      <c r="F141" s="13" cm="1" t="str">
        <f t="array" ref="F141">IFERROR(_xlfn.LET(_xlpm.a,Deck!$E$141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$138:$F$138),"✔ CLEAR","✘ TRY AGAIN"))),"✘ TRY AGAIN")</f>
        <v/>
      </c>
      <c r="G141" s="9" cm="1" t="str">
        <f t="array" ref="G141">IF(F141="","",IF(LEFT(F141,1)="✔",MIN(IF(H141="",1,H141)+1,5),1))</f>
        <v/>
      </c>
      <c r="H141" s="14"/>
      <c r="I141" s="15"/>
      <c r="J141" s="16" cm="1" t="str">
        <f t="array" ref="J141">IF(OR(H141="",I141=""),"",IFERROR(I141+CHOOSE(H141,1,3,7,14,30),""))</f>
        <v/>
      </c>
      <c r="K141" s="9" cm="1" t="str">
        <f t="array" ref="K141">IF(H141="","NEW",IF(J141="","DUE",IF(J141&lt;=TODAY(),"DUE","in "&amp;(J141-TODAY())&amp;IF(J141-TODAY()=1," day"," days"))))</f>
        <v>NEW</v>
      </c>
    </row>
    <row r="142" spans="1:11" ht="35.5" customHeight="1">
      <c r="A142" s="11">
        <v>138</v>
      </c>
      <c r="B142" s="11" t="s">
        <v>42</v>
      </c>
      <c r="C142" s="8" t="s">
        <v>945</v>
      </c>
      <c r="D142" s="8" t="s">
        <v>946</v>
      </c>
      <c r="E142" s="12"/>
      <c r="F142" s="13" cm="1" t="str">
        <f t="array" ref="F142">IFERROR(_xlfn.LET(_xlpm.a,Deck!$E$142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$139:$J$139),"✔ CLEAR","✘ TRY AGAIN"))),"✘ TRY AGAIN")</f>
        <v/>
      </c>
      <c r="G142" s="9" cm="1" t="str">
        <f t="array" ref="G142">IF(F142="","",IF(LEFT(F142,1)="✔",MIN(IF(H142="",1,H142)+1,5),1))</f>
        <v/>
      </c>
      <c r="H142" s="14"/>
      <c r="I142" s="15"/>
      <c r="J142" s="16" cm="1" t="str">
        <f t="array" ref="J142">IF(OR(H142="",I142=""),"",IFERROR(I142+CHOOSE(H142,1,3,7,14,30),""))</f>
        <v/>
      </c>
      <c r="K142" s="9" cm="1" t="str">
        <f t="array" ref="K142">IF(H142="","NEW",IF(J142="","DUE",IF(J142&lt;=TODAY(),"DUE","in "&amp;(J142-TODAY())&amp;IF(J142-TODAY()=1," day"," days"))))</f>
        <v>NEW</v>
      </c>
    </row>
    <row r="143" spans="1:11" ht="35.5" customHeight="1">
      <c r="A143" s="11">
        <v>139</v>
      </c>
      <c r="B143" s="11" t="s">
        <v>42</v>
      </c>
      <c r="C143" s="8" t="s">
        <v>945</v>
      </c>
      <c r="D143" s="8" t="s">
        <v>955</v>
      </c>
      <c r="E143" s="12"/>
      <c r="F143" s="13" cm="1" t="str">
        <f t="array" ref="F143">IFERROR(_xlfn.LET(_xlpm.a,Deck!$E$143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$140:$J$140),"✔ CLEAR","✘ TRY AGAIN"))),"✘ TRY AGAIN")</f>
        <v/>
      </c>
      <c r="G143" s="9" cm="1" t="str">
        <f t="array" ref="G143">IF(F143="","",IF(LEFT(F143,1)="✔",MIN(IF(H143="",1,H143)+1,5),1))</f>
        <v/>
      </c>
      <c r="H143" s="14"/>
      <c r="I143" s="15"/>
      <c r="J143" s="16" cm="1" t="str">
        <f t="array" ref="J143">IF(OR(H143="",I143=""),"",IFERROR(I143+CHOOSE(H143,1,3,7,14,30),""))</f>
        <v/>
      </c>
      <c r="K143" s="9" cm="1" t="str">
        <f t="array" ref="K143">IF(H143="","NEW",IF(J143="","DUE",IF(J143&lt;=TODAY(),"DUE","in "&amp;(J143-TODAY())&amp;IF(J143-TODAY()=1," day"," days"))))</f>
        <v>NEW</v>
      </c>
    </row>
    <row r="144" spans="1:11" ht="35.5" customHeight="1">
      <c r="A144" s="11">
        <v>140</v>
      </c>
      <c r="B144" s="11" t="s">
        <v>42</v>
      </c>
      <c r="C144" s="8" t="s">
        <v>945</v>
      </c>
      <c r="D144" s="8" t="s">
        <v>964</v>
      </c>
      <c r="E144" s="12"/>
      <c r="F144" s="13" cm="1" t="str">
        <f t="array" ref="F144">IFERROR(_xlfn.LET(_xlpm.a,Deck!$E$144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$141:$J$141),"✔ CLEAR","✘ TRY AGAIN"))),"✘ TRY AGAIN")</f>
        <v/>
      </c>
      <c r="G144" s="9" cm="1" t="str">
        <f t="array" ref="G144">IF(F144="","",IF(LEFT(F144,1)="✔",MIN(IF(H144="",1,H144)+1,5),1))</f>
        <v/>
      </c>
      <c r="H144" s="14"/>
      <c r="I144" s="15"/>
      <c r="J144" s="16" cm="1" t="str">
        <f t="array" ref="J144">IF(OR(H144="",I144=""),"",IFERROR(I144+CHOOSE(H144,1,3,7,14,30),""))</f>
        <v/>
      </c>
      <c r="K144" s="9" cm="1" t="str">
        <f t="array" ref="K144">IF(H144="","NEW",IF(J144="","DUE",IF(J144&lt;=TODAY(),"DUE","in "&amp;(J144-TODAY())&amp;IF(J144-TODAY()=1," day"," days"))))</f>
        <v>NEW</v>
      </c>
    </row>
    <row r="145" spans="1:11" ht="35.5" customHeight="1">
      <c r="A145" s="11">
        <v>141</v>
      </c>
      <c r="B145" s="11" t="s">
        <v>42</v>
      </c>
      <c r="C145" s="8" t="s">
        <v>945</v>
      </c>
      <c r="D145" s="8" t="s">
        <v>973</v>
      </c>
      <c r="E145" s="12"/>
      <c r="F145" s="13" cm="1" t="str">
        <f t="array" ref="F145">IFERROR(_xlfn.LET(_xlpm.a,Deck!$E$145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$142:$J$142),"✔ CLEAR","✘ TRY AGAIN"))),"✘ TRY AGAIN")</f>
        <v/>
      </c>
      <c r="G145" s="9" cm="1" t="str">
        <f t="array" ref="G145">IF(F145="","",IF(LEFT(F145,1)="✔",MIN(IF(H145="",1,H145)+1,5),1))</f>
        <v/>
      </c>
      <c r="H145" s="14"/>
      <c r="I145" s="15"/>
      <c r="J145" s="16" cm="1" t="str">
        <f t="array" ref="J145">IF(OR(H145="",I145=""),"",IFERROR(I145+CHOOSE(H145,1,3,7,14,30),""))</f>
        <v/>
      </c>
      <c r="K145" s="9" cm="1" t="str">
        <f t="array" ref="K145">IF(H145="","NEW",IF(J145="","DUE",IF(J145&lt;=TODAY(),"DUE","in "&amp;(J145-TODAY())&amp;IF(J145-TODAY()=1," day"," days"))))</f>
        <v>NEW</v>
      </c>
    </row>
    <row r="146" spans="1:11" ht="35.5" customHeight="1">
      <c r="A146" s="11">
        <v>142</v>
      </c>
      <c r="B146" s="11" t="s">
        <v>42</v>
      </c>
      <c r="C146" s="8" t="s">
        <v>945</v>
      </c>
      <c r="D146" s="8" t="s">
        <v>982</v>
      </c>
      <c r="E146" s="12"/>
      <c r="F146" s="13" cm="1" t="str">
        <f t="array" ref="F146">IFERROR(_xlfn.LET(_xlpm.a,Deck!$E$146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$143:$J$143),"✔ CLEAR","✘ TRY AGAIN"))),"✘ TRY AGAIN")</f>
        <v/>
      </c>
      <c r="G146" s="9" cm="1" t="str">
        <f t="array" ref="G146">IF(F146="","",IF(LEFT(F146,1)="✔",MIN(IF(H146="",1,H146)+1,5),1))</f>
        <v/>
      </c>
      <c r="H146" s="14"/>
      <c r="I146" s="15"/>
      <c r="J146" s="16" cm="1" t="str">
        <f t="array" ref="J146">IF(OR(H146="",I146=""),"",IFERROR(I146+CHOOSE(H146,1,3,7,14,30),""))</f>
        <v/>
      </c>
      <c r="K146" s="9" cm="1" t="str">
        <f t="array" ref="K146">IF(H146="","NEW",IF(J146="","DUE",IF(J146&lt;=TODAY(),"DUE","in "&amp;(J146-TODAY())&amp;IF(J146-TODAY()=1," day"," days"))))</f>
        <v>NEW</v>
      </c>
    </row>
    <row r="147" spans="1:11" ht="35.5" customHeight="1">
      <c r="A147" s="11">
        <v>143</v>
      </c>
      <c r="B147" s="11" t="s">
        <v>42</v>
      </c>
      <c r="C147" s="8" t="s">
        <v>991</v>
      </c>
      <c r="D147" s="8" t="s">
        <v>992</v>
      </c>
      <c r="E147" s="12"/>
      <c r="F147" s="13" cm="1" t="str">
        <f t="array" ref="F147">IFERROR(_xlfn.LET(_xlpm.a,Deck!$E$147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$144:$J$144),"✔ CLEAR","✘ TRY AGAIN"))),"✘ TRY AGAIN")</f>
        <v/>
      </c>
      <c r="G147" s="9" cm="1" t="str">
        <f t="array" ref="G147">IF(F147="","",IF(LEFT(F147,1)="✔",MIN(IF(H147="",1,H147)+1,5),1))</f>
        <v/>
      </c>
      <c r="H147" s="14"/>
      <c r="I147" s="15"/>
      <c r="J147" s="16" cm="1" t="str">
        <f t="array" ref="J147">IF(OR(H147="",I147=""),"",IFERROR(I147+CHOOSE(H147,1,3,7,14,30),""))</f>
        <v/>
      </c>
      <c r="K147" s="9" cm="1" t="str">
        <f t="array" ref="K147">IF(H147="","NEW",IF(J147="","DUE",IF(J147&lt;=TODAY(),"DUE","in "&amp;(J147-TODAY())&amp;IF(J147-TODAY()=1," day"," days"))))</f>
        <v>NEW</v>
      </c>
    </row>
    <row r="148" spans="1:11" ht="35.5" customHeight="1">
      <c r="A148" s="11">
        <v>144</v>
      </c>
      <c r="B148" s="11" t="s">
        <v>42</v>
      </c>
      <c r="C148" s="8" t="s">
        <v>991</v>
      </c>
      <c r="D148" s="8" t="s">
        <v>1001</v>
      </c>
      <c r="E148" s="12"/>
      <c r="F148" s="13" cm="1" t="str">
        <f t="array" ref="F148">IFERROR(_xlfn.LET(_xlpm.a,Deck!$E$148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$145:$J$145),"✔ CLEAR","✘ TRY AGAIN"))),"✘ TRY AGAIN")</f>
        <v/>
      </c>
      <c r="G148" s="9" cm="1" t="str">
        <f t="array" ref="G148">IF(F148="","",IF(LEFT(F148,1)="✔",MIN(IF(H148="",1,H148)+1,5),1))</f>
        <v/>
      </c>
      <c r="H148" s="14"/>
      <c r="I148" s="15"/>
      <c r="J148" s="16" cm="1" t="str">
        <f t="array" ref="J148">IF(OR(H148="",I148=""),"",IFERROR(I148+CHOOSE(H148,1,3,7,14,30),""))</f>
        <v/>
      </c>
      <c r="K148" s="9" cm="1" t="str">
        <f t="array" ref="K148">IF(H148="","NEW",IF(J148="","DUE",IF(J148&lt;=TODAY(),"DUE","in "&amp;(J148-TODAY())&amp;IF(J148-TODAY()=1," day"," days"))))</f>
        <v>NEW</v>
      </c>
    </row>
    <row r="149" spans="1:11" ht="35.5" customHeight="1">
      <c r="A149" s="11">
        <v>145</v>
      </c>
      <c r="B149" s="11" t="s">
        <v>42</v>
      </c>
      <c r="C149" s="8" t="s">
        <v>991</v>
      </c>
      <c r="D149" s="8" t="s">
        <v>1003</v>
      </c>
      <c r="E149" s="12"/>
      <c r="F149" s="13" cm="1" t="str">
        <f t="array" ref="F149">IFERROR(_xlfn.LET(_xlpm.a,Deck!$E$149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$146:$E$146),"✔ CLEAR","✘ TRY AGAIN"))),"✘ TRY AGAIN")</f>
        <v/>
      </c>
      <c r="G149" s="9" cm="1" t="str">
        <f t="array" ref="G149">IF(F149="","",IF(LEFT(F149,1)="✔",MIN(IF(H149="",1,H149)+1,5),1))</f>
        <v/>
      </c>
      <c r="H149" s="14"/>
      <c r="I149" s="15"/>
      <c r="J149" s="16" cm="1" t="str">
        <f t="array" ref="J149">IF(OR(H149="",I149=""),"",IFERROR(I149+CHOOSE(H149,1,3,7,14,30),""))</f>
        <v/>
      </c>
      <c r="K149" s="9" cm="1" t="str">
        <f t="array" ref="K149">IF(H149="","NEW",IF(J149="","DUE",IF(J149&lt;=TODAY(),"DUE","in "&amp;(J149-TODAY())&amp;IF(J149-TODAY()=1," day"," days"))))</f>
        <v>NEW</v>
      </c>
    </row>
    <row r="150" spans="1:11" ht="35.5" customHeight="1">
      <c r="A150" s="11">
        <v>146</v>
      </c>
      <c r="B150" s="11" t="s">
        <v>42</v>
      </c>
      <c r="C150" s="8" t="s">
        <v>1012</v>
      </c>
      <c r="D150" s="8" t="s">
        <v>1013</v>
      </c>
      <c r="E150" s="12"/>
      <c r="F150" s="13" cm="1" t="str">
        <f t="array" ref="F150">IFERROR(_xlfn.LET(_xlpm.a,Deck!$E$150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$147:$J$147),"✔ CLEAR","✘ TRY AGAIN"))),"✘ TRY AGAIN")</f>
        <v/>
      </c>
      <c r="G150" s="9" cm="1" t="str">
        <f t="array" ref="G150">IF(F150="","",IF(LEFT(F150,1)="✔",MIN(IF(H150="",1,H150)+1,5),1))</f>
        <v/>
      </c>
      <c r="H150" s="14"/>
      <c r="I150" s="15"/>
      <c r="J150" s="16" cm="1" t="str">
        <f t="array" ref="J150">IF(OR(H150="",I150=""),"",IFERROR(I150+CHOOSE(H150,1,3,7,14,30),""))</f>
        <v/>
      </c>
      <c r="K150" s="9" cm="1" t="str">
        <f t="array" ref="K150">IF(H150="","NEW",IF(J150="","DUE",IF(J150&lt;=TODAY(),"DUE","in "&amp;(J150-TODAY())&amp;IF(J150-TODAY()=1," day"," days"))))</f>
        <v>NEW</v>
      </c>
    </row>
    <row r="151" spans="1:11" ht="35.5" customHeight="1">
      <c r="A151" s="11">
        <v>147</v>
      </c>
      <c r="B151" s="11" t="s">
        <v>42</v>
      </c>
      <c r="C151" s="8" t="s">
        <v>1012</v>
      </c>
      <c r="D151" s="8" t="s">
        <v>1022</v>
      </c>
      <c r="E151" s="12"/>
      <c r="F151" s="13" cm="1" t="str">
        <f t="array" ref="F151">IFERROR(_xlfn.LET(_xlpm.a,Deck!$E$151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$148:$J$148),"✔ CLEAR","✘ TRY AGAIN"))),"✘ TRY AGAIN")</f>
        <v/>
      </c>
      <c r="G151" s="9" cm="1" t="str">
        <f t="array" ref="G151">IF(F151="","",IF(LEFT(F151,1)="✔",MIN(IF(H151="",1,H151)+1,5),1))</f>
        <v/>
      </c>
      <c r="H151" s="14"/>
      <c r="I151" s="15"/>
      <c r="J151" s="16" cm="1" t="str">
        <f t="array" ref="J151">IF(OR(H151="",I151=""),"",IFERROR(I151+CHOOSE(H151,1,3,7,14,30),""))</f>
        <v/>
      </c>
      <c r="K151" s="9" cm="1" t="str">
        <f t="array" ref="K151">IF(H151="","NEW",IF(J151="","DUE",IF(J151&lt;=TODAY(),"DUE","in "&amp;(J151-TODAY())&amp;IF(J151-TODAY()=1," day"," days"))))</f>
        <v>NEW</v>
      </c>
    </row>
    <row r="152" spans="1:11" ht="35.5" customHeight="1">
      <c r="A152" s="11">
        <v>148</v>
      </c>
      <c r="B152" s="11" t="s">
        <v>42</v>
      </c>
      <c r="C152" s="8" t="s">
        <v>1012</v>
      </c>
      <c r="D152" s="8" t="s">
        <v>1031</v>
      </c>
      <c r="E152" s="12"/>
      <c r="F152" s="13" cm="1" t="str">
        <f t="array" ref="F152">IFERROR(_xlfn.LET(_xlpm.a,Deck!$E$152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$149:$J$149),"✔ CLEAR","✘ TRY AGAIN"))),"✘ TRY AGAIN")</f>
        <v/>
      </c>
      <c r="G152" s="9" cm="1" t="str">
        <f t="array" ref="G152">IF(F152="","",IF(LEFT(F152,1)="✔",MIN(IF(H152="",1,H152)+1,5),1))</f>
        <v/>
      </c>
      <c r="H152" s="14"/>
      <c r="I152" s="15"/>
      <c r="J152" s="16" cm="1" t="str">
        <f t="array" ref="J152">IF(OR(H152="",I152=""),"",IFERROR(I152+CHOOSE(H152,1,3,7,14,30),""))</f>
        <v/>
      </c>
      <c r="K152" s="9" cm="1" t="str">
        <f t="array" ref="K152">IF(H152="","NEW",IF(J152="","DUE",IF(J152&lt;=TODAY(),"DUE","in "&amp;(J152-TODAY())&amp;IF(J152-TODAY()=1," day"," days"))))</f>
        <v>NEW</v>
      </c>
    </row>
    <row r="153" spans="1:11" ht="19.75" customHeight="1">
      <c r="A153" s="11">
        <v>149</v>
      </c>
      <c r="B153" s="11" t="s">
        <v>1040</v>
      </c>
      <c r="C153" s="8" t="s">
        <v>1041</v>
      </c>
      <c r="D153" s="8" t="s">
        <v>1042</v>
      </c>
      <c r="E153" s="12"/>
      <c r="F153" s="13" cm="1" t="str">
        <f t="array" ref="F153">IFERROR(_xlfn.LET(_xlpm.a,Deck!$E$153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$150:$J$150),"✔ CLEAR","✘ TRY AGAIN"))),"✘ TRY AGAIN")</f>
        <v/>
      </c>
      <c r="G153" s="9" cm="1" t="str">
        <f t="array" ref="G153">IF(F153="","",IF(LEFT(F153,1)="✔",MIN(IF(H153="",1,H153)+1,5),1))</f>
        <v/>
      </c>
      <c r="H153" s="14"/>
      <c r="I153" s="15"/>
      <c r="J153" s="16" cm="1" t="str">
        <f t="array" ref="J153">IF(OR(H153="",I153=""),"",IFERROR(I153+CHOOSE(H153,1,3,7,14,30),""))</f>
        <v/>
      </c>
      <c r="K153" s="9" cm="1" t="str">
        <f t="array" ref="K153">IF(H153="","NEW",IF(J153="","DUE",IF(J153&lt;=TODAY(),"DUE","in "&amp;(J153-TODAY())&amp;IF(J153-TODAY()=1," day"," days"))))</f>
        <v>NEW</v>
      </c>
    </row>
    <row r="154" spans="1:11" ht="35.5" customHeight="1">
      <c r="A154" s="11">
        <v>150</v>
      </c>
      <c r="B154" s="11" t="s">
        <v>1040</v>
      </c>
      <c r="C154" s="8" t="s">
        <v>1041</v>
      </c>
      <c r="D154" s="8" t="s">
        <v>1050</v>
      </c>
      <c r="E154" s="12"/>
      <c r="F154" s="13" cm="1" t="str">
        <f t="array" ref="F154">IFERROR(_xlfn.LET(_xlpm.a,Deck!$E$154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$151:$J$151),"✔ CLEAR","✘ TRY AGAIN"))),"✘ TRY AGAIN")</f>
        <v/>
      </c>
      <c r="G154" s="9" cm="1" t="str">
        <f t="array" ref="G154">IF(F154="","",IF(LEFT(F154,1)="✔",MIN(IF(H154="",1,H154)+1,5),1))</f>
        <v/>
      </c>
      <c r="H154" s="14"/>
      <c r="I154" s="15"/>
      <c r="J154" s="16" cm="1" t="str">
        <f t="array" ref="J154">IF(OR(H154="",I154=""),"",IFERROR(I154+CHOOSE(H154,1,3,7,14,30),""))</f>
        <v/>
      </c>
      <c r="K154" s="9" cm="1" t="str">
        <f t="array" ref="K154">IF(H154="","NEW",IF(J154="","DUE",IF(J154&lt;=TODAY(),"DUE","in "&amp;(J154-TODAY())&amp;IF(J154-TODAY()=1," day"," days"))))</f>
        <v>NEW</v>
      </c>
    </row>
    <row r="155" spans="1:11" ht="35.5" customHeight="1">
      <c r="A155" s="11">
        <v>151</v>
      </c>
      <c r="B155" s="11" t="s">
        <v>1040</v>
      </c>
      <c r="C155" s="8" t="s">
        <v>1041</v>
      </c>
      <c r="D155" s="8" t="s">
        <v>1058</v>
      </c>
      <c r="E155" s="12"/>
      <c r="F155" s="13" cm="1" t="str">
        <f t="array" ref="F155">IFERROR(_xlfn.LET(_xlpm.a,Deck!$E$155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$152:$J$152),"✔ CLEAR","✘ TRY AGAIN"))),"✘ TRY AGAIN")</f>
        <v/>
      </c>
      <c r="G155" s="9" cm="1" t="str">
        <f t="array" ref="G155">IF(F155="","",IF(LEFT(F155,1)="✔",MIN(IF(H155="",1,H155)+1,5),1))</f>
        <v/>
      </c>
      <c r="H155" s="14"/>
      <c r="I155" s="15"/>
      <c r="J155" s="16" cm="1" t="str">
        <f t="array" ref="J155">IF(OR(H155="",I155=""),"",IFERROR(I155+CHOOSE(H155,1,3,7,14,30),""))</f>
        <v/>
      </c>
      <c r="K155" s="9" cm="1" t="str">
        <f t="array" ref="K155">IF(H155="","NEW",IF(J155="","DUE",IF(J155&lt;=TODAY(),"DUE","in "&amp;(J155-TODAY())&amp;IF(J155-TODAY()=1," day"," days"))))</f>
        <v>NEW</v>
      </c>
    </row>
    <row r="156" spans="1:11" ht="19.75" customHeight="1">
      <c r="A156" s="11">
        <v>152</v>
      </c>
      <c r="B156" s="11" t="s">
        <v>1040</v>
      </c>
      <c r="C156" s="8" t="s">
        <v>1041</v>
      </c>
      <c r="D156" s="8" t="s">
        <v>1066</v>
      </c>
      <c r="E156" s="12"/>
      <c r="F156" s="13" cm="1" t="str">
        <f t="array" ref="F156">IFERROR(_xlfn.LET(_xlpm.a,Deck!$E$156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$153:$J$153),"✔ CLEAR","✘ TRY AGAIN"))),"✘ TRY AGAIN")</f>
        <v/>
      </c>
      <c r="G156" s="9" cm="1" t="str">
        <f t="array" ref="G156">IF(F156="","",IF(LEFT(F156,1)="✔",MIN(IF(H156="",1,H156)+1,5),1))</f>
        <v/>
      </c>
      <c r="H156" s="14"/>
      <c r="I156" s="15"/>
      <c r="J156" s="16" cm="1" t="str">
        <f t="array" ref="J156">IF(OR(H156="",I156=""),"",IFERROR(I156+CHOOSE(H156,1,3,7,14,30),""))</f>
        <v/>
      </c>
      <c r="K156" s="9" cm="1" t="str">
        <f t="array" ref="K156">IF(H156="","NEW",IF(J156="","DUE",IF(J156&lt;=TODAY(),"DUE","in "&amp;(J156-TODAY())&amp;IF(J156-TODAY()=1," day"," days"))))</f>
        <v>NEW</v>
      </c>
    </row>
    <row r="157" spans="1:11" ht="35.5" customHeight="1">
      <c r="A157" s="11">
        <v>153</v>
      </c>
      <c r="B157" s="11" t="s">
        <v>1040</v>
      </c>
      <c r="C157" s="8" t="s">
        <v>1041</v>
      </c>
      <c r="D157" s="8" t="s">
        <v>1074</v>
      </c>
      <c r="E157" s="12"/>
      <c r="F157" s="13" cm="1" t="str">
        <f t="array" ref="F157">IFERROR(_xlfn.LET(_xlpm.a,Deck!$E$157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$154:$J$154),"✔ CLEAR","✘ TRY AGAIN"))),"✘ TRY AGAIN")</f>
        <v/>
      </c>
      <c r="G157" s="9" cm="1" t="str">
        <f t="array" ref="G157">IF(F157="","",IF(LEFT(F157,1)="✔",MIN(IF(H157="",1,H157)+1,5),1))</f>
        <v/>
      </c>
      <c r="H157" s="14"/>
      <c r="I157" s="15"/>
      <c r="J157" s="16" cm="1" t="str">
        <f t="array" ref="J157">IF(OR(H157="",I157=""),"",IFERROR(I157+CHOOSE(H157,1,3,7,14,30),""))</f>
        <v/>
      </c>
      <c r="K157" s="9" cm="1" t="str">
        <f t="array" ref="K157">IF(H157="","NEW",IF(J157="","DUE",IF(J157&lt;=TODAY(),"DUE","in "&amp;(J157-TODAY())&amp;IF(J157-TODAY()=1," day"," days"))))</f>
        <v>NEW</v>
      </c>
    </row>
    <row r="158" spans="1:11" ht="35.5" customHeight="1">
      <c r="A158" s="11">
        <v>154</v>
      </c>
      <c r="B158" s="11" t="s">
        <v>1040</v>
      </c>
      <c r="C158" s="8" t="s">
        <v>1041</v>
      </c>
      <c r="D158" s="8" t="s">
        <v>1082</v>
      </c>
      <c r="E158" s="12"/>
      <c r="F158" s="13" cm="1" t="str">
        <f t="array" ref="F158">IFERROR(_xlfn.LET(_xlpm.a,Deck!$E$158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$155:$J$155),"✔ CLEAR","✘ TRY AGAIN"))),"✘ TRY AGAIN")</f>
        <v/>
      </c>
      <c r="G158" s="9" cm="1" t="str">
        <f t="array" ref="G158">IF(F158="","",IF(LEFT(F158,1)="✔",MIN(IF(H158="",1,H158)+1,5),1))</f>
        <v/>
      </c>
      <c r="H158" s="14"/>
      <c r="I158" s="15"/>
      <c r="J158" s="16" cm="1" t="str">
        <f t="array" ref="J158">IF(OR(H158="",I158=""),"",IFERROR(I158+CHOOSE(H158,1,3,7,14,30),""))</f>
        <v/>
      </c>
      <c r="K158" s="9" cm="1" t="str">
        <f t="array" ref="K158">IF(H158="","NEW",IF(J158="","DUE",IF(J158&lt;=TODAY(),"DUE","in "&amp;(J158-TODAY())&amp;IF(J158-TODAY()=1," day"," days"))))</f>
        <v>NEW</v>
      </c>
    </row>
    <row r="159" spans="1:11" ht="35.5" customHeight="1">
      <c r="A159" s="11">
        <v>155</v>
      </c>
      <c r="B159" s="11" t="s">
        <v>1040</v>
      </c>
      <c r="C159" s="8" t="s">
        <v>1041</v>
      </c>
      <c r="D159" s="8" t="s">
        <v>1091</v>
      </c>
      <c r="E159" s="12"/>
      <c r="F159" s="13" cm="1" t="str">
        <f t="array" ref="F159">IFERROR(_xlfn.LET(_xlpm.a,Deck!$E$159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$156:$J$156),"✔ CLEAR","✘ TRY AGAIN"))),"✘ TRY AGAIN")</f>
        <v/>
      </c>
      <c r="G159" s="9" cm="1" t="str">
        <f t="array" ref="G159">IF(F159="","",IF(LEFT(F159,1)="✔",MIN(IF(H159="",1,H159)+1,5),1))</f>
        <v/>
      </c>
      <c r="H159" s="14"/>
      <c r="I159" s="15"/>
      <c r="J159" s="16" cm="1" t="str">
        <f t="array" ref="J159">IF(OR(H159="",I159=""),"",IFERROR(I159+CHOOSE(H159,1,3,7,14,30),""))</f>
        <v/>
      </c>
      <c r="K159" s="9" cm="1" t="str">
        <f t="array" ref="K159">IF(H159="","NEW",IF(J159="","DUE",IF(J159&lt;=TODAY(),"DUE","in "&amp;(J159-TODAY())&amp;IF(J159-TODAY()=1," day"," days"))))</f>
        <v>NEW</v>
      </c>
    </row>
    <row r="160" spans="1:11" ht="35.5" customHeight="1">
      <c r="A160" s="11">
        <v>156</v>
      </c>
      <c r="B160" s="11" t="s">
        <v>1040</v>
      </c>
      <c r="C160" s="8" t="s">
        <v>1096</v>
      </c>
      <c r="D160" s="8" t="s">
        <v>1097</v>
      </c>
      <c r="E160" s="12"/>
      <c r="F160" s="13" cm="1" t="str">
        <f t="array" ref="F160">IFERROR(_xlfn.LET(_xlpm.a,Deck!$E$160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$157:$F$157),"✔ CLEAR","✘ TRY AGAIN"))),"✘ TRY AGAIN")</f>
        <v/>
      </c>
      <c r="G160" s="9" cm="1" t="str">
        <f t="array" ref="G160">IF(F160="","",IF(LEFT(F160,1)="✔",MIN(IF(H160="",1,H160)+1,5),1))</f>
        <v/>
      </c>
      <c r="H160" s="14"/>
      <c r="I160" s="15"/>
      <c r="J160" s="16" cm="1" t="str">
        <f t="array" ref="J160">IF(OR(H160="",I160=""),"",IFERROR(I160+CHOOSE(H160,1,3,7,14,30),""))</f>
        <v/>
      </c>
      <c r="K160" s="9" cm="1" t="str">
        <f t="array" ref="K160">IF(H160="","NEW",IF(J160="","DUE",IF(J160&lt;=TODAY(),"DUE","in "&amp;(J160-TODAY())&amp;IF(J160-TODAY()=1," day"," days"))))</f>
        <v>NEW</v>
      </c>
    </row>
    <row r="161" spans="1:11" ht="35.5" customHeight="1">
      <c r="A161" s="11">
        <v>157</v>
      </c>
      <c r="B161" s="11" t="s">
        <v>1040</v>
      </c>
      <c r="C161" s="8" t="s">
        <v>1096</v>
      </c>
      <c r="D161" s="8" t="s">
        <v>1104</v>
      </c>
      <c r="E161" s="12"/>
      <c r="F161" s="13" cm="1" t="str">
        <f t="array" ref="F161">IFERROR(_xlfn.LET(_xlpm.a,Deck!$E$161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$158:$H$158),"✔ CLEAR","✘ TRY AGAIN"))),"✘ TRY AGAIN")</f>
        <v/>
      </c>
      <c r="G161" s="9" cm="1" t="str">
        <f t="array" ref="G161">IF(F161="","",IF(LEFT(F161,1)="✔",MIN(IF(H161="",1,H161)+1,5),1))</f>
        <v/>
      </c>
      <c r="H161" s="14"/>
      <c r="I161" s="15"/>
      <c r="J161" s="16" cm="1" t="str">
        <f t="array" ref="J161">IF(OR(H161="",I161=""),"",IFERROR(I161+CHOOSE(H161,1,3,7,14,30),""))</f>
        <v/>
      </c>
      <c r="K161" s="9" cm="1" t="str">
        <f t="array" ref="K161">IF(H161="","NEW",IF(J161="","DUE",IF(J161&lt;=TODAY(),"DUE","in "&amp;(J161-TODAY())&amp;IF(J161-TODAY()=1," day"," days"))))</f>
        <v>NEW</v>
      </c>
    </row>
    <row r="162" spans="1:11" ht="35.5" customHeight="1">
      <c r="A162" s="11">
        <v>158</v>
      </c>
      <c r="B162" s="11" t="s">
        <v>1040</v>
      </c>
      <c r="C162" s="8" t="s">
        <v>1096</v>
      </c>
      <c r="D162" s="8" t="s">
        <v>1113</v>
      </c>
      <c r="E162" s="12"/>
      <c r="F162" s="13" cm="1" t="str">
        <f t="array" ref="F162">IFERROR(_xlfn.LET(_xlpm.a,Deck!$E$162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$159:$J$159),"✔ CLEAR","✘ TRY AGAIN"))),"✘ TRY AGAIN")</f>
        <v/>
      </c>
      <c r="G162" s="9" cm="1" t="str">
        <f t="array" ref="G162">IF(F162="","",IF(LEFT(F162,1)="✔",MIN(IF(H162="",1,H162)+1,5),1))</f>
        <v/>
      </c>
      <c r="H162" s="14"/>
      <c r="I162" s="15"/>
      <c r="J162" s="16" cm="1" t="str">
        <f t="array" ref="J162">IF(OR(H162="",I162=""),"",IFERROR(I162+CHOOSE(H162,1,3,7,14,30),""))</f>
        <v/>
      </c>
      <c r="K162" s="9" cm="1" t="str">
        <f t="array" ref="K162">IF(H162="","NEW",IF(J162="","DUE",IF(J162&lt;=TODAY(),"DUE","in "&amp;(J162-TODAY())&amp;IF(J162-TODAY()=1," day"," days"))))</f>
        <v>NEW</v>
      </c>
    </row>
    <row r="163" spans="1:11" ht="35.5" customHeight="1">
      <c r="A163" s="11">
        <v>159</v>
      </c>
      <c r="B163" s="11" t="s">
        <v>1040</v>
      </c>
      <c r="C163" s="8" t="s">
        <v>1122</v>
      </c>
      <c r="D163" s="8" t="s">
        <v>1123</v>
      </c>
      <c r="E163" s="12"/>
      <c r="F163" s="13" cm="1" t="str">
        <f t="array" ref="F163">IFERROR(_xlfn.LET(_xlpm.a,Deck!$E$163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$160:$J$160),"✔ CLEAR","✘ TRY AGAIN"))),"✘ TRY AGAIN")</f>
        <v/>
      </c>
      <c r="G163" s="9" cm="1" t="str">
        <f t="array" ref="G163">IF(F163="","",IF(LEFT(F163,1)="✔",MIN(IF(H163="",1,H163)+1,5),1))</f>
        <v/>
      </c>
      <c r="H163" s="14"/>
      <c r="I163" s="15"/>
      <c r="J163" s="16" cm="1" t="str">
        <f t="array" ref="J163">IF(OR(H163="",I163=""),"",IFERROR(I163+CHOOSE(H163,1,3,7,14,30),""))</f>
        <v/>
      </c>
      <c r="K163" s="9" cm="1" t="str">
        <f t="array" ref="K163">IF(H163="","NEW",IF(J163="","DUE",IF(J163&lt;=TODAY(),"DUE","in "&amp;(J163-TODAY())&amp;IF(J163-TODAY()=1," day"," days"))))</f>
        <v>NEW</v>
      </c>
    </row>
    <row r="164" spans="1:11" ht="35.5" customHeight="1">
      <c r="A164" s="11">
        <v>160</v>
      </c>
      <c r="B164" s="11" t="s">
        <v>1040</v>
      </c>
      <c r="C164" s="8" t="s">
        <v>1122</v>
      </c>
      <c r="D164" s="8" t="s">
        <v>1132</v>
      </c>
      <c r="E164" s="12"/>
      <c r="F164" s="13" cm="1" t="str">
        <f t="array" ref="F164">IFERROR(_xlfn.LET(_xlpm.a,Deck!$E$164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$161:$J$161),"✔ CLEAR","✘ TRY AGAIN"))),"✘ TRY AGAIN")</f>
        <v/>
      </c>
      <c r="G164" s="9" cm="1" t="str">
        <f t="array" ref="G164">IF(F164="","",IF(LEFT(F164,1)="✔",MIN(IF(H164="",1,H164)+1,5),1))</f>
        <v/>
      </c>
      <c r="H164" s="14"/>
      <c r="I164" s="15"/>
      <c r="J164" s="16" cm="1" t="str">
        <f t="array" ref="J164">IF(OR(H164="",I164=""),"",IFERROR(I164+CHOOSE(H164,1,3,7,14,30),""))</f>
        <v/>
      </c>
      <c r="K164" s="9" cm="1" t="str">
        <f t="array" ref="K164">IF(H164="","NEW",IF(J164="","DUE",IF(J164&lt;=TODAY(),"DUE","in "&amp;(J164-TODAY())&amp;IF(J164-TODAY()=1," day"," days"))))</f>
        <v>NEW</v>
      </c>
    </row>
    <row r="165" spans="1:11" ht="35.5" customHeight="1">
      <c r="A165" s="11">
        <v>161</v>
      </c>
      <c r="B165" s="11" t="s">
        <v>1040</v>
      </c>
      <c r="C165" s="8" t="s">
        <v>1122</v>
      </c>
      <c r="D165" s="8" t="s">
        <v>1141</v>
      </c>
      <c r="E165" s="12"/>
      <c r="F165" s="13" cm="1" t="str">
        <f t="array" ref="F165">IFERROR(_xlfn.LET(_xlpm.a,Deck!$E$165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$162:$J$162),"✔ CLEAR","✘ TRY AGAIN"))),"✘ TRY AGAIN")</f>
        <v/>
      </c>
      <c r="G165" s="9" cm="1" t="str">
        <f t="array" ref="G165">IF(F165="","",IF(LEFT(F165,1)="✔",MIN(IF(H165="",1,H165)+1,5),1))</f>
        <v/>
      </c>
      <c r="H165" s="14"/>
      <c r="I165" s="15"/>
      <c r="J165" s="16" cm="1" t="str">
        <f t="array" ref="J165">IF(OR(H165="",I165=""),"",IFERROR(I165+CHOOSE(H165,1,3,7,14,30),""))</f>
        <v/>
      </c>
      <c r="K165" s="9" cm="1" t="str">
        <f t="array" ref="K165">IF(H165="","NEW",IF(J165="","DUE",IF(J165&lt;=TODAY(),"DUE","in "&amp;(J165-TODAY())&amp;IF(J165-TODAY()=1," day"," days"))))</f>
        <v>NEW</v>
      </c>
    </row>
    <row r="166" spans="1:11" ht="35.5" customHeight="1">
      <c r="A166" s="11">
        <v>162</v>
      </c>
      <c r="B166" s="11" t="s">
        <v>1040</v>
      </c>
      <c r="C166" s="8" t="s">
        <v>1122</v>
      </c>
      <c r="D166" s="8" t="s">
        <v>1150</v>
      </c>
      <c r="E166" s="12"/>
      <c r="F166" s="13" cm="1" t="str">
        <f t="array" ref="F166">IFERROR(_xlfn.LET(_xlpm.a,Deck!$E$166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$163:$J$163),"✔ CLEAR","✘ TRY AGAIN"))),"✘ TRY AGAIN")</f>
        <v/>
      </c>
      <c r="G166" s="9" cm="1" t="str">
        <f t="array" ref="G166">IF(F166="","",IF(LEFT(F166,1)="✔",MIN(IF(H166="",1,H166)+1,5),1))</f>
        <v/>
      </c>
      <c r="H166" s="14"/>
      <c r="I166" s="15"/>
      <c r="J166" s="16" cm="1" t="str">
        <f t="array" ref="J166">IF(OR(H166="",I166=""),"",IFERROR(I166+CHOOSE(H166,1,3,7,14,30),""))</f>
        <v/>
      </c>
      <c r="K166" s="9" cm="1" t="str">
        <f t="array" ref="K166">IF(H166="","NEW",IF(J166="","DUE",IF(J166&lt;=TODAY(),"DUE","in "&amp;(J166-TODAY())&amp;IF(J166-TODAY()=1," day"," days"))))</f>
        <v>NEW</v>
      </c>
    </row>
    <row r="167" spans="1:11" ht="35.5" customHeight="1">
      <c r="A167" s="11">
        <v>163</v>
      </c>
      <c r="B167" s="11" t="s">
        <v>1156</v>
      </c>
      <c r="C167" s="8" t="s">
        <v>1157</v>
      </c>
      <c r="D167" s="8" t="s">
        <v>1158</v>
      </c>
      <c r="E167" s="12"/>
      <c r="F167" s="13" cm="1" t="str">
        <f t="array" ref="F167">IFERROR(_xlfn.LET(_xlpm.a,Deck!$E$167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$164:$G$164),"✔ CLEAR","✘ TRY AGAIN"))),"✘ TRY AGAIN")</f>
        <v/>
      </c>
      <c r="G167" s="9" cm="1" t="str">
        <f t="array" ref="G167">IF(F167="","",IF(LEFT(F167,1)="✔",MIN(IF(H167="",1,H167)+1,5),1))</f>
        <v/>
      </c>
      <c r="H167" s="14"/>
      <c r="I167" s="15"/>
      <c r="J167" s="16" cm="1" t="str">
        <f t="array" ref="J167">IF(OR(H167="",I167=""),"",IFERROR(I167+CHOOSE(H167,1,3,7,14,30),""))</f>
        <v/>
      </c>
      <c r="K167" s="9" cm="1" t="str">
        <f t="array" ref="K167">IF(H167="","NEW",IF(J167="","DUE",IF(J167&lt;=TODAY(),"DUE","in "&amp;(J167-TODAY())&amp;IF(J167-TODAY()=1," day"," days"))))</f>
        <v>NEW</v>
      </c>
    </row>
    <row r="168" spans="1:11" ht="35.5" customHeight="1">
      <c r="A168" s="11">
        <v>164</v>
      </c>
      <c r="B168" s="11" t="s">
        <v>1156</v>
      </c>
      <c r="C168" s="8" t="s">
        <v>1157</v>
      </c>
      <c r="D168" s="8" t="s">
        <v>1163</v>
      </c>
      <c r="E168" s="12"/>
      <c r="F168" s="13" cm="1" t="str">
        <f t="array" ref="F168">IFERROR(_xlfn.LET(_xlpm.a,Deck!$E$168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$165:$G$165),"✔ CLEAR","✘ TRY AGAIN"))),"✘ TRY AGAIN")</f>
        <v/>
      </c>
      <c r="G168" s="9" cm="1" t="str">
        <f t="array" ref="G168">IF(F168="","",IF(LEFT(F168,1)="✔",MIN(IF(H168="",1,H168)+1,5),1))</f>
        <v/>
      </c>
      <c r="H168" s="14"/>
      <c r="I168" s="15"/>
      <c r="J168" s="16" cm="1" t="str">
        <f t="array" ref="J168">IF(OR(H168="",I168=""),"",IFERROR(I168+CHOOSE(H168,1,3,7,14,30),""))</f>
        <v/>
      </c>
      <c r="K168" s="9" cm="1" t="str">
        <f t="array" ref="K168">IF(H168="","NEW",IF(J168="","DUE",IF(J168&lt;=TODAY(),"DUE","in "&amp;(J168-TODAY())&amp;IF(J168-TODAY()=1," day"," days"))))</f>
        <v>NEW</v>
      </c>
    </row>
    <row r="169" spans="1:11" ht="35.5" customHeight="1">
      <c r="A169" s="11">
        <v>165</v>
      </c>
      <c r="B169" s="11" t="s">
        <v>1156</v>
      </c>
      <c r="C169" s="8" t="s">
        <v>1157</v>
      </c>
      <c r="D169" s="8" t="s">
        <v>1167</v>
      </c>
      <c r="E169" s="12"/>
      <c r="F169" s="13" cm="1" t="str">
        <f t="array" ref="F169">IFERROR(_xlfn.LET(_xlpm.a,Deck!$E$169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$166:$E$166),"✔ CLEAR","✘ TRY AGAIN"))),"✘ TRY AGAIN")</f>
        <v/>
      </c>
      <c r="G169" s="9" cm="1" t="str">
        <f t="array" ref="G169">IF(F169="","",IF(LEFT(F169,1)="✔",MIN(IF(H169="",1,H169)+1,5),1))</f>
        <v/>
      </c>
      <c r="H169" s="14"/>
      <c r="I169" s="15"/>
      <c r="J169" s="16" cm="1" t="str">
        <f t="array" ref="J169">IF(OR(H169="",I169=""),"",IFERROR(I169+CHOOSE(H169,1,3,7,14,30),""))</f>
        <v/>
      </c>
      <c r="K169" s="9" cm="1" t="str">
        <f t="array" ref="K169">IF(H169="","NEW",IF(J169="","DUE",IF(J169&lt;=TODAY(),"DUE","in "&amp;(J169-TODAY())&amp;IF(J169-TODAY()=1," day"," days"))))</f>
        <v>NEW</v>
      </c>
    </row>
    <row r="170" spans="1:11" ht="35.5" customHeight="1">
      <c r="A170" s="11">
        <v>166</v>
      </c>
      <c r="B170" s="11" t="s">
        <v>1156</v>
      </c>
      <c r="C170" s="8" t="s">
        <v>1157</v>
      </c>
      <c r="D170" s="8" t="s">
        <v>1176</v>
      </c>
      <c r="E170" s="12"/>
      <c r="F170" s="13" cm="1" t="str">
        <f t="array" ref="F170">IFERROR(_xlfn.LET(_xlpm.a,Deck!$E$170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$167:$J$167),"✔ CLEAR","✘ TRY AGAIN"))),"✘ TRY AGAIN")</f>
        <v/>
      </c>
      <c r="G170" s="9" cm="1" t="str">
        <f t="array" ref="G170">IF(F170="","",IF(LEFT(F170,1)="✔",MIN(IF(H170="",1,H170)+1,5),1))</f>
        <v/>
      </c>
      <c r="H170" s="14"/>
      <c r="I170" s="15"/>
      <c r="J170" s="16" cm="1" t="str">
        <f t="array" ref="J170">IF(OR(H170="",I170=""),"",IFERROR(I170+CHOOSE(H170,1,3,7,14,30),""))</f>
        <v/>
      </c>
      <c r="K170" s="9" cm="1" t="str">
        <f t="array" ref="K170">IF(H170="","NEW",IF(J170="","DUE",IF(J170&lt;=TODAY(),"DUE","in "&amp;(J170-TODAY())&amp;IF(J170-TODAY()=1," day"," days"))))</f>
        <v>NEW</v>
      </c>
    </row>
    <row r="171" spans="1:11" ht="35.5" customHeight="1">
      <c r="A171" s="11">
        <v>167</v>
      </c>
      <c r="B171" s="11" t="s">
        <v>1156</v>
      </c>
      <c r="C171" s="8" t="s">
        <v>1185</v>
      </c>
      <c r="D171" s="8" t="s">
        <v>1186</v>
      </c>
      <c r="E171" s="12"/>
      <c r="F171" s="13" cm="1" t="str">
        <f t="array" ref="F171">IFERROR(_xlfn.LET(_xlpm.a,Deck!$E$171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$168:$J$168),"✔ CLEAR","✘ TRY AGAIN"))),"✘ TRY AGAIN")</f>
        <v/>
      </c>
      <c r="G171" s="9" cm="1" t="str">
        <f t="array" ref="G171">IF(F171="","",IF(LEFT(F171,1)="✔",MIN(IF(H171="",1,H171)+1,5),1))</f>
        <v/>
      </c>
      <c r="H171" s="14"/>
      <c r="I171" s="15"/>
      <c r="J171" s="16" cm="1" t="str">
        <f t="array" ref="J171">IF(OR(H171="",I171=""),"",IFERROR(I171+CHOOSE(H171,1,3,7,14,30),""))</f>
        <v/>
      </c>
      <c r="K171" s="9" cm="1" t="str">
        <f t="array" ref="K171">IF(H171="","NEW",IF(J171="","DUE",IF(J171&lt;=TODAY(),"DUE","in "&amp;(J171-TODAY())&amp;IF(J171-TODAY()=1," day"," days"))))</f>
        <v>NEW</v>
      </c>
    </row>
    <row r="172" spans="1:11" ht="35.5" customHeight="1">
      <c r="A172" s="11">
        <v>168</v>
      </c>
      <c r="B172" s="11" t="s">
        <v>1156</v>
      </c>
      <c r="C172" s="8" t="s">
        <v>1185</v>
      </c>
      <c r="D172" s="8" t="s">
        <v>1189</v>
      </c>
      <c r="E172" s="12"/>
      <c r="F172" s="13" cm="1" t="str">
        <f t="array" ref="F172">IFERROR(_xlfn.LET(_xlpm.a,Deck!$E$172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$169:$F$169),"✔ CLEAR","✘ TRY AGAIN"))),"✘ TRY AGAIN")</f>
        <v/>
      </c>
      <c r="G172" s="9" cm="1" t="str">
        <f t="array" ref="G172">IF(F172="","",IF(LEFT(F172,1)="✔",MIN(IF(H172="",1,H172)+1,5),1))</f>
        <v/>
      </c>
      <c r="H172" s="14"/>
      <c r="I172" s="15"/>
      <c r="J172" s="16" cm="1" t="str">
        <f t="array" ref="J172">IF(OR(H172="",I172=""),"",IFERROR(I172+CHOOSE(H172,1,3,7,14,30),""))</f>
        <v/>
      </c>
      <c r="K172" s="9" cm="1" t="str">
        <f t="array" ref="K172">IF(H172="","NEW",IF(J172="","DUE",IF(J172&lt;=TODAY(),"DUE","in "&amp;(J172-TODAY())&amp;IF(J172-TODAY()=1," day"," days"))))</f>
        <v>NEW</v>
      </c>
    </row>
    <row r="173" spans="1:11" ht="35.5" customHeight="1">
      <c r="A173" s="11">
        <v>169</v>
      </c>
      <c r="B173" s="11" t="s">
        <v>1156</v>
      </c>
      <c r="C173" s="8" t="s">
        <v>1185</v>
      </c>
      <c r="D173" s="8" t="s">
        <v>1196</v>
      </c>
      <c r="E173" s="12"/>
      <c r="F173" s="13" cm="1" t="str">
        <f t="array" ref="F173">IFERROR(_xlfn.LET(_xlpm.a,Deck!$E$173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$170:$H$170),"✔ CLEAR","✘ TRY AGAIN"))),"✘ TRY AGAIN")</f>
        <v/>
      </c>
      <c r="G173" s="9" cm="1" t="str">
        <f t="array" ref="G173">IF(F173="","",IF(LEFT(F173,1)="✔",MIN(IF(H173="",1,H173)+1,5),1))</f>
        <v/>
      </c>
      <c r="H173" s="14"/>
      <c r="I173" s="15"/>
      <c r="J173" s="16" cm="1" t="str">
        <f t="array" ref="J173">IF(OR(H173="",I173=""),"",IFERROR(I173+CHOOSE(H173,1,3,7,14,30),""))</f>
        <v/>
      </c>
      <c r="K173" s="9" cm="1" t="str">
        <f t="array" ref="K173">IF(H173="","NEW",IF(J173="","DUE",IF(J173&lt;=TODAY(),"DUE","in "&amp;(J173-TODAY())&amp;IF(J173-TODAY()=1," day"," days"))))</f>
        <v>NEW</v>
      </c>
    </row>
    <row r="174" spans="1:11" ht="35.5" customHeight="1">
      <c r="A174" s="11">
        <v>170</v>
      </c>
      <c r="B174" s="11" t="s">
        <v>1156</v>
      </c>
      <c r="C174" s="8" t="s">
        <v>1204</v>
      </c>
      <c r="D174" s="8" t="s">
        <v>1205</v>
      </c>
      <c r="E174" s="12"/>
      <c r="F174" s="13" cm="1" t="str">
        <f t="array" ref="F174">IFERROR(_xlfn.LET(_xlpm.a,Deck!$E$174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$171:$J$171),"✔ CLEAR","✘ TRY AGAIN"))),"✘ TRY AGAIN")</f>
        <v/>
      </c>
      <c r="G174" s="9" cm="1" t="str">
        <f t="array" ref="G174">IF(F174="","",IF(LEFT(F174,1)="✔",MIN(IF(H174="",1,H174)+1,5),1))</f>
        <v/>
      </c>
      <c r="H174" s="14"/>
      <c r="I174" s="15"/>
      <c r="J174" s="16" cm="1" t="str">
        <f t="array" ref="J174">IF(OR(H174="",I174=""),"",IFERROR(I174+CHOOSE(H174,1,3,7,14,30),""))</f>
        <v/>
      </c>
      <c r="K174" s="9" cm="1" t="str">
        <f t="array" ref="K174">IF(H174="","NEW",IF(J174="","DUE",IF(J174&lt;=TODAY(),"DUE","in "&amp;(J174-TODAY())&amp;IF(J174-TODAY()=1," day"," days"))))</f>
        <v>NEW</v>
      </c>
    </row>
    <row r="175" spans="1:11" ht="35.5" customHeight="1">
      <c r="A175" s="11">
        <v>171</v>
      </c>
      <c r="B175" s="11" t="s">
        <v>1156</v>
      </c>
      <c r="C175" s="8" t="s">
        <v>1204</v>
      </c>
      <c r="D175" s="8" t="s">
        <v>1214</v>
      </c>
      <c r="E175" s="12"/>
      <c r="F175" s="13" cm="1" t="str">
        <f t="array" ref="F175">IFERROR(_xlfn.LET(_xlpm.a,Deck!$E$175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$172:$J$172),"✔ CLEAR","✘ TRY AGAIN"))),"✘ TRY AGAIN")</f>
        <v/>
      </c>
      <c r="G175" s="9" cm="1" t="str">
        <f t="array" ref="G175">IF(F175="","",IF(LEFT(F175,1)="✔",MIN(IF(H175="",1,H175)+1,5),1))</f>
        <v/>
      </c>
      <c r="H175" s="14"/>
      <c r="I175" s="15"/>
      <c r="J175" s="16" cm="1" t="str">
        <f t="array" ref="J175">IF(OR(H175="",I175=""),"",IFERROR(I175+CHOOSE(H175,1,3,7,14,30),""))</f>
        <v/>
      </c>
      <c r="K175" s="9" cm="1" t="str">
        <f t="array" ref="K175">IF(H175="","NEW",IF(J175="","DUE",IF(J175&lt;=TODAY(),"DUE","in "&amp;(J175-TODAY())&amp;IF(J175-TODAY()=1," day"," days"))))</f>
        <v>NEW</v>
      </c>
    </row>
    <row r="176" spans="1:11" ht="35.5" customHeight="1">
      <c r="A176" s="11">
        <v>172</v>
      </c>
      <c r="B176" s="11" t="s">
        <v>1156</v>
      </c>
      <c r="C176" s="8" t="s">
        <v>1204</v>
      </c>
      <c r="D176" s="8" t="s">
        <v>1223</v>
      </c>
      <c r="E176" s="12"/>
      <c r="F176" s="13" cm="1" t="str">
        <f t="array" ref="F176">IFERROR(_xlfn.LET(_xlpm.a,Deck!$E$176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$173:$J$173),"✔ CLEAR","✘ TRY AGAIN"))),"✘ TRY AGAIN")</f>
        <v/>
      </c>
      <c r="G176" s="9" cm="1" t="str">
        <f t="array" ref="G176">IF(F176="","",IF(LEFT(F176,1)="✔",MIN(IF(H176="",1,H176)+1,5),1))</f>
        <v/>
      </c>
      <c r="H176" s="14"/>
      <c r="I176" s="15"/>
      <c r="J176" s="16" cm="1" t="str">
        <f t="array" ref="J176">IF(OR(H176="",I176=""),"",IFERROR(I176+CHOOSE(H176,1,3,7,14,30),""))</f>
        <v/>
      </c>
      <c r="K176" s="9" cm="1" t="str">
        <f t="array" ref="K176">IF(H176="","NEW",IF(J176="","DUE",IF(J176&lt;=TODAY(),"DUE","in "&amp;(J176-TODAY())&amp;IF(J176-TODAY()=1," day"," days"))))</f>
        <v>NEW</v>
      </c>
    </row>
    <row r="177" spans="1:11" ht="35.5" customHeight="1">
      <c r="A177" s="11">
        <v>173</v>
      </c>
      <c r="B177" s="11" t="s">
        <v>1156</v>
      </c>
      <c r="C177" s="8" t="s">
        <v>1232</v>
      </c>
      <c r="D177" s="8" t="s">
        <v>1233</v>
      </c>
      <c r="E177" s="12"/>
      <c r="F177" s="13" cm="1" t="str">
        <f t="array" ref="F177">IFERROR(_xlfn.LET(_xlpm.a,Deck!$E$177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$174:$J$174),"✔ CLEAR","✘ TRY AGAIN"))),"✘ TRY AGAIN")</f>
        <v/>
      </c>
      <c r="G177" s="9" cm="1" t="str">
        <f t="array" ref="G177">IF(F177="","",IF(LEFT(F177,1)="✔",MIN(IF(H177="",1,H177)+1,5),1))</f>
        <v/>
      </c>
      <c r="H177" s="14"/>
      <c r="I177" s="15"/>
      <c r="J177" s="16" cm="1" t="str">
        <f t="array" ref="J177">IF(OR(H177="",I177=""),"",IFERROR(I177+CHOOSE(H177,1,3,7,14,30),""))</f>
        <v/>
      </c>
      <c r="K177" s="9" cm="1" t="str">
        <f t="array" ref="K177">IF(H177="","NEW",IF(J177="","DUE",IF(J177&lt;=TODAY(),"DUE","in "&amp;(J177-TODAY())&amp;IF(J177-TODAY()=1," day"," days"))))</f>
        <v>NEW</v>
      </c>
    </row>
    <row r="178" spans="1:11" ht="35.5" customHeight="1">
      <c r="A178" s="11">
        <v>174</v>
      </c>
      <c r="B178" s="11" t="s">
        <v>1156</v>
      </c>
      <c r="C178" s="8" t="s">
        <v>1232</v>
      </c>
      <c r="D178" s="8" t="s">
        <v>1236</v>
      </c>
      <c r="E178" s="12"/>
      <c r="F178" s="13" cm="1" t="str">
        <f t="array" ref="F178">IFERROR(_xlfn.LET(_xlpm.a,Deck!$E$178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$175:$E$175),"✔ CLEAR","✘ TRY AGAIN"))),"✘ TRY AGAIN")</f>
        <v/>
      </c>
      <c r="G178" s="9" cm="1" t="str">
        <f t="array" ref="G178">IF(F178="","",IF(LEFT(F178,1)="✔",MIN(IF(H178="",1,H178)+1,5),1))</f>
        <v/>
      </c>
      <c r="H178" s="14"/>
      <c r="I178" s="15"/>
      <c r="J178" s="16" cm="1" t="str">
        <f t="array" ref="J178">IF(OR(H178="",I178=""),"",IFERROR(I178+CHOOSE(H178,1,3,7,14,30),""))</f>
        <v/>
      </c>
      <c r="K178" s="9" cm="1" t="str">
        <f t="array" ref="K178">IF(H178="","NEW",IF(J178="","DUE",IF(J178&lt;=TODAY(),"DUE","in "&amp;(J178-TODAY())&amp;IF(J178-TODAY()=1," day"," days"))))</f>
        <v>NEW</v>
      </c>
    </row>
  </sheetData>
  <sheetProtection sheet="1" objects="1" scenarios="1" formatColumns="0" formatRows="0" autoFilter="0"/>
  <autoFilter ref="A4:K178"/>
  <conditionalFormatting sqref="F5:F178">
    <cfRule type="expression" dxfId="0" priority="1">
      <formula>LEFT($F5,1)="✔"</formula>
    </cfRule>
    <cfRule type="expression" dxfId="1" priority="2">
      <formula>LEFT($F5,1)="✘"</formula>
    </cfRule>
  </conditionalFormatting>
  <conditionalFormatting sqref="K5:K178">
    <cfRule type="expression" dxfId="1" priority="3">
      <formula>$K5="DUE"</formula>
    </cfRule>
  </conditionalFormatting>
  <dataValidations count="522">
    <dataValidation allowBlank="1" showInputMessage="1" showErrorMessage="1" promptTitle="Type your answer" prompt="Keys joined with +, like Ctrl+Shift+L, or a function name." sqref="E5"/>
    <dataValidation type="list" allowBlank="1" showInputMessage="1" showErrorMessage="1" promptTitle="Box 1-5" prompt="Press Alt+Down and pick the Suggested box." sqref="H5">
      <formula1>"1,2,3,4,5"</formula1>
    </dataValidation>
    <dataValidation type="date" operator="greaterThanOrEqual" allowBlank="1" showInputMessage="1" showErrorMessage="1" promptTitle="Stamp the date" prompt="Press Ctrl+; for today's date." sqref="I5">
      <formula1>43831</formula1>
    </dataValidation>
    <dataValidation allowBlank="1" showInputMessage="1" showErrorMessage="1" promptTitle="Type your answer" prompt="Keys joined with +, like Ctrl+Shift+L, or a function name." sqref="E6"/>
    <dataValidation type="list" allowBlank="1" showInputMessage="1" showErrorMessage="1" promptTitle="Box 1-5" prompt="Press Alt+Down and pick the Suggested box." sqref="H6">
      <formula1>"1,2,3,4,5"</formula1>
    </dataValidation>
    <dataValidation type="date" operator="greaterThanOrEqual" allowBlank="1" showInputMessage="1" showErrorMessage="1" promptTitle="Stamp the date" prompt="Press Ctrl+; for today's date." sqref="I6">
      <formula1>43831</formula1>
    </dataValidation>
    <dataValidation allowBlank="1" showInputMessage="1" showErrorMessage="1" promptTitle="Type your answer" prompt="Keys joined with +, like Ctrl+Shift+L, or a function name." sqref="E7"/>
    <dataValidation type="list" allowBlank="1" showInputMessage="1" showErrorMessage="1" promptTitle="Box 1-5" prompt="Press Alt+Down and pick the Suggested box." sqref="H7">
      <formula1>"1,2,3,4,5"</formula1>
    </dataValidation>
    <dataValidation type="date" operator="greaterThanOrEqual" allowBlank="1" showInputMessage="1" showErrorMessage="1" promptTitle="Stamp the date" prompt="Press Ctrl+; for today's date." sqref="I7">
      <formula1>43831</formula1>
    </dataValidation>
    <dataValidation allowBlank="1" showInputMessage="1" showErrorMessage="1" promptTitle="Type your answer" prompt="Keys joined with +, like Ctrl+Shift+L, or a function name." sqref="E8"/>
    <dataValidation type="list" allowBlank="1" showInputMessage="1" showErrorMessage="1" promptTitle="Box 1-5" prompt="Press Alt+Down and pick the Suggested box." sqref="H8">
      <formula1>"1,2,3,4,5"</formula1>
    </dataValidation>
    <dataValidation type="date" operator="greaterThanOrEqual" allowBlank="1" showInputMessage="1" showErrorMessage="1" promptTitle="Stamp the date" prompt="Press Ctrl+; for today's date." sqref="I8">
      <formula1>43831</formula1>
    </dataValidation>
    <dataValidation allowBlank="1" showInputMessage="1" showErrorMessage="1" promptTitle="Type your answer" prompt="Keys joined with +, like Ctrl+Shift+L, or a function name." sqref="E9"/>
    <dataValidation type="list" allowBlank="1" showInputMessage="1" showErrorMessage="1" promptTitle="Box 1-5" prompt="Press Alt+Down and pick the Suggested box." sqref="H9">
      <formula1>"1,2,3,4,5"</formula1>
    </dataValidation>
    <dataValidation type="date" operator="greaterThanOrEqual" allowBlank="1" showInputMessage="1" showErrorMessage="1" promptTitle="Stamp the date" prompt="Press Ctrl+; for today's date." sqref="I9">
      <formula1>43831</formula1>
    </dataValidation>
    <dataValidation allowBlank="1" showInputMessage="1" showErrorMessage="1" promptTitle="Type your answer" prompt="Keys joined with +, like Ctrl+Shift+L, or a function name." sqref="E10"/>
    <dataValidation type="list" allowBlank="1" showInputMessage="1" showErrorMessage="1" promptTitle="Box 1-5" prompt="Press Alt+Down and pick the Suggested box." sqref="H10">
      <formula1>"1,2,3,4,5"</formula1>
    </dataValidation>
    <dataValidation type="date" operator="greaterThanOrEqual" allowBlank="1" showInputMessage="1" showErrorMessage="1" promptTitle="Stamp the date" prompt="Press Ctrl+; for today's date." sqref="I10">
      <formula1>43831</formula1>
    </dataValidation>
    <dataValidation allowBlank="1" showInputMessage="1" showErrorMessage="1" promptTitle="Type your answer" prompt="Keys joined with +, like Ctrl+Shift+L, or a function name." sqref="E11"/>
    <dataValidation type="list" allowBlank="1" showInputMessage="1" showErrorMessage="1" promptTitle="Box 1-5" prompt="Press Alt+Down and pick the Suggested box." sqref="H11">
      <formula1>"1,2,3,4,5"</formula1>
    </dataValidation>
    <dataValidation type="date" operator="greaterThanOrEqual" allowBlank="1" showInputMessage="1" showErrorMessage="1" promptTitle="Stamp the date" prompt="Press Ctrl+; for today's date." sqref="I11">
      <formula1>43831</formula1>
    </dataValidation>
    <dataValidation allowBlank="1" showInputMessage="1" showErrorMessage="1" promptTitle="Type your answer" prompt="Keys joined with +, like Ctrl+Shift+L, or a function name." sqref="E12"/>
    <dataValidation type="list" allowBlank="1" showInputMessage="1" showErrorMessage="1" promptTitle="Box 1-5" prompt="Press Alt+Down and pick the Suggested box." sqref="H12">
      <formula1>"1,2,3,4,5"</formula1>
    </dataValidation>
    <dataValidation type="date" operator="greaterThanOrEqual" allowBlank="1" showInputMessage="1" showErrorMessage="1" promptTitle="Stamp the date" prompt="Press Ctrl+; for today's date." sqref="I12">
      <formula1>43831</formula1>
    </dataValidation>
    <dataValidation allowBlank="1" showInputMessage="1" showErrorMessage="1" promptTitle="Type your answer" prompt="Keys joined with +, like Ctrl+Shift+L, or a function name." sqref="E13"/>
    <dataValidation type="list" allowBlank="1" showInputMessage="1" showErrorMessage="1" promptTitle="Box 1-5" prompt="Press Alt+Down and pick the Suggested box." sqref="H13">
      <formula1>"1,2,3,4,5"</formula1>
    </dataValidation>
    <dataValidation type="date" operator="greaterThanOrEqual" allowBlank="1" showInputMessage="1" showErrorMessage="1" promptTitle="Stamp the date" prompt="Press Ctrl+; for today's date." sqref="I13">
      <formula1>43831</formula1>
    </dataValidation>
    <dataValidation allowBlank="1" showInputMessage="1" showErrorMessage="1" promptTitle="Type your answer" prompt="Keys joined with +, like Ctrl+Shift+L, or a function name." sqref="E14"/>
    <dataValidation type="list" allowBlank="1" showInputMessage="1" showErrorMessage="1" promptTitle="Box 1-5" prompt="Press Alt+Down and pick the Suggested box." sqref="H14">
      <formula1>"1,2,3,4,5"</formula1>
    </dataValidation>
    <dataValidation type="date" operator="greaterThanOrEqual" allowBlank="1" showInputMessage="1" showErrorMessage="1" promptTitle="Stamp the date" prompt="Press Ctrl+; for today's date." sqref="I14">
      <formula1>43831</formula1>
    </dataValidation>
    <dataValidation allowBlank="1" showInputMessage="1" showErrorMessage="1" promptTitle="Type your answer" prompt="Keys joined with +, like Ctrl+Shift+L, or a function name." sqref="E15"/>
    <dataValidation type="list" allowBlank="1" showInputMessage="1" showErrorMessage="1" promptTitle="Box 1-5" prompt="Press Alt+Down and pick the Suggested box." sqref="H15">
      <formula1>"1,2,3,4,5"</formula1>
    </dataValidation>
    <dataValidation type="date" operator="greaterThanOrEqual" allowBlank="1" showInputMessage="1" showErrorMessage="1" promptTitle="Stamp the date" prompt="Press Ctrl+; for today's date." sqref="I15">
      <formula1>43831</formula1>
    </dataValidation>
    <dataValidation allowBlank="1" showInputMessage="1" showErrorMessage="1" promptTitle="Type your answer" prompt="Keys joined with +, like Ctrl+Shift+L, or a function name." sqref="E16"/>
    <dataValidation type="list" allowBlank="1" showInputMessage="1" showErrorMessage="1" promptTitle="Box 1-5" prompt="Press Alt+Down and pick the Suggested box." sqref="H16">
      <formula1>"1,2,3,4,5"</formula1>
    </dataValidation>
    <dataValidation type="date" operator="greaterThanOrEqual" allowBlank="1" showInputMessage="1" showErrorMessage="1" promptTitle="Stamp the date" prompt="Press Ctrl+; for today's date." sqref="I16">
      <formula1>43831</formula1>
    </dataValidation>
    <dataValidation allowBlank="1" showInputMessage="1" showErrorMessage="1" promptTitle="Type your answer" prompt="Keys joined with +, like Ctrl+Shift+L, or a function name." sqref="E17"/>
    <dataValidation type="list" allowBlank="1" showInputMessage="1" showErrorMessage="1" promptTitle="Box 1-5" prompt="Press Alt+Down and pick the Suggested box." sqref="H17">
      <formula1>"1,2,3,4,5"</formula1>
    </dataValidation>
    <dataValidation type="date" operator="greaterThanOrEqual" allowBlank="1" showInputMessage="1" showErrorMessage="1" promptTitle="Stamp the date" prompt="Press Ctrl+; for today's date." sqref="I17">
      <formula1>43831</formula1>
    </dataValidation>
    <dataValidation allowBlank="1" showInputMessage="1" showErrorMessage="1" promptTitle="Type your answer" prompt="Keys joined with +, like Ctrl+Shift+L, or a function name." sqref="E18"/>
    <dataValidation type="list" allowBlank="1" showInputMessage="1" showErrorMessage="1" promptTitle="Box 1-5" prompt="Press Alt+Down and pick the Suggested box." sqref="H18">
      <formula1>"1,2,3,4,5"</formula1>
    </dataValidation>
    <dataValidation type="date" operator="greaterThanOrEqual" allowBlank="1" showInputMessage="1" showErrorMessage="1" promptTitle="Stamp the date" prompt="Press Ctrl+; for today's date." sqref="I18">
      <formula1>43831</formula1>
    </dataValidation>
    <dataValidation allowBlank="1" showInputMessage="1" showErrorMessage="1" promptTitle="Type your answer" prompt="Keys joined with +, like Ctrl+Shift+L, or a function name." sqref="E19"/>
    <dataValidation type="list" allowBlank="1" showInputMessage="1" showErrorMessage="1" promptTitle="Box 1-5" prompt="Press Alt+Down and pick the Suggested box." sqref="H19">
      <formula1>"1,2,3,4,5"</formula1>
    </dataValidation>
    <dataValidation type="date" operator="greaterThanOrEqual" allowBlank="1" showInputMessage="1" showErrorMessage="1" promptTitle="Stamp the date" prompt="Press Ctrl+; for today's date." sqref="I19">
      <formula1>43831</formula1>
    </dataValidation>
    <dataValidation allowBlank="1" showInputMessage="1" showErrorMessage="1" promptTitle="Type your answer" prompt="Keys joined with +, like Ctrl+Shift+L, or a function name." sqref="E20"/>
    <dataValidation type="list" allowBlank="1" showInputMessage="1" showErrorMessage="1" promptTitle="Box 1-5" prompt="Press Alt+Down and pick the Suggested box." sqref="H20">
      <formula1>"1,2,3,4,5"</formula1>
    </dataValidation>
    <dataValidation type="date" operator="greaterThanOrEqual" allowBlank="1" showInputMessage="1" showErrorMessage="1" promptTitle="Stamp the date" prompt="Press Ctrl+; for today's date." sqref="I20">
      <formula1>43831</formula1>
    </dataValidation>
    <dataValidation allowBlank="1" showInputMessage="1" showErrorMessage="1" promptTitle="Type your answer" prompt="Keys joined with +, like Ctrl+Shift+L, or a function name." sqref="E21"/>
    <dataValidation type="list" allowBlank="1" showInputMessage="1" showErrorMessage="1" promptTitle="Box 1-5" prompt="Press Alt+Down and pick the Suggested box." sqref="H21">
      <formula1>"1,2,3,4,5"</formula1>
    </dataValidation>
    <dataValidation type="date" operator="greaterThanOrEqual" allowBlank="1" showInputMessage="1" showErrorMessage="1" promptTitle="Stamp the date" prompt="Press Ctrl+; for today's date." sqref="I21">
      <formula1>43831</formula1>
    </dataValidation>
    <dataValidation allowBlank="1" showInputMessage="1" showErrorMessage="1" promptTitle="Type your answer" prompt="Keys joined with +, like Ctrl+Shift+L, or a function name." sqref="E22"/>
    <dataValidation type="list" allowBlank="1" showInputMessage="1" showErrorMessage="1" promptTitle="Box 1-5" prompt="Press Alt+Down and pick the Suggested box." sqref="H22">
      <formula1>"1,2,3,4,5"</formula1>
    </dataValidation>
    <dataValidation type="date" operator="greaterThanOrEqual" allowBlank="1" showInputMessage="1" showErrorMessage="1" promptTitle="Stamp the date" prompt="Press Ctrl+; for today's date." sqref="I22">
      <formula1>43831</formula1>
    </dataValidation>
    <dataValidation allowBlank="1" showInputMessage="1" showErrorMessage="1" promptTitle="Type your answer" prompt="Keys joined with +, like Ctrl+Shift+L, or a function name." sqref="E23"/>
    <dataValidation type="list" allowBlank="1" showInputMessage="1" showErrorMessage="1" promptTitle="Box 1-5" prompt="Press Alt+Down and pick the Suggested box." sqref="H23">
      <formula1>"1,2,3,4,5"</formula1>
    </dataValidation>
    <dataValidation type="date" operator="greaterThanOrEqual" allowBlank="1" showInputMessage="1" showErrorMessage="1" promptTitle="Stamp the date" prompt="Press Ctrl+; for today's date." sqref="I23">
      <formula1>43831</formula1>
    </dataValidation>
    <dataValidation allowBlank="1" showInputMessage="1" showErrorMessage="1" promptTitle="Type your answer" prompt="Keys joined with +, like Ctrl+Shift+L, or a function name." sqref="E24"/>
    <dataValidation type="list" allowBlank="1" showInputMessage="1" showErrorMessage="1" promptTitle="Box 1-5" prompt="Press Alt+Down and pick the Suggested box." sqref="H24">
      <formula1>"1,2,3,4,5"</formula1>
    </dataValidation>
    <dataValidation type="date" operator="greaterThanOrEqual" allowBlank="1" showInputMessage="1" showErrorMessage="1" promptTitle="Stamp the date" prompt="Press Ctrl+; for today's date." sqref="I24">
      <formula1>43831</formula1>
    </dataValidation>
    <dataValidation allowBlank="1" showInputMessage="1" showErrorMessage="1" promptTitle="Type your answer" prompt="Keys joined with +, like Ctrl+Shift+L, or a function name." sqref="E25"/>
    <dataValidation type="list" allowBlank="1" showInputMessage="1" showErrorMessage="1" promptTitle="Box 1-5" prompt="Press Alt+Down and pick the Suggested box." sqref="H25">
      <formula1>"1,2,3,4,5"</formula1>
    </dataValidation>
    <dataValidation type="date" operator="greaterThanOrEqual" allowBlank="1" showInputMessage="1" showErrorMessage="1" promptTitle="Stamp the date" prompt="Press Ctrl+; for today's date." sqref="I25">
      <formula1>43831</formula1>
    </dataValidation>
    <dataValidation allowBlank="1" showInputMessage="1" showErrorMessage="1" promptTitle="Type your answer" prompt="Keys joined with +, like Ctrl+Shift+L, or a function name." sqref="E26"/>
    <dataValidation type="list" allowBlank="1" showInputMessage="1" showErrorMessage="1" promptTitle="Box 1-5" prompt="Press Alt+Down and pick the Suggested box." sqref="H26">
      <formula1>"1,2,3,4,5"</formula1>
    </dataValidation>
    <dataValidation type="date" operator="greaterThanOrEqual" allowBlank="1" showInputMessage="1" showErrorMessage="1" promptTitle="Stamp the date" prompt="Press Ctrl+; for today's date." sqref="I26">
      <formula1>43831</formula1>
    </dataValidation>
    <dataValidation allowBlank="1" showInputMessage="1" showErrorMessage="1" promptTitle="Type your answer" prompt="Keys joined with +, like Ctrl+Shift+L, or a function name." sqref="E27"/>
    <dataValidation type="list" allowBlank="1" showInputMessage="1" showErrorMessage="1" promptTitle="Box 1-5" prompt="Press Alt+Down and pick the Suggested box." sqref="H27">
      <formula1>"1,2,3,4,5"</formula1>
    </dataValidation>
    <dataValidation type="date" operator="greaterThanOrEqual" allowBlank="1" showInputMessage="1" showErrorMessage="1" promptTitle="Stamp the date" prompt="Press Ctrl+; for today's date." sqref="I27">
      <formula1>43831</formula1>
    </dataValidation>
    <dataValidation allowBlank="1" showInputMessage="1" showErrorMessage="1" promptTitle="Type your answer" prompt="Keys joined with +, like Ctrl+Shift+L, or a function name." sqref="E28"/>
    <dataValidation type="list" allowBlank="1" showInputMessage="1" showErrorMessage="1" promptTitle="Box 1-5" prompt="Press Alt+Down and pick the Suggested box." sqref="H28">
      <formula1>"1,2,3,4,5"</formula1>
    </dataValidation>
    <dataValidation type="date" operator="greaterThanOrEqual" allowBlank="1" showInputMessage="1" showErrorMessage="1" promptTitle="Stamp the date" prompt="Press Ctrl+; for today's date." sqref="I28">
      <formula1>43831</formula1>
    </dataValidation>
    <dataValidation allowBlank="1" showInputMessage="1" showErrorMessage="1" promptTitle="Type your answer" prompt="Keys joined with +, like Ctrl+Shift+L, or a function name." sqref="E29"/>
    <dataValidation type="list" allowBlank="1" showInputMessage="1" showErrorMessage="1" promptTitle="Box 1-5" prompt="Press Alt+Down and pick the Suggested box." sqref="H29">
      <formula1>"1,2,3,4,5"</formula1>
    </dataValidation>
    <dataValidation type="date" operator="greaterThanOrEqual" allowBlank="1" showInputMessage="1" showErrorMessage="1" promptTitle="Stamp the date" prompt="Press Ctrl+; for today's date." sqref="I29">
      <formula1>43831</formula1>
    </dataValidation>
    <dataValidation allowBlank="1" showInputMessage="1" showErrorMessage="1" promptTitle="Type your answer" prompt="Keys joined with +, like Ctrl+Shift+L, or a function name." sqref="E30"/>
    <dataValidation type="list" allowBlank="1" showInputMessage="1" showErrorMessage="1" promptTitle="Box 1-5" prompt="Press Alt+Down and pick the Suggested box." sqref="H30">
      <formula1>"1,2,3,4,5"</formula1>
    </dataValidation>
    <dataValidation type="date" operator="greaterThanOrEqual" allowBlank="1" showInputMessage="1" showErrorMessage="1" promptTitle="Stamp the date" prompt="Press Ctrl+; for today's date." sqref="I30">
      <formula1>43831</formula1>
    </dataValidation>
    <dataValidation allowBlank="1" showInputMessage="1" showErrorMessage="1" promptTitle="Type your answer" prompt="Keys joined with +, like Ctrl+Shift+L, or a function name." sqref="E31"/>
    <dataValidation type="list" allowBlank="1" showInputMessage="1" showErrorMessage="1" promptTitle="Box 1-5" prompt="Press Alt+Down and pick the Suggested box." sqref="H31">
      <formula1>"1,2,3,4,5"</formula1>
    </dataValidation>
    <dataValidation type="date" operator="greaterThanOrEqual" allowBlank="1" showInputMessage="1" showErrorMessage="1" promptTitle="Stamp the date" prompt="Press Ctrl+; for today's date." sqref="I31">
      <formula1>43831</formula1>
    </dataValidation>
    <dataValidation allowBlank="1" showInputMessage="1" showErrorMessage="1" promptTitle="Type your answer" prompt="Keys joined with +, like Ctrl+Shift+L, or a function name." sqref="E32"/>
    <dataValidation type="list" allowBlank="1" showInputMessage="1" showErrorMessage="1" promptTitle="Box 1-5" prompt="Press Alt+Down and pick the Suggested box." sqref="H32">
      <formula1>"1,2,3,4,5"</formula1>
    </dataValidation>
    <dataValidation type="date" operator="greaterThanOrEqual" allowBlank="1" showInputMessage="1" showErrorMessage="1" promptTitle="Stamp the date" prompt="Press Ctrl+; for today's date." sqref="I32">
      <formula1>43831</formula1>
    </dataValidation>
    <dataValidation allowBlank="1" showInputMessage="1" showErrorMessage="1" promptTitle="Type your answer" prompt="Keys joined with +, like Ctrl+Shift+L, or a function name." sqref="E33"/>
    <dataValidation type="list" allowBlank="1" showInputMessage="1" showErrorMessage="1" promptTitle="Box 1-5" prompt="Press Alt+Down and pick the Suggested box." sqref="H33">
      <formula1>"1,2,3,4,5"</formula1>
    </dataValidation>
    <dataValidation type="date" operator="greaterThanOrEqual" allowBlank="1" showInputMessage="1" showErrorMessage="1" promptTitle="Stamp the date" prompt="Press Ctrl+; for today's date." sqref="I33">
      <formula1>43831</formula1>
    </dataValidation>
    <dataValidation allowBlank="1" showInputMessage="1" showErrorMessage="1" promptTitle="Type your answer" prompt="Keys joined with +, like Ctrl+Shift+L, or a function name." sqref="E34"/>
    <dataValidation type="list" allowBlank="1" showInputMessage="1" showErrorMessage="1" promptTitle="Box 1-5" prompt="Press Alt+Down and pick the Suggested box." sqref="H34">
      <formula1>"1,2,3,4,5"</formula1>
    </dataValidation>
    <dataValidation type="date" operator="greaterThanOrEqual" allowBlank="1" showInputMessage="1" showErrorMessage="1" promptTitle="Stamp the date" prompt="Press Ctrl+; for today's date." sqref="I34">
      <formula1>43831</formula1>
    </dataValidation>
    <dataValidation allowBlank="1" showInputMessage="1" showErrorMessage="1" promptTitle="Type your answer" prompt="Keys joined with +, like Ctrl+Shift+L, or a function name." sqref="E35"/>
    <dataValidation type="list" allowBlank="1" showInputMessage="1" showErrorMessage="1" promptTitle="Box 1-5" prompt="Press Alt+Down and pick the Suggested box." sqref="H35">
      <formula1>"1,2,3,4,5"</formula1>
    </dataValidation>
    <dataValidation type="date" operator="greaterThanOrEqual" allowBlank="1" showInputMessage="1" showErrorMessage="1" promptTitle="Stamp the date" prompt="Press Ctrl+; for today's date." sqref="I35">
      <formula1>43831</formula1>
    </dataValidation>
    <dataValidation allowBlank="1" showInputMessage="1" showErrorMessage="1" promptTitle="Type your answer" prompt="Keys joined with +, like Ctrl+Shift+L, or a function name." sqref="E36"/>
    <dataValidation type="list" allowBlank="1" showInputMessage="1" showErrorMessage="1" promptTitle="Box 1-5" prompt="Press Alt+Down and pick the Suggested box." sqref="H36">
      <formula1>"1,2,3,4,5"</formula1>
    </dataValidation>
    <dataValidation type="date" operator="greaterThanOrEqual" allowBlank="1" showInputMessage="1" showErrorMessage="1" promptTitle="Stamp the date" prompt="Press Ctrl+; for today's date." sqref="I36">
      <formula1>43831</formula1>
    </dataValidation>
    <dataValidation allowBlank="1" showInputMessage="1" showErrorMessage="1" promptTitle="Type your answer" prompt="Keys joined with +, like Ctrl+Shift+L, or a function name." sqref="E37"/>
    <dataValidation type="list" allowBlank="1" showInputMessage="1" showErrorMessage="1" promptTitle="Box 1-5" prompt="Press Alt+Down and pick the Suggested box." sqref="H37">
      <formula1>"1,2,3,4,5"</formula1>
    </dataValidation>
    <dataValidation type="date" operator="greaterThanOrEqual" allowBlank="1" showInputMessage="1" showErrorMessage="1" promptTitle="Stamp the date" prompt="Press Ctrl+; for today's date." sqref="I37">
      <formula1>43831</formula1>
    </dataValidation>
    <dataValidation allowBlank="1" showInputMessage="1" showErrorMessage="1" promptTitle="Type your answer" prompt="Keys joined with +, like Ctrl+Shift+L, or a function name." sqref="E38"/>
    <dataValidation type="list" allowBlank="1" showInputMessage="1" showErrorMessage="1" promptTitle="Box 1-5" prompt="Press Alt+Down and pick the Suggested box." sqref="H38">
      <formula1>"1,2,3,4,5"</formula1>
    </dataValidation>
    <dataValidation type="date" operator="greaterThanOrEqual" allowBlank="1" showInputMessage="1" showErrorMessage="1" promptTitle="Stamp the date" prompt="Press Ctrl+; for today's date." sqref="I38">
      <formula1>43831</formula1>
    </dataValidation>
    <dataValidation allowBlank="1" showInputMessage="1" showErrorMessage="1" promptTitle="Type your answer" prompt="Keys joined with +, like Ctrl+Shift+L, or a function name." sqref="E39"/>
    <dataValidation type="list" allowBlank="1" showInputMessage="1" showErrorMessage="1" promptTitle="Box 1-5" prompt="Press Alt+Down and pick the Suggested box." sqref="H39">
      <formula1>"1,2,3,4,5"</formula1>
    </dataValidation>
    <dataValidation type="date" operator="greaterThanOrEqual" allowBlank="1" showInputMessage="1" showErrorMessage="1" promptTitle="Stamp the date" prompt="Press Ctrl+; for today's date." sqref="I39">
      <formula1>43831</formula1>
    </dataValidation>
    <dataValidation allowBlank="1" showInputMessage="1" showErrorMessage="1" promptTitle="Type your answer" prompt="Keys joined with +, like Ctrl+Shift+L, or a function name." sqref="E40"/>
    <dataValidation type="list" allowBlank="1" showInputMessage="1" showErrorMessage="1" promptTitle="Box 1-5" prompt="Press Alt+Down and pick the Suggested box." sqref="H40">
      <formula1>"1,2,3,4,5"</formula1>
    </dataValidation>
    <dataValidation type="date" operator="greaterThanOrEqual" allowBlank="1" showInputMessage="1" showErrorMessage="1" promptTitle="Stamp the date" prompt="Press Ctrl+; for today's date." sqref="I40">
      <formula1>43831</formula1>
    </dataValidation>
    <dataValidation allowBlank="1" showInputMessage="1" showErrorMessage="1" promptTitle="Type your answer" prompt="Keys joined with +, like Ctrl+Shift+L, or a function name." sqref="E41"/>
    <dataValidation type="list" allowBlank="1" showInputMessage="1" showErrorMessage="1" promptTitle="Box 1-5" prompt="Press Alt+Down and pick the Suggested box." sqref="H41">
      <formula1>"1,2,3,4,5"</formula1>
    </dataValidation>
    <dataValidation type="date" operator="greaterThanOrEqual" allowBlank="1" showInputMessage="1" showErrorMessage="1" promptTitle="Stamp the date" prompt="Press Ctrl+; for today's date." sqref="I41">
      <formula1>43831</formula1>
    </dataValidation>
    <dataValidation allowBlank="1" showInputMessage="1" showErrorMessage="1" promptTitle="Type your answer" prompt="Keys joined with +, like Ctrl+Shift+L, or a function name." sqref="E42"/>
    <dataValidation type="list" allowBlank="1" showInputMessage="1" showErrorMessage="1" promptTitle="Box 1-5" prompt="Press Alt+Down and pick the Suggested box." sqref="H42">
      <formula1>"1,2,3,4,5"</formula1>
    </dataValidation>
    <dataValidation type="date" operator="greaterThanOrEqual" allowBlank="1" showInputMessage="1" showErrorMessage="1" promptTitle="Stamp the date" prompt="Press Ctrl+; for today's date." sqref="I42">
      <formula1>43831</formula1>
    </dataValidation>
    <dataValidation allowBlank="1" showInputMessage="1" showErrorMessage="1" promptTitle="Type your answer" prompt="Keys joined with +, like Ctrl+Shift+L, or a function name." sqref="E43"/>
    <dataValidation type="list" allowBlank="1" showInputMessage="1" showErrorMessage="1" promptTitle="Box 1-5" prompt="Press Alt+Down and pick the Suggested box." sqref="H43">
      <formula1>"1,2,3,4,5"</formula1>
    </dataValidation>
    <dataValidation type="date" operator="greaterThanOrEqual" allowBlank="1" showInputMessage="1" showErrorMessage="1" promptTitle="Stamp the date" prompt="Press Ctrl+; for today's date." sqref="I43">
      <formula1>43831</formula1>
    </dataValidation>
    <dataValidation allowBlank="1" showInputMessage="1" showErrorMessage="1" promptTitle="Type your answer" prompt="Keys joined with +, like Ctrl+Shift+L, or a function name." sqref="E44"/>
    <dataValidation type="list" allowBlank="1" showInputMessage="1" showErrorMessage="1" promptTitle="Box 1-5" prompt="Press Alt+Down and pick the Suggested box." sqref="H44">
      <formula1>"1,2,3,4,5"</formula1>
    </dataValidation>
    <dataValidation type="date" operator="greaterThanOrEqual" allowBlank="1" showInputMessage="1" showErrorMessage="1" promptTitle="Stamp the date" prompt="Press Ctrl+; for today's date." sqref="I44">
      <formula1>43831</formula1>
    </dataValidation>
    <dataValidation allowBlank="1" showInputMessage="1" showErrorMessage="1" promptTitle="Type your answer" prompt="Keys joined with +, like Ctrl+Shift+L, or a function name." sqref="E45"/>
    <dataValidation type="list" allowBlank="1" showInputMessage="1" showErrorMessage="1" promptTitle="Box 1-5" prompt="Press Alt+Down and pick the Suggested box." sqref="H45">
      <formula1>"1,2,3,4,5"</formula1>
    </dataValidation>
    <dataValidation type="date" operator="greaterThanOrEqual" allowBlank="1" showInputMessage="1" showErrorMessage="1" promptTitle="Stamp the date" prompt="Press Ctrl+; for today's date." sqref="I45">
      <formula1>43831</formula1>
    </dataValidation>
    <dataValidation allowBlank="1" showInputMessage="1" showErrorMessage="1" promptTitle="Type your answer" prompt="Keys joined with +, like Ctrl+Shift+L, or a function name." sqref="E46"/>
    <dataValidation type="list" allowBlank="1" showInputMessage="1" showErrorMessage="1" promptTitle="Box 1-5" prompt="Press Alt+Down and pick the Suggested box." sqref="H46">
      <formula1>"1,2,3,4,5"</formula1>
    </dataValidation>
    <dataValidation type="date" operator="greaterThanOrEqual" allowBlank="1" showInputMessage="1" showErrorMessage="1" promptTitle="Stamp the date" prompt="Press Ctrl+; for today's date." sqref="I46">
      <formula1>43831</formula1>
    </dataValidation>
    <dataValidation allowBlank="1" showInputMessage="1" showErrorMessage="1" promptTitle="Type your answer" prompt="Keys joined with +, like Ctrl+Shift+L, or a function name." sqref="E47"/>
    <dataValidation type="list" allowBlank="1" showInputMessage="1" showErrorMessage="1" promptTitle="Box 1-5" prompt="Press Alt+Down and pick the Suggested box." sqref="H47">
      <formula1>"1,2,3,4,5"</formula1>
    </dataValidation>
    <dataValidation type="date" operator="greaterThanOrEqual" allowBlank="1" showInputMessage="1" showErrorMessage="1" promptTitle="Stamp the date" prompt="Press Ctrl+; for today's date." sqref="I47">
      <formula1>43831</formula1>
    </dataValidation>
    <dataValidation allowBlank="1" showInputMessage="1" showErrorMessage="1" promptTitle="Type your answer" prompt="Keys joined with +, like Ctrl+Shift+L, or a function name." sqref="E48"/>
    <dataValidation type="list" allowBlank="1" showInputMessage="1" showErrorMessage="1" promptTitle="Box 1-5" prompt="Press Alt+Down and pick the Suggested box." sqref="H48">
      <formula1>"1,2,3,4,5"</formula1>
    </dataValidation>
    <dataValidation type="date" operator="greaterThanOrEqual" allowBlank="1" showInputMessage="1" showErrorMessage="1" promptTitle="Stamp the date" prompt="Press Ctrl+; for today's date." sqref="I48">
      <formula1>43831</formula1>
    </dataValidation>
    <dataValidation allowBlank="1" showInputMessage="1" showErrorMessage="1" promptTitle="Type your answer" prompt="Keys joined with +, like Ctrl+Shift+L, or a function name." sqref="E49"/>
    <dataValidation type="list" allowBlank="1" showInputMessage="1" showErrorMessage="1" promptTitle="Box 1-5" prompt="Press Alt+Down and pick the Suggested box." sqref="H49">
      <formula1>"1,2,3,4,5"</formula1>
    </dataValidation>
    <dataValidation type="date" operator="greaterThanOrEqual" allowBlank="1" showInputMessage="1" showErrorMessage="1" promptTitle="Stamp the date" prompt="Press Ctrl+; for today's date." sqref="I49">
      <formula1>43831</formula1>
    </dataValidation>
    <dataValidation allowBlank="1" showInputMessage="1" showErrorMessage="1" promptTitle="Type your answer" prompt="Keys joined with +, like Ctrl+Shift+L, or a function name." sqref="E50"/>
    <dataValidation type="list" allowBlank="1" showInputMessage="1" showErrorMessage="1" promptTitle="Box 1-5" prompt="Press Alt+Down and pick the Suggested box." sqref="H50">
      <formula1>"1,2,3,4,5"</formula1>
    </dataValidation>
    <dataValidation type="date" operator="greaterThanOrEqual" allowBlank="1" showInputMessage="1" showErrorMessage="1" promptTitle="Stamp the date" prompt="Press Ctrl+; for today's date." sqref="I50">
      <formula1>43831</formula1>
    </dataValidation>
    <dataValidation allowBlank="1" showInputMessage="1" showErrorMessage="1" promptTitle="Type your answer" prompt="Keys joined with +, like Ctrl+Shift+L, or a function name." sqref="E51"/>
    <dataValidation type="list" allowBlank="1" showInputMessage="1" showErrorMessage="1" promptTitle="Box 1-5" prompt="Press Alt+Down and pick the Suggested box." sqref="H51">
      <formula1>"1,2,3,4,5"</formula1>
    </dataValidation>
    <dataValidation type="date" operator="greaterThanOrEqual" allowBlank="1" showInputMessage="1" showErrorMessage="1" promptTitle="Stamp the date" prompt="Press Ctrl+; for today's date." sqref="I51">
      <formula1>43831</formula1>
    </dataValidation>
    <dataValidation allowBlank="1" showInputMessage="1" showErrorMessage="1" promptTitle="Type your answer" prompt="Keys joined with +, like Ctrl+Shift+L, or a function name." sqref="E52"/>
    <dataValidation type="list" allowBlank="1" showInputMessage="1" showErrorMessage="1" promptTitle="Box 1-5" prompt="Press Alt+Down and pick the Suggested box." sqref="H52">
      <formula1>"1,2,3,4,5"</formula1>
    </dataValidation>
    <dataValidation type="date" operator="greaterThanOrEqual" allowBlank="1" showInputMessage="1" showErrorMessage="1" promptTitle="Stamp the date" prompt="Press Ctrl+; for today's date." sqref="I52">
      <formula1>43831</formula1>
    </dataValidation>
    <dataValidation allowBlank="1" showInputMessage="1" showErrorMessage="1" promptTitle="Type your answer" prompt="Keys joined with +, like Ctrl+Shift+L, or a function name." sqref="E53"/>
    <dataValidation type="list" allowBlank="1" showInputMessage="1" showErrorMessage="1" promptTitle="Box 1-5" prompt="Press Alt+Down and pick the Suggested box." sqref="H53">
      <formula1>"1,2,3,4,5"</formula1>
    </dataValidation>
    <dataValidation type="date" operator="greaterThanOrEqual" allowBlank="1" showInputMessage="1" showErrorMessage="1" promptTitle="Stamp the date" prompt="Press Ctrl+; for today's date." sqref="I53">
      <formula1>43831</formula1>
    </dataValidation>
    <dataValidation allowBlank="1" showInputMessage="1" showErrorMessage="1" promptTitle="Type your answer" prompt="Keys joined with +, like Ctrl+Shift+L, or a function name." sqref="E54"/>
    <dataValidation type="list" allowBlank="1" showInputMessage="1" showErrorMessage="1" promptTitle="Box 1-5" prompt="Press Alt+Down and pick the Suggested box." sqref="H54">
      <formula1>"1,2,3,4,5"</formula1>
    </dataValidation>
    <dataValidation type="date" operator="greaterThanOrEqual" allowBlank="1" showInputMessage="1" showErrorMessage="1" promptTitle="Stamp the date" prompt="Press Ctrl+; for today's date." sqref="I54">
      <formula1>43831</formula1>
    </dataValidation>
    <dataValidation allowBlank="1" showInputMessage="1" showErrorMessage="1" promptTitle="Type your answer" prompt="Keys joined with +, like Ctrl+Shift+L, or a function name." sqref="E55"/>
    <dataValidation type="list" allowBlank="1" showInputMessage="1" showErrorMessage="1" promptTitle="Box 1-5" prompt="Press Alt+Down and pick the Suggested box." sqref="H55">
      <formula1>"1,2,3,4,5"</formula1>
    </dataValidation>
    <dataValidation type="date" operator="greaterThanOrEqual" allowBlank="1" showInputMessage="1" showErrorMessage="1" promptTitle="Stamp the date" prompt="Press Ctrl+; for today's date." sqref="I55">
      <formula1>43831</formula1>
    </dataValidation>
    <dataValidation allowBlank="1" showInputMessage="1" showErrorMessage="1" promptTitle="Type your answer" prompt="Keys joined with +, like Ctrl+Shift+L, or a function name." sqref="E56"/>
    <dataValidation type="list" allowBlank="1" showInputMessage="1" showErrorMessage="1" promptTitle="Box 1-5" prompt="Press Alt+Down and pick the Suggested box." sqref="H56">
      <formula1>"1,2,3,4,5"</formula1>
    </dataValidation>
    <dataValidation type="date" operator="greaterThanOrEqual" allowBlank="1" showInputMessage="1" showErrorMessage="1" promptTitle="Stamp the date" prompt="Press Ctrl+; for today's date." sqref="I56">
      <formula1>43831</formula1>
    </dataValidation>
    <dataValidation allowBlank="1" showInputMessage="1" showErrorMessage="1" promptTitle="Type your answer" prompt="Keys joined with +, like Ctrl+Shift+L, or a function name." sqref="E57"/>
    <dataValidation type="list" allowBlank="1" showInputMessage="1" showErrorMessage="1" promptTitle="Box 1-5" prompt="Press Alt+Down and pick the Suggested box." sqref="H57">
      <formula1>"1,2,3,4,5"</formula1>
    </dataValidation>
    <dataValidation type="date" operator="greaterThanOrEqual" allowBlank="1" showInputMessage="1" showErrorMessage="1" promptTitle="Stamp the date" prompt="Press Ctrl+; for today's date." sqref="I57">
      <formula1>43831</formula1>
    </dataValidation>
    <dataValidation allowBlank="1" showInputMessage="1" showErrorMessage="1" promptTitle="Type your answer" prompt="Keys joined with +, like Ctrl+Shift+L, or a function name." sqref="E58"/>
    <dataValidation type="list" allowBlank="1" showInputMessage="1" showErrorMessage="1" promptTitle="Box 1-5" prompt="Press Alt+Down and pick the Suggested box." sqref="H58">
      <formula1>"1,2,3,4,5"</formula1>
    </dataValidation>
    <dataValidation type="date" operator="greaterThanOrEqual" allowBlank="1" showInputMessage="1" showErrorMessage="1" promptTitle="Stamp the date" prompt="Press Ctrl+; for today's date." sqref="I58">
      <formula1>43831</formula1>
    </dataValidation>
    <dataValidation allowBlank="1" showInputMessage="1" showErrorMessage="1" promptTitle="Type your answer" prompt="Keys joined with +, like Ctrl+Shift+L, or a function name." sqref="E59"/>
    <dataValidation type="list" allowBlank="1" showInputMessage="1" showErrorMessage="1" promptTitle="Box 1-5" prompt="Press Alt+Down and pick the Suggested box." sqref="H59">
      <formula1>"1,2,3,4,5"</formula1>
    </dataValidation>
    <dataValidation type="date" operator="greaterThanOrEqual" allowBlank="1" showInputMessage="1" showErrorMessage="1" promptTitle="Stamp the date" prompt="Press Ctrl+; for today's date." sqref="I59">
      <formula1>43831</formula1>
    </dataValidation>
    <dataValidation allowBlank="1" showInputMessage="1" showErrorMessage="1" promptTitle="Type your answer" prompt="Keys joined with +, like Ctrl+Shift+L, or a function name." sqref="E60"/>
    <dataValidation type="list" allowBlank="1" showInputMessage="1" showErrorMessage="1" promptTitle="Box 1-5" prompt="Press Alt+Down and pick the Suggested box." sqref="H60">
      <formula1>"1,2,3,4,5"</formula1>
    </dataValidation>
    <dataValidation type="date" operator="greaterThanOrEqual" allowBlank="1" showInputMessage="1" showErrorMessage="1" promptTitle="Stamp the date" prompt="Press Ctrl+; for today's date." sqref="I60">
      <formula1>43831</formula1>
    </dataValidation>
    <dataValidation allowBlank="1" showInputMessage="1" showErrorMessage="1" promptTitle="Type your answer" prompt="Keys joined with +, like Ctrl+Shift+L, or a function name." sqref="E61"/>
    <dataValidation type="list" allowBlank="1" showInputMessage="1" showErrorMessage="1" promptTitle="Box 1-5" prompt="Press Alt+Down and pick the Suggested box." sqref="H61">
      <formula1>"1,2,3,4,5"</formula1>
    </dataValidation>
    <dataValidation type="date" operator="greaterThanOrEqual" allowBlank="1" showInputMessage="1" showErrorMessage="1" promptTitle="Stamp the date" prompt="Press Ctrl+; for today's date." sqref="I61">
      <formula1>43831</formula1>
    </dataValidation>
    <dataValidation allowBlank="1" showInputMessage="1" showErrorMessage="1" promptTitle="Type your answer" prompt="Keys joined with +, like Ctrl+Shift+L, or a function name." sqref="E62"/>
    <dataValidation type="list" allowBlank="1" showInputMessage="1" showErrorMessage="1" promptTitle="Box 1-5" prompt="Press Alt+Down and pick the Suggested box." sqref="H62">
      <formula1>"1,2,3,4,5"</formula1>
    </dataValidation>
    <dataValidation type="date" operator="greaterThanOrEqual" allowBlank="1" showInputMessage="1" showErrorMessage="1" promptTitle="Stamp the date" prompt="Press Ctrl+; for today's date." sqref="I62">
      <formula1>43831</formula1>
    </dataValidation>
    <dataValidation allowBlank="1" showInputMessage="1" showErrorMessage="1" promptTitle="Type your answer" prompt="Keys joined with +, like Ctrl+Shift+L, or a function name." sqref="E63"/>
    <dataValidation type="list" allowBlank="1" showInputMessage="1" showErrorMessage="1" promptTitle="Box 1-5" prompt="Press Alt+Down and pick the Suggested box." sqref="H63">
      <formula1>"1,2,3,4,5"</formula1>
    </dataValidation>
    <dataValidation type="date" operator="greaterThanOrEqual" allowBlank="1" showInputMessage="1" showErrorMessage="1" promptTitle="Stamp the date" prompt="Press Ctrl+; for today's date." sqref="I63">
      <formula1>43831</formula1>
    </dataValidation>
    <dataValidation allowBlank="1" showInputMessage="1" showErrorMessage="1" promptTitle="Type your answer" prompt="Keys joined with +, like Ctrl+Shift+L, or a function name." sqref="E64"/>
    <dataValidation type="list" allowBlank="1" showInputMessage="1" showErrorMessage="1" promptTitle="Box 1-5" prompt="Press Alt+Down and pick the Suggested box." sqref="H64">
      <formula1>"1,2,3,4,5"</formula1>
    </dataValidation>
    <dataValidation type="date" operator="greaterThanOrEqual" allowBlank="1" showInputMessage="1" showErrorMessage="1" promptTitle="Stamp the date" prompt="Press Ctrl+; for today's date." sqref="I64">
      <formula1>43831</formula1>
    </dataValidation>
    <dataValidation allowBlank="1" showInputMessage="1" showErrorMessage="1" promptTitle="Type your answer" prompt="Keys joined with +, like Ctrl+Shift+L, or a function name." sqref="E65"/>
    <dataValidation type="list" allowBlank="1" showInputMessage="1" showErrorMessage="1" promptTitle="Box 1-5" prompt="Press Alt+Down and pick the Suggested box." sqref="H65">
      <formula1>"1,2,3,4,5"</formula1>
    </dataValidation>
    <dataValidation type="date" operator="greaterThanOrEqual" allowBlank="1" showInputMessage="1" showErrorMessage="1" promptTitle="Stamp the date" prompt="Press Ctrl+; for today's date." sqref="I65">
      <formula1>43831</formula1>
    </dataValidation>
    <dataValidation allowBlank="1" showInputMessage="1" showErrorMessage="1" promptTitle="Type your answer" prompt="Keys joined with +, like Ctrl+Shift+L, or a function name." sqref="E66"/>
    <dataValidation type="list" allowBlank="1" showInputMessage="1" showErrorMessage="1" promptTitle="Box 1-5" prompt="Press Alt+Down and pick the Suggested box." sqref="H66">
      <formula1>"1,2,3,4,5"</formula1>
    </dataValidation>
    <dataValidation type="date" operator="greaterThanOrEqual" allowBlank="1" showInputMessage="1" showErrorMessage="1" promptTitle="Stamp the date" prompt="Press Ctrl+; for today's date." sqref="I66">
      <formula1>43831</formula1>
    </dataValidation>
    <dataValidation allowBlank="1" showInputMessage="1" showErrorMessage="1" promptTitle="Type your answer" prompt="Keys joined with +, like Ctrl+Shift+L, or a function name." sqref="E67"/>
    <dataValidation type="list" allowBlank="1" showInputMessage="1" showErrorMessage="1" promptTitle="Box 1-5" prompt="Press Alt+Down and pick the Suggested box." sqref="H67">
      <formula1>"1,2,3,4,5"</formula1>
    </dataValidation>
    <dataValidation type="date" operator="greaterThanOrEqual" allowBlank="1" showInputMessage="1" showErrorMessage="1" promptTitle="Stamp the date" prompt="Press Ctrl+; for today's date." sqref="I67">
      <formula1>43831</formula1>
    </dataValidation>
    <dataValidation allowBlank="1" showInputMessage="1" showErrorMessage="1" promptTitle="Type your answer" prompt="Keys joined with +, like Ctrl+Shift+L, or a function name." sqref="E68"/>
    <dataValidation type="list" allowBlank="1" showInputMessage="1" showErrorMessage="1" promptTitle="Box 1-5" prompt="Press Alt+Down and pick the Suggested box." sqref="H68">
      <formula1>"1,2,3,4,5"</formula1>
    </dataValidation>
    <dataValidation type="date" operator="greaterThanOrEqual" allowBlank="1" showInputMessage="1" showErrorMessage="1" promptTitle="Stamp the date" prompt="Press Ctrl+; for today's date." sqref="I68">
      <formula1>43831</formula1>
    </dataValidation>
    <dataValidation allowBlank="1" showInputMessage="1" showErrorMessage="1" promptTitle="Type your answer" prompt="Keys joined with +, like Ctrl+Shift+L, or a function name." sqref="E69"/>
    <dataValidation type="list" allowBlank="1" showInputMessage="1" showErrorMessage="1" promptTitle="Box 1-5" prompt="Press Alt+Down and pick the Suggested box." sqref="H69">
      <formula1>"1,2,3,4,5"</formula1>
    </dataValidation>
    <dataValidation type="date" operator="greaterThanOrEqual" allowBlank="1" showInputMessage="1" showErrorMessage="1" promptTitle="Stamp the date" prompt="Press Ctrl+; for today's date." sqref="I69">
      <formula1>43831</formula1>
    </dataValidation>
    <dataValidation allowBlank="1" showInputMessage="1" showErrorMessage="1" promptTitle="Type your answer" prompt="Keys joined with +, like Ctrl+Shift+L, or a function name." sqref="E70"/>
    <dataValidation type="list" allowBlank="1" showInputMessage="1" showErrorMessage="1" promptTitle="Box 1-5" prompt="Press Alt+Down and pick the Suggested box." sqref="H70">
      <formula1>"1,2,3,4,5"</formula1>
    </dataValidation>
    <dataValidation type="date" operator="greaterThanOrEqual" allowBlank="1" showInputMessage="1" showErrorMessage="1" promptTitle="Stamp the date" prompt="Press Ctrl+; for today's date." sqref="I70">
      <formula1>43831</formula1>
    </dataValidation>
    <dataValidation allowBlank="1" showInputMessage="1" showErrorMessage="1" promptTitle="Type your answer" prompt="Keys joined with +, like Ctrl+Shift+L, or a function name." sqref="E71"/>
    <dataValidation type="list" allowBlank="1" showInputMessage="1" showErrorMessage="1" promptTitle="Box 1-5" prompt="Press Alt+Down and pick the Suggested box." sqref="H71">
      <formula1>"1,2,3,4,5"</formula1>
    </dataValidation>
    <dataValidation type="date" operator="greaterThanOrEqual" allowBlank="1" showInputMessage="1" showErrorMessage="1" promptTitle="Stamp the date" prompt="Press Ctrl+; for today's date." sqref="I71">
      <formula1>43831</formula1>
    </dataValidation>
    <dataValidation allowBlank="1" showInputMessage="1" showErrorMessage="1" promptTitle="Type your answer" prompt="Keys joined with +, like Ctrl+Shift+L, or a function name." sqref="E72"/>
    <dataValidation type="list" allowBlank="1" showInputMessage="1" showErrorMessage="1" promptTitle="Box 1-5" prompt="Press Alt+Down and pick the Suggested box." sqref="H72">
      <formula1>"1,2,3,4,5"</formula1>
    </dataValidation>
    <dataValidation type="date" operator="greaterThanOrEqual" allowBlank="1" showInputMessage="1" showErrorMessage="1" promptTitle="Stamp the date" prompt="Press Ctrl+; for today's date." sqref="I72">
      <formula1>43831</formula1>
    </dataValidation>
    <dataValidation allowBlank="1" showInputMessage="1" showErrorMessage="1" promptTitle="Type your answer" prompt="Keys joined with +, like Ctrl+Shift+L, or a function name." sqref="E73"/>
    <dataValidation type="list" allowBlank="1" showInputMessage="1" showErrorMessage="1" promptTitle="Box 1-5" prompt="Press Alt+Down and pick the Suggested box." sqref="H73">
      <formula1>"1,2,3,4,5"</formula1>
    </dataValidation>
    <dataValidation type="date" operator="greaterThanOrEqual" allowBlank="1" showInputMessage="1" showErrorMessage="1" promptTitle="Stamp the date" prompt="Press Ctrl+; for today's date." sqref="I73">
      <formula1>43831</formula1>
    </dataValidation>
    <dataValidation allowBlank="1" showInputMessage="1" showErrorMessage="1" promptTitle="Type your answer" prompt="Keys joined with +, like Ctrl+Shift+L, or a function name." sqref="E74"/>
    <dataValidation type="list" allowBlank="1" showInputMessage="1" showErrorMessage="1" promptTitle="Box 1-5" prompt="Press Alt+Down and pick the Suggested box." sqref="H74">
      <formula1>"1,2,3,4,5"</formula1>
    </dataValidation>
    <dataValidation type="date" operator="greaterThanOrEqual" allowBlank="1" showInputMessage="1" showErrorMessage="1" promptTitle="Stamp the date" prompt="Press Ctrl+; for today's date." sqref="I74">
      <formula1>43831</formula1>
    </dataValidation>
    <dataValidation allowBlank="1" showInputMessage="1" showErrorMessage="1" promptTitle="Type your answer" prompt="Keys joined with +, like Ctrl+Shift+L, or a function name." sqref="E75"/>
    <dataValidation type="list" allowBlank="1" showInputMessage="1" showErrorMessage="1" promptTitle="Box 1-5" prompt="Press Alt+Down and pick the Suggested box." sqref="H75">
      <formula1>"1,2,3,4,5"</formula1>
    </dataValidation>
    <dataValidation type="date" operator="greaterThanOrEqual" allowBlank="1" showInputMessage="1" showErrorMessage="1" promptTitle="Stamp the date" prompt="Press Ctrl+; for today's date." sqref="I75">
      <formula1>43831</formula1>
    </dataValidation>
    <dataValidation allowBlank="1" showInputMessage="1" showErrorMessage="1" promptTitle="Type your answer" prompt="Keys joined with +, like Ctrl+Shift+L, or a function name." sqref="E76"/>
    <dataValidation type="list" allowBlank="1" showInputMessage="1" showErrorMessage="1" promptTitle="Box 1-5" prompt="Press Alt+Down and pick the Suggested box." sqref="H76">
      <formula1>"1,2,3,4,5"</formula1>
    </dataValidation>
    <dataValidation type="date" operator="greaterThanOrEqual" allowBlank="1" showInputMessage="1" showErrorMessage="1" promptTitle="Stamp the date" prompt="Press Ctrl+; for today's date." sqref="I76">
      <formula1>43831</formula1>
    </dataValidation>
    <dataValidation allowBlank="1" showInputMessage="1" showErrorMessage="1" promptTitle="Type your answer" prompt="Keys joined with +, like Ctrl+Shift+L, or a function name." sqref="E77"/>
    <dataValidation type="list" allowBlank="1" showInputMessage="1" showErrorMessage="1" promptTitle="Box 1-5" prompt="Press Alt+Down and pick the Suggested box." sqref="H77">
      <formula1>"1,2,3,4,5"</formula1>
    </dataValidation>
    <dataValidation type="date" operator="greaterThanOrEqual" allowBlank="1" showInputMessage="1" showErrorMessage="1" promptTitle="Stamp the date" prompt="Press Ctrl+; for today's date." sqref="I77">
      <formula1>43831</formula1>
    </dataValidation>
    <dataValidation allowBlank="1" showInputMessage="1" showErrorMessage="1" promptTitle="Type your answer" prompt="Keys joined with +, like Ctrl+Shift+L, or a function name." sqref="E78"/>
    <dataValidation type="list" allowBlank="1" showInputMessage="1" showErrorMessage="1" promptTitle="Box 1-5" prompt="Press Alt+Down and pick the Suggested box." sqref="H78">
      <formula1>"1,2,3,4,5"</formula1>
    </dataValidation>
    <dataValidation type="date" operator="greaterThanOrEqual" allowBlank="1" showInputMessage="1" showErrorMessage="1" promptTitle="Stamp the date" prompt="Press Ctrl+; for today's date." sqref="I78">
      <formula1>43831</formula1>
    </dataValidation>
    <dataValidation allowBlank="1" showInputMessage="1" showErrorMessage="1" promptTitle="Type your answer" prompt="Keys joined with +, like Ctrl+Shift+L, or a function name." sqref="E79"/>
    <dataValidation type="list" allowBlank="1" showInputMessage="1" showErrorMessage="1" promptTitle="Box 1-5" prompt="Press Alt+Down and pick the Suggested box." sqref="H79">
      <formula1>"1,2,3,4,5"</formula1>
    </dataValidation>
    <dataValidation type="date" operator="greaterThanOrEqual" allowBlank="1" showInputMessage="1" showErrorMessage="1" promptTitle="Stamp the date" prompt="Press Ctrl+; for today's date." sqref="I79">
      <formula1>43831</formula1>
    </dataValidation>
    <dataValidation allowBlank="1" showInputMessage="1" showErrorMessage="1" promptTitle="Type your answer" prompt="Keys joined with +, like Ctrl+Shift+L, or a function name." sqref="E80"/>
    <dataValidation type="list" allowBlank="1" showInputMessage="1" showErrorMessage="1" promptTitle="Box 1-5" prompt="Press Alt+Down and pick the Suggested box." sqref="H80">
      <formula1>"1,2,3,4,5"</formula1>
    </dataValidation>
    <dataValidation type="date" operator="greaterThanOrEqual" allowBlank="1" showInputMessage="1" showErrorMessage="1" promptTitle="Stamp the date" prompt="Press Ctrl+; for today's date." sqref="I80">
      <formula1>43831</formula1>
    </dataValidation>
    <dataValidation allowBlank="1" showInputMessage="1" showErrorMessage="1" promptTitle="Type your answer" prompt="Keys joined with +, like Ctrl+Shift+L, or a function name." sqref="E81"/>
    <dataValidation type="list" allowBlank="1" showInputMessage="1" showErrorMessage="1" promptTitle="Box 1-5" prompt="Press Alt+Down and pick the Suggested box." sqref="H81">
      <formula1>"1,2,3,4,5"</formula1>
    </dataValidation>
    <dataValidation type="date" operator="greaterThanOrEqual" allowBlank="1" showInputMessage="1" showErrorMessage="1" promptTitle="Stamp the date" prompt="Press Ctrl+; for today's date." sqref="I81">
      <formula1>43831</formula1>
    </dataValidation>
    <dataValidation allowBlank="1" showInputMessage="1" showErrorMessage="1" promptTitle="Type your answer" prompt="Keys joined with +, like Ctrl+Shift+L, or a function name." sqref="E82"/>
    <dataValidation type="list" allowBlank="1" showInputMessage="1" showErrorMessage="1" promptTitle="Box 1-5" prompt="Press Alt+Down and pick the Suggested box." sqref="H82">
      <formula1>"1,2,3,4,5"</formula1>
    </dataValidation>
    <dataValidation type="date" operator="greaterThanOrEqual" allowBlank="1" showInputMessage="1" showErrorMessage="1" promptTitle="Stamp the date" prompt="Press Ctrl+; for today's date." sqref="I82">
      <formula1>43831</formula1>
    </dataValidation>
    <dataValidation allowBlank="1" showInputMessage="1" showErrorMessage="1" promptTitle="Type your answer" prompt="Keys joined with +, like Ctrl+Shift+L, or a function name." sqref="E83"/>
    <dataValidation type="list" allowBlank="1" showInputMessage="1" showErrorMessage="1" promptTitle="Box 1-5" prompt="Press Alt+Down and pick the Suggested box." sqref="H83">
      <formula1>"1,2,3,4,5"</formula1>
    </dataValidation>
    <dataValidation type="date" operator="greaterThanOrEqual" allowBlank="1" showInputMessage="1" showErrorMessage="1" promptTitle="Stamp the date" prompt="Press Ctrl+; for today's date." sqref="I83">
      <formula1>43831</formula1>
    </dataValidation>
    <dataValidation allowBlank="1" showInputMessage="1" showErrorMessage="1" promptTitle="Type your answer" prompt="Keys joined with +, like Ctrl+Shift+L, or a function name." sqref="E84"/>
    <dataValidation type="list" allowBlank="1" showInputMessage="1" showErrorMessage="1" promptTitle="Box 1-5" prompt="Press Alt+Down and pick the Suggested box." sqref="H84">
      <formula1>"1,2,3,4,5"</formula1>
    </dataValidation>
    <dataValidation type="date" operator="greaterThanOrEqual" allowBlank="1" showInputMessage="1" showErrorMessage="1" promptTitle="Stamp the date" prompt="Press Ctrl+; for today's date." sqref="I84">
      <formula1>43831</formula1>
    </dataValidation>
    <dataValidation allowBlank="1" showInputMessage="1" showErrorMessage="1" promptTitle="Type your answer" prompt="Keys joined with +, like Ctrl+Shift+L, or a function name." sqref="E85"/>
    <dataValidation type="list" allowBlank="1" showInputMessage="1" showErrorMessage="1" promptTitle="Box 1-5" prompt="Press Alt+Down and pick the Suggested box." sqref="H85">
      <formula1>"1,2,3,4,5"</formula1>
    </dataValidation>
    <dataValidation type="date" operator="greaterThanOrEqual" allowBlank="1" showInputMessage="1" showErrorMessage="1" promptTitle="Stamp the date" prompt="Press Ctrl+; for today's date." sqref="I85">
      <formula1>43831</formula1>
    </dataValidation>
    <dataValidation allowBlank="1" showInputMessage="1" showErrorMessage="1" promptTitle="Type your answer" prompt="Keys joined with +, like Ctrl+Shift+L, or a function name." sqref="E86"/>
    <dataValidation type="list" allowBlank="1" showInputMessage="1" showErrorMessage="1" promptTitle="Box 1-5" prompt="Press Alt+Down and pick the Suggested box." sqref="H86">
      <formula1>"1,2,3,4,5"</formula1>
    </dataValidation>
    <dataValidation type="date" operator="greaterThanOrEqual" allowBlank="1" showInputMessage="1" showErrorMessage="1" promptTitle="Stamp the date" prompt="Press Ctrl+; for today's date." sqref="I86">
      <formula1>43831</formula1>
    </dataValidation>
    <dataValidation allowBlank="1" showInputMessage="1" showErrorMessage="1" promptTitle="Type your answer" prompt="Keys joined with +, like Ctrl+Shift+L, or a function name." sqref="E87"/>
    <dataValidation type="list" allowBlank="1" showInputMessage="1" showErrorMessage="1" promptTitle="Box 1-5" prompt="Press Alt+Down and pick the Suggested box." sqref="H87">
      <formula1>"1,2,3,4,5"</formula1>
    </dataValidation>
    <dataValidation type="date" operator="greaterThanOrEqual" allowBlank="1" showInputMessage="1" showErrorMessage="1" promptTitle="Stamp the date" prompt="Press Ctrl+; for today's date." sqref="I87">
      <formula1>43831</formula1>
    </dataValidation>
    <dataValidation allowBlank="1" showInputMessage="1" showErrorMessage="1" promptTitle="Type your answer" prompt="Keys joined with +, like Ctrl+Shift+L, or a function name." sqref="E88"/>
    <dataValidation type="list" allowBlank="1" showInputMessage="1" showErrorMessage="1" promptTitle="Box 1-5" prompt="Press Alt+Down and pick the Suggested box." sqref="H88">
      <formula1>"1,2,3,4,5"</formula1>
    </dataValidation>
    <dataValidation type="date" operator="greaterThanOrEqual" allowBlank="1" showInputMessage="1" showErrorMessage="1" promptTitle="Stamp the date" prompt="Press Ctrl+; for today's date." sqref="I88">
      <formula1>43831</formula1>
    </dataValidation>
    <dataValidation allowBlank="1" showInputMessage="1" showErrorMessage="1" promptTitle="Type your answer" prompt="Keys joined with +, like Ctrl+Shift+L, or a function name." sqref="E89"/>
    <dataValidation type="list" allowBlank="1" showInputMessage="1" showErrorMessage="1" promptTitle="Box 1-5" prompt="Press Alt+Down and pick the Suggested box." sqref="H89">
      <formula1>"1,2,3,4,5"</formula1>
    </dataValidation>
    <dataValidation type="date" operator="greaterThanOrEqual" allowBlank="1" showInputMessage="1" showErrorMessage="1" promptTitle="Stamp the date" prompt="Press Ctrl+; for today's date." sqref="I89">
      <formula1>43831</formula1>
    </dataValidation>
    <dataValidation allowBlank="1" showInputMessage="1" showErrorMessage="1" promptTitle="Type your answer" prompt="Keys joined with +, like Ctrl+Shift+L, or a function name." sqref="E90"/>
    <dataValidation type="list" allowBlank="1" showInputMessage="1" showErrorMessage="1" promptTitle="Box 1-5" prompt="Press Alt+Down and pick the Suggested box." sqref="H90">
      <formula1>"1,2,3,4,5"</formula1>
    </dataValidation>
    <dataValidation type="date" operator="greaterThanOrEqual" allowBlank="1" showInputMessage="1" showErrorMessage="1" promptTitle="Stamp the date" prompt="Press Ctrl+; for today's date." sqref="I90">
      <formula1>43831</formula1>
    </dataValidation>
    <dataValidation allowBlank="1" showInputMessage="1" showErrorMessage="1" promptTitle="Type your answer" prompt="Keys joined with +, like Ctrl+Shift+L, or a function name." sqref="E91"/>
    <dataValidation type="list" allowBlank="1" showInputMessage="1" showErrorMessage="1" promptTitle="Box 1-5" prompt="Press Alt+Down and pick the Suggested box." sqref="H91">
      <formula1>"1,2,3,4,5"</formula1>
    </dataValidation>
    <dataValidation type="date" operator="greaterThanOrEqual" allowBlank="1" showInputMessage="1" showErrorMessage="1" promptTitle="Stamp the date" prompt="Press Ctrl+; for today's date." sqref="I91">
      <formula1>43831</formula1>
    </dataValidation>
    <dataValidation allowBlank="1" showInputMessage="1" showErrorMessage="1" promptTitle="Type your answer" prompt="Keys joined with +, like Ctrl+Shift+L, or a function name." sqref="E92"/>
    <dataValidation type="list" allowBlank="1" showInputMessage="1" showErrorMessage="1" promptTitle="Box 1-5" prompt="Press Alt+Down and pick the Suggested box." sqref="H92">
      <formula1>"1,2,3,4,5"</formula1>
    </dataValidation>
    <dataValidation type="date" operator="greaterThanOrEqual" allowBlank="1" showInputMessage="1" showErrorMessage="1" promptTitle="Stamp the date" prompt="Press Ctrl+; for today's date." sqref="I92">
      <formula1>43831</formula1>
    </dataValidation>
    <dataValidation allowBlank="1" showInputMessage="1" showErrorMessage="1" promptTitle="Type your answer" prompt="Keys joined with +, like Ctrl+Shift+L, or a function name." sqref="E93"/>
    <dataValidation type="list" allowBlank="1" showInputMessage="1" showErrorMessage="1" promptTitle="Box 1-5" prompt="Press Alt+Down and pick the Suggested box." sqref="H93">
      <formula1>"1,2,3,4,5"</formula1>
    </dataValidation>
    <dataValidation type="date" operator="greaterThanOrEqual" allowBlank="1" showInputMessage="1" showErrorMessage="1" promptTitle="Stamp the date" prompt="Press Ctrl+; for today's date." sqref="I93">
      <formula1>43831</formula1>
    </dataValidation>
    <dataValidation allowBlank="1" showInputMessage="1" showErrorMessage="1" promptTitle="Type your answer" prompt="Keys joined with +, like Ctrl+Shift+L, or a function name." sqref="E94"/>
    <dataValidation type="list" allowBlank="1" showInputMessage="1" showErrorMessage="1" promptTitle="Box 1-5" prompt="Press Alt+Down and pick the Suggested box." sqref="H94">
      <formula1>"1,2,3,4,5"</formula1>
    </dataValidation>
    <dataValidation type="date" operator="greaterThanOrEqual" allowBlank="1" showInputMessage="1" showErrorMessage="1" promptTitle="Stamp the date" prompt="Press Ctrl+; for today's date." sqref="I94">
      <formula1>43831</formula1>
    </dataValidation>
    <dataValidation allowBlank="1" showInputMessage="1" showErrorMessage="1" promptTitle="Type your answer" prompt="Keys joined with +, like Ctrl+Shift+L, or a function name." sqref="E95"/>
    <dataValidation type="list" allowBlank="1" showInputMessage="1" showErrorMessage="1" promptTitle="Box 1-5" prompt="Press Alt+Down and pick the Suggested box." sqref="H95">
      <formula1>"1,2,3,4,5"</formula1>
    </dataValidation>
    <dataValidation type="date" operator="greaterThanOrEqual" allowBlank="1" showInputMessage="1" showErrorMessage="1" promptTitle="Stamp the date" prompt="Press Ctrl+; for today's date." sqref="I95">
      <formula1>43831</formula1>
    </dataValidation>
    <dataValidation allowBlank="1" showInputMessage="1" showErrorMessage="1" promptTitle="Type your answer" prompt="Keys joined with +, like Ctrl+Shift+L, or a function name." sqref="E96"/>
    <dataValidation type="list" allowBlank="1" showInputMessage="1" showErrorMessage="1" promptTitle="Box 1-5" prompt="Press Alt+Down and pick the Suggested box." sqref="H96">
      <formula1>"1,2,3,4,5"</formula1>
    </dataValidation>
    <dataValidation type="date" operator="greaterThanOrEqual" allowBlank="1" showInputMessage="1" showErrorMessage="1" promptTitle="Stamp the date" prompt="Press Ctrl+; for today's date." sqref="I96">
      <formula1>43831</formula1>
    </dataValidation>
    <dataValidation allowBlank="1" showInputMessage="1" showErrorMessage="1" promptTitle="Type your answer" prompt="Keys joined with +, like Ctrl+Shift+L, or a function name." sqref="E97"/>
    <dataValidation type="list" allowBlank="1" showInputMessage="1" showErrorMessage="1" promptTitle="Box 1-5" prompt="Press Alt+Down and pick the Suggested box." sqref="H97">
      <formula1>"1,2,3,4,5"</formula1>
    </dataValidation>
    <dataValidation type="date" operator="greaterThanOrEqual" allowBlank="1" showInputMessage="1" showErrorMessage="1" promptTitle="Stamp the date" prompt="Press Ctrl+; for today's date." sqref="I97">
      <formula1>43831</formula1>
    </dataValidation>
    <dataValidation allowBlank="1" showInputMessage="1" showErrorMessage="1" promptTitle="Type your answer" prompt="Keys joined with +, like Ctrl+Shift+L, or a function name." sqref="E98"/>
    <dataValidation type="list" allowBlank="1" showInputMessage="1" showErrorMessage="1" promptTitle="Box 1-5" prompt="Press Alt+Down and pick the Suggested box." sqref="H98">
      <formula1>"1,2,3,4,5"</formula1>
    </dataValidation>
    <dataValidation type="date" operator="greaterThanOrEqual" allowBlank="1" showInputMessage="1" showErrorMessage="1" promptTitle="Stamp the date" prompt="Press Ctrl+; for today's date." sqref="I98">
      <formula1>43831</formula1>
    </dataValidation>
    <dataValidation allowBlank="1" showInputMessage="1" showErrorMessage="1" promptTitle="Type your answer" prompt="Keys joined with +, like Ctrl+Shift+L, or a function name." sqref="E99"/>
    <dataValidation type="list" allowBlank="1" showInputMessage="1" showErrorMessage="1" promptTitle="Box 1-5" prompt="Press Alt+Down and pick the Suggested box." sqref="H99">
      <formula1>"1,2,3,4,5"</formula1>
    </dataValidation>
    <dataValidation type="date" operator="greaterThanOrEqual" allowBlank="1" showInputMessage="1" showErrorMessage="1" promptTitle="Stamp the date" prompt="Press Ctrl+; for today's date." sqref="I99">
      <formula1>43831</formula1>
    </dataValidation>
    <dataValidation allowBlank="1" showInputMessage="1" showErrorMessage="1" promptTitle="Type your answer" prompt="Keys joined with +, like Ctrl+Shift+L, or a function name." sqref="E100"/>
    <dataValidation type="list" allowBlank="1" showInputMessage="1" showErrorMessage="1" promptTitle="Box 1-5" prompt="Press Alt+Down and pick the Suggested box." sqref="H100">
      <formula1>"1,2,3,4,5"</formula1>
    </dataValidation>
    <dataValidation type="date" operator="greaterThanOrEqual" allowBlank="1" showInputMessage="1" showErrorMessage="1" promptTitle="Stamp the date" prompt="Press Ctrl+; for today's date." sqref="I100">
      <formula1>43831</formula1>
    </dataValidation>
    <dataValidation allowBlank="1" showInputMessage="1" showErrorMessage="1" promptTitle="Type your answer" prompt="Keys joined with +, like Ctrl+Shift+L, or a function name." sqref="E101"/>
    <dataValidation type="list" allowBlank="1" showInputMessage="1" showErrorMessage="1" promptTitle="Box 1-5" prompt="Press Alt+Down and pick the Suggested box." sqref="H101">
      <formula1>"1,2,3,4,5"</formula1>
    </dataValidation>
    <dataValidation type="date" operator="greaterThanOrEqual" allowBlank="1" showInputMessage="1" showErrorMessage="1" promptTitle="Stamp the date" prompt="Press Ctrl+; for today's date." sqref="I101">
      <formula1>43831</formula1>
    </dataValidation>
    <dataValidation allowBlank="1" showInputMessage="1" showErrorMessage="1" promptTitle="Type your answer" prompt="Keys joined with +, like Ctrl+Shift+L, or a function name." sqref="E102"/>
    <dataValidation type="list" allowBlank="1" showInputMessage="1" showErrorMessage="1" promptTitle="Box 1-5" prompt="Press Alt+Down and pick the Suggested box." sqref="H102">
      <formula1>"1,2,3,4,5"</formula1>
    </dataValidation>
    <dataValidation type="date" operator="greaterThanOrEqual" allowBlank="1" showInputMessage="1" showErrorMessage="1" promptTitle="Stamp the date" prompt="Press Ctrl+; for today's date." sqref="I102">
      <formula1>43831</formula1>
    </dataValidation>
    <dataValidation allowBlank="1" showInputMessage="1" showErrorMessage="1" promptTitle="Type your answer" prompt="Keys joined with +, like Ctrl+Shift+L, or a function name." sqref="E103"/>
    <dataValidation type="list" allowBlank="1" showInputMessage="1" showErrorMessage="1" promptTitle="Box 1-5" prompt="Press Alt+Down and pick the Suggested box." sqref="H103">
      <formula1>"1,2,3,4,5"</formula1>
    </dataValidation>
    <dataValidation type="date" operator="greaterThanOrEqual" allowBlank="1" showInputMessage="1" showErrorMessage="1" promptTitle="Stamp the date" prompt="Press Ctrl+; for today's date." sqref="I103">
      <formula1>43831</formula1>
    </dataValidation>
    <dataValidation allowBlank="1" showInputMessage="1" showErrorMessage="1" promptTitle="Type your answer" prompt="Keys joined with +, like Ctrl+Shift+L, or a function name." sqref="E104"/>
    <dataValidation type="list" allowBlank="1" showInputMessage="1" showErrorMessage="1" promptTitle="Box 1-5" prompt="Press Alt+Down and pick the Suggested box." sqref="H104">
      <formula1>"1,2,3,4,5"</formula1>
    </dataValidation>
    <dataValidation type="date" operator="greaterThanOrEqual" allowBlank="1" showInputMessage="1" showErrorMessage="1" promptTitle="Stamp the date" prompt="Press Ctrl+; for today's date." sqref="I104">
      <formula1>43831</formula1>
    </dataValidation>
    <dataValidation allowBlank="1" showInputMessage="1" showErrorMessage="1" promptTitle="Type your answer" prompt="Keys joined with +, like Ctrl+Shift+L, or a function name." sqref="E105"/>
    <dataValidation type="list" allowBlank="1" showInputMessage="1" showErrorMessage="1" promptTitle="Box 1-5" prompt="Press Alt+Down and pick the Suggested box." sqref="H105">
      <formula1>"1,2,3,4,5"</formula1>
    </dataValidation>
    <dataValidation type="date" operator="greaterThanOrEqual" allowBlank="1" showInputMessage="1" showErrorMessage="1" promptTitle="Stamp the date" prompt="Press Ctrl+; for today's date." sqref="I105">
      <formula1>43831</formula1>
    </dataValidation>
    <dataValidation allowBlank="1" showInputMessage="1" showErrorMessage="1" promptTitle="Type your answer" prompt="Keys joined with +, like Ctrl+Shift+L, or a function name." sqref="E106"/>
    <dataValidation type="list" allowBlank="1" showInputMessage="1" showErrorMessage="1" promptTitle="Box 1-5" prompt="Press Alt+Down and pick the Suggested box." sqref="H106">
      <formula1>"1,2,3,4,5"</formula1>
    </dataValidation>
    <dataValidation type="date" operator="greaterThanOrEqual" allowBlank="1" showInputMessage="1" showErrorMessage="1" promptTitle="Stamp the date" prompt="Press Ctrl+; for today's date." sqref="I106">
      <formula1>43831</formula1>
    </dataValidation>
    <dataValidation allowBlank="1" showInputMessage="1" showErrorMessage="1" promptTitle="Type your answer" prompt="Keys joined with +, like Ctrl+Shift+L, or a function name." sqref="E107"/>
    <dataValidation type="list" allowBlank="1" showInputMessage="1" showErrorMessage="1" promptTitle="Box 1-5" prompt="Press Alt+Down and pick the Suggested box." sqref="H107">
      <formula1>"1,2,3,4,5"</formula1>
    </dataValidation>
    <dataValidation type="date" operator="greaterThanOrEqual" allowBlank="1" showInputMessage="1" showErrorMessage="1" promptTitle="Stamp the date" prompt="Press Ctrl+; for today's date." sqref="I107">
      <formula1>43831</formula1>
    </dataValidation>
    <dataValidation allowBlank="1" showInputMessage="1" showErrorMessage="1" promptTitle="Type your answer" prompt="Keys joined with +, like Ctrl+Shift+L, or a function name." sqref="E108"/>
    <dataValidation type="list" allowBlank="1" showInputMessage="1" showErrorMessage="1" promptTitle="Box 1-5" prompt="Press Alt+Down and pick the Suggested box." sqref="H108">
      <formula1>"1,2,3,4,5"</formula1>
    </dataValidation>
    <dataValidation type="date" operator="greaterThanOrEqual" allowBlank="1" showInputMessage="1" showErrorMessage="1" promptTitle="Stamp the date" prompt="Press Ctrl+; for today's date." sqref="I108">
      <formula1>43831</formula1>
    </dataValidation>
    <dataValidation allowBlank="1" showInputMessage="1" showErrorMessage="1" promptTitle="Type your answer" prompt="Keys joined with +, like Ctrl+Shift+L, or a function name." sqref="E109"/>
    <dataValidation type="list" allowBlank="1" showInputMessage="1" showErrorMessage="1" promptTitle="Box 1-5" prompt="Press Alt+Down and pick the Suggested box." sqref="H109">
      <formula1>"1,2,3,4,5"</formula1>
    </dataValidation>
    <dataValidation type="date" operator="greaterThanOrEqual" allowBlank="1" showInputMessage="1" showErrorMessage="1" promptTitle="Stamp the date" prompt="Press Ctrl+; for today's date." sqref="I109">
      <formula1>43831</formula1>
    </dataValidation>
    <dataValidation allowBlank="1" showInputMessage="1" showErrorMessage="1" promptTitle="Type your answer" prompt="Keys joined with +, like Ctrl+Shift+L, or a function name." sqref="E110"/>
    <dataValidation type="list" allowBlank="1" showInputMessage="1" showErrorMessage="1" promptTitle="Box 1-5" prompt="Press Alt+Down and pick the Suggested box." sqref="H110">
      <formula1>"1,2,3,4,5"</formula1>
    </dataValidation>
    <dataValidation type="date" operator="greaterThanOrEqual" allowBlank="1" showInputMessage="1" showErrorMessage="1" promptTitle="Stamp the date" prompt="Press Ctrl+; for today's date." sqref="I110">
      <formula1>43831</formula1>
    </dataValidation>
    <dataValidation allowBlank="1" showInputMessage="1" showErrorMessage="1" promptTitle="Type your answer" prompt="Keys joined with +, like Ctrl+Shift+L, or a function name." sqref="E111"/>
    <dataValidation type="list" allowBlank="1" showInputMessage="1" showErrorMessage="1" promptTitle="Box 1-5" prompt="Press Alt+Down and pick the Suggested box." sqref="H111">
      <formula1>"1,2,3,4,5"</formula1>
    </dataValidation>
    <dataValidation type="date" operator="greaterThanOrEqual" allowBlank="1" showInputMessage="1" showErrorMessage="1" promptTitle="Stamp the date" prompt="Press Ctrl+; for today's date." sqref="I111">
      <formula1>43831</formula1>
    </dataValidation>
    <dataValidation allowBlank="1" showInputMessage="1" showErrorMessage="1" promptTitle="Type your answer" prompt="Keys joined with +, like Ctrl+Shift+L, or a function name." sqref="E112"/>
    <dataValidation type="list" allowBlank="1" showInputMessage="1" showErrorMessage="1" promptTitle="Box 1-5" prompt="Press Alt+Down and pick the Suggested box." sqref="H112">
      <formula1>"1,2,3,4,5"</formula1>
    </dataValidation>
    <dataValidation type="date" operator="greaterThanOrEqual" allowBlank="1" showInputMessage="1" showErrorMessage="1" promptTitle="Stamp the date" prompt="Press Ctrl+; for today's date." sqref="I112">
      <formula1>43831</formula1>
    </dataValidation>
    <dataValidation allowBlank="1" showInputMessage="1" showErrorMessage="1" promptTitle="Type your answer" prompt="Keys joined with +, like Ctrl+Shift+L, or a function name." sqref="E113"/>
    <dataValidation type="list" allowBlank="1" showInputMessage="1" showErrorMessage="1" promptTitle="Box 1-5" prompt="Press Alt+Down and pick the Suggested box." sqref="H113">
      <formula1>"1,2,3,4,5"</formula1>
    </dataValidation>
    <dataValidation type="date" operator="greaterThanOrEqual" allowBlank="1" showInputMessage="1" showErrorMessage="1" promptTitle="Stamp the date" prompt="Press Ctrl+; for today's date." sqref="I113">
      <formula1>43831</formula1>
    </dataValidation>
    <dataValidation allowBlank="1" showInputMessage="1" showErrorMessage="1" promptTitle="Type your answer" prompt="Keys joined with +, like Ctrl+Shift+L, or a function name." sqref="E114"/>
    <dataValidation type="list" allowBlank="1" showInputMessage="1" showErrorMessage="1" promptTitle="Box 1-5" prompt="Press Alt+Down and pick the Suggested box." sqref="H114">
      <formula1>"1,2,3,4,5"</formula1>
    </dataValidation>
    <dataValidation type="date" operator="greaterThanOrEqual" allowBlank="1" showInputMessage="1" showErrorMessage="1" promptTitle="Stamp the date" prompt="Press Ctrl+; for today's date." sqref="I114">
      <formula1>43831</formula1>
    </dataValidation>
    <dataValidation allowBlank="1" showInputMessage="1" showErrorMessage="1" promptTitle="Type your answer" prompt="Keys joined with +, like Ctrl+Shift+L, or a function name." sqref="E115"/>
    <dataValidation type="list" allowBlank="1" showInputMessage="1" showErrorMessage="1" promptTitle="Box 1-5" prompt="Press Alt+Down and pick the Suggested box." sqref="H115">
      <formula1>"1,2,3,4,5"</formula1>
    </dataValidation>
    <dataValidation type="date" operator="greaterThanOrEqual" allowBlank="1" showInputMessage="1" showErrorMessage="1" promptTitle="Stamp the date" prompt="Press Ctrl+; for today's date." sqref="I115">
      <formula1>43831</formula1>
    </dataValidation>
    <dataValidation allowBlank="1" showInputMessage="1" showErrorMessage="1" promptTitle="Type your answer" prompt="Keys joined with +, like Ctrl+Shift+L, or a function name." sqref="E116"/>
    <dataValidation type="list" allowBlank="1" showInputMessage="1" showErrorMessage="1" promptTitle="Box 1-5" prompt="Press Alt+Down and pick the Suggested box." sqref="H116">
      <formula1>"1,2,3,4,5"</formula1>
    </dataValidation>
    <dataValidation type="date" operator="greaterThanOrEqual" allowBlank="1" showInputMessage="1" showErrorMessage="1" promptTitle="Stamp the date" prompt="Press Ctrl+; for today's date." sqref="I116">
      <formula1>43831</formula1>
    </dataValidation>
    <dataValidation allowBlank="1" showInputMessage="1" showErrorMessage="1" promptTitle="Type your answer" prompt="Keys joined with +, like Ctrl+Shift+L, or a function name." sqref="E117"/>
    <dataValidation type="list" allowBlank="1" showInputMessage="1" showErrorMessage="1" promptTitle="Box 1-5" prompt="Press Alt+Down and pick the Suggested box." sqref="H117">
      <formula1>"1,2,3,4,5"</formula1>
    </dataValidation>
    <dataValidation type="date" operator="greaterThanOrEqual" allowBlank="1" showInputMessage="1" showErrorMessage="1" promptTitle="Stamp the date" prompt="Press Ctrl+; for today's date." sqref="I117">
      <formula1>43831</formula1>
    </dataValidation>
    <dataValidation allowBlank="1" showInputMessage="1" showErrorMessage="1" promptTitle="Type your answer" prompt="Keys joined with +, like Ctrl+Shift+L, or a function name." sqref="E118"/>
    <dataValidation type="list" allowBlank="1" showInputMessage="1" showErrorMessage="1" promptTitle="Box 1-5" prompt="Press Alt+Down and pick the Suggested box." sqref="H118">
      <formula1>"1,2,3,4,5"</formula1>
    </dataValidation>
    <dataValidation type="date" operator="greaterThanOrEqual" allowBlank="1" showInputMessage="1" showErrorMessage="1" promptTitle="Stamp the date" prompt="Press Ctrl+; for today's date." sqref="I118">
      <formula1>43831</formula1>
    </dataValidation>
    <dataValidation allowBlank="1" showInputMessage="1" showErrorMessage="1" promptTitle="Type your answer" prompt="Keys joined with +, like Ctrl+Shift+L, or a function name." sqref="E119"/>
    <dataValidation type="list" allowBlank="1" showInputMessage="1" showErrorMessage="1" promptTitle="Box 1-5" prompt="Press Alt+Down and pick the Suggested box." sqref="H119">
      <formula1>"1,2,3,4,5"</formula1>
    </dataValidation>
    <dataValidation type="date" operator="greaterThanOrEqual" allowBlank="1" showInputMessage="1" showErrorMessage="1" promptTitle="Stamp the date" prompt="Press Ctrl+; for today's date." sqref="I119">
      <formula1>43831</formula1>
    </dataValidation>
    <dataValidation allowBlank="1" showInputMessage="1" showErrorMessage="1" promptTitle="Type your answer" prompt="Keys joined with +, like Ctrl+Shift+L, or a function name." sqref="E120"/>
    <dataValidation type="list" allowBlank="1" showInputMessage="1" showErrorMessage="1" promptTitle="Box 1-5" prompt="Press Alt+Down and pick the Suggested box." sqref="H120">
      <formula1>"1,2,3,4,5"</formula1>
    </dataValidation>
    <dataValidation type="date" operator="greaterThanOrEqual" allowBlank="1" showInputMessage="1" showErrorMessage="1" promptTitle="Stamp the date" prompt="Press Ctrl+; for today's date." sqref="I120">
      <formula1>43831</formula1>
    </dataValidation>
    <dataValidation allowBlank="1" showInputMessage="1" showErrorMessage="1" promptTitle="Type your answer" prompt="Keys joined with +, like Ctrl+Shift+L, or a function name." sqref="E121"/>
    <dataValidation type="list" allowBlank="1" showInputMessage="1" showErrorMessage="1" promptTitle="Box 1-5" prompt="Press Alt+Down and pick the Suggested box." sqref="H121">
      <formula1>"1,2,3,4,5"</formula1>
    </dataValidation>
    <dataValidation type="date" operator="greaterThanOrEqual" allowBlank="1" showInputMessage="1" showErrorMessage="1" promptTitle="Stamp the date" prompt="Press Ctrl+; for today's date." sqref="I121">
      <formula1>43831</formula1>
    </dataValidation>
    <dataValidation allowBlank="1" showInputMessage="1" showErrorMessage="1" promptTitle="Type your answer" prompt="Keys joined with +, like Ctrl+Shift+L, or a function name." sqref="E122"/>
    <dataValidation type="list" allowBlank="1" showInputMessage="1" showErrorMessage="1" promptTitle="Box 1-5" prompt="Press Alt+Down and pick the Suggested box." sqref="H122">
      <formula1>"1,2,3,4,5"</formula1>
    </dataValidation>
    <dataValidation type="date" operator="greaterThanOrEqual" allowBlank="1" showInputMessage="1" showErrorMessage="1" promptTitle="Stamp the date" prompt="Press Ctrl+; for today's date." sqref="I122">
      <formula1>43831</formula1>
    </dataValidation>
    <dataValidation allowBlank="1" showInputMessage="1" showErrorMessage="1" promptTitle="Type your answer" prompt="Keys joined with +, like Ctrl+Shift+L, or a function name." sqref="E123"/>
    <dataValidation type="list" allowBlank="1" showInputMessage="1" showErrorMessage="1" promptTitle="Box 1-5" prompt="Press Alt+Down and pick the Suggested box." sqref="H123">
      <formula1>"1,2,3,4,5"</formula1>
    </dataValidation>
    <dataValidation type="date" operator="greaterThanOrEqual" allowBlank="1" showInputMessage="1" showErrorMessage="1" promptTitle="Stamp the date" prompt="Press Ctrl+; for today's date." sqref="I123">
      <formula1>43831</formula1>
    </dataValidation>
    <dataValidation allowBlank="1" showInputMessage="1" showErrorMessage="1" promptTitle="Type your answer" prompt="Keys joined with +, like Ctrl+Shift+L, or a function name." sqref="E124"/>
    <dataValidation type="list" allowBlank="1" showInputMessage="1" showErrorMessage="1" promptTitle="Box 1-5" prompt="Press Alt+Down and pick the Suggested box." sqref="H124">
      <formula1>"1,2,3,4,5"</formula1>
    </dataValidation>
    <dataValidation type="date" operator="greaterThanOrEqual" allowBlank="1" showInputMessage="1" showErrorMessage="1" promptTitle="Stamp the date" prompt="Press Ctrl+; for today's date." sqref="I124">
      <formula1>43831</formula1>
    </dataValidation>
    <dataValidation allowBlank="1" showInputMessage="1" showErrorMessage="1" promptTitle="Type your answer" prompt="Keys joined with +, like Ctrl+Shift+L, or a function name." sqref="E125"/>
    <dataValidation type="list" allowBlank="1" showInputMessage="1" showErrorMessage="1" promptTitle="Box 1-5" prompt="Press Alt+Down and pick the Suggested box." sqref="H125">
      <formula1>"1,2,3,4,5"</formula1>
    </dataValidation>
    <dataValidation type="date" operator="greaterThanOrEqual" allowBlank="1" showInputMessage="1" showErrorMessage="1" promptTitle="Stamp the date" prompt="Press Ctrl+; for today's date." sqref="I125">
      <formula1>43831</formula1>
    </dataValidation>
    <dataValidation allowBlank="1" showInputMessage="1" showErrorMessage="1" promptTitle="Type your answer" prompt="Keys joined with +, like Ctrl+Shift+L, or a function name." sqref="E126"/>
    <dataValidation type="list" allowBlank="1" showInputMessage="1" showErrorMessage="1" promptTitle="Box 1-5" prompt="Press Alt+Down and pick the Suggested box." sqref="H126">
      <formula1>"1,2,3,4,5"</formula1>
    </dataValidation>
    <dataValidation type="date" operator="greaterThanOrEqual" allowBlank="1" showInputMessage="1" showErrorMessage="1" promptTitle="Stamp the date" prompt="Press Ctrl+; for today's date." sqref="I126">
      <formula1>43831</formula1>
    </dataValidation>
    <dataValidation allowBlank="1" showInputMessage="1" showErrorMessage="1" promptTitle="Type your answer" prompt="Keys joined with +, like Ctrl+Shift+L, or a function name." sqref="E127"/>
    <dataValidation type="list" allowBlank="1" showInputMessage="1" showErrorMessage="1" promptTitle="Box 1-5" prompt="Press Alt+Down and pick the Suggested box." sqref="H127">
      <formula1>"1,2,3,4,5"</formula1>
    </dataValidation>
    <dataValidation type="date" operator="greaterThanOrEqual" allowBlank="1" showInputMessage="1" showErrorMessage="1" promptTitle="Stamp the date" prompt="Press Ctrl+; for today's date." sqref="I127">
      <formula1>43831</formula1>
    </dataValidation>
    <dataValidation allowBlank="1" showInputMessage="1" showErrorMessage="1" promptTitle="Type your answer" prompt="Keys joined with +, like Ctrl+Shift+L, or a function name." sqref="E128"/>
    <dataValidation type="list" allowBlank="1" showInputMessage="1" showErrorMessage="1" promptTitle="Box 1-5" prompt="Press Alt+Down and pick the Suggested box." sqref="H128">
      <formula1>"1,2,3,4,5"</formula1>
    </dataValidation>
    <dataValidation type="date" operator="greaterThanOrEqual" allowBlank="1" showInputMessage="1" showErrorMessage="1" promptTitle="Stamp the date" prompt="Press Ctrl+; for today's date." sqref="I128">
      <formula1>43831</formula1>
    </dataValidation>
    <dataValidation allowBlank="1" showInputMessage="1" showErrorMessage="1" promptTitle="Type your answer" prompt="Keys joined with +, like Ctrl+Shift+L, or a function name." sqref="E129"/>
    <dataValidation type="list" allowBlank="1" showInputMessage="1" showErrorMessage="1" promptTitle="Box 1-5" prompt="Press Alt+Down and pick the Suggested box." sqref="H129">
      <formula1>"1,2,3,4,5"</formula1>
    </dataValidation>
    <dataValidation type="date" operator="greaterThanOrEqual" allowBlank="1" showInputMessage="1" showErrorMessage="1" promptTitle="Stamp the date" prompt="Press Ctrl+; for today's date." sqref="I129">
      <formula1>43831</formula1>
    </dataValidation>
    <dataValidation allowBlank="1" showInputMessage="1" showErrorMessage="1" promptTitle="Type your answer" prompt="Keys joined with +, like Ctrl+Shift+L, or a function name." sqref="E130"/>
    <dataValidation type="list" allowBlank="1" showInputMessage="1" showErrorMessage="1" promptTitle="Box 1-5" prompt="Press Alt+Down and pick the Suggested box." sqref="H130">
      <formula1>"1,2,3,4,5"</formula1>
    </dataValidation>
    <dataValidation type="date" operator="greaterThanOrEqual" allowBlank="1" showInputMessage="1" showErrorMessage="1" promptTitle="Stamp the date" prompt="Press Ctrl+; for today's date." sqref="I130">
      <formula1>43831</formula1>
    </dataValidation>
    <dataValidation allowBlank="1" showInputMessage="1" showErrorMessage="1" promptTitle="Type your answer" prompt="Keys joined with +, like Ctrl+Shift+L, or a function name." sqref="E131"/>
    <dataValidation type="list" allowBlank="1" showInputMessage="1" showErrorMessage="1" promptTitle="Box 1-5" prompt="Press Alt+Down and pick the Suggested box." sqref="H131">
      <formula1>"1,2,3,4,5"</formula1>
    </dataValidation>
    <dataValidation type="date" operator="greaterThanOrEqual" allowBlank="1" showInputMessage="1" showErrorMessage="1" promptTitle="Stamp the date" prompt="Press Ctrl+; for today's date." sqref="I131">
      <formula1>43831</formula1>
    </dataValidation>
    <dataValidation allowBlank="1" showInputMessage="1" showErrorMessage="1" promptTitle="Type your answer" prompt="Keys joined with +, like Ctrl+Shift+L, or a function name." sqref="E132"/>
    <dataValidation type="list" allowBlank="1" showInputMessage="1" showErrorMessage="1" promptTitle="Box 1-5" prompt="Press Alt+Down and pick the Suggested box." sqref="H132">
      <formula1>"1,2,3,4,5"</formula1>
    </dataValidation>
    <dataValidation type="date" operator="greaterThanOrEqual" allowBlank="1" showInputMessage="1" showErrorMessage="1" promptTitle="Stamp the date" prompt="Press Ctrl+; for today's date." sqref="I132">
      <formula1>43831</formula1>
    </dataValidation>
    <dataValidation allowBlank="1" showInputMessage="1" showErrorMessage="1" promptTitle="Type your answer" prompt="Keys joined with +, like Ctrl+Shift+L, or a function name." sqref="E133"/>
    <dataValidation type="list" allowBlank="1" showInputMessage="1" showErrorMessage="1" promptTitle="Box 1-5" prompt="Press Alt+Down and pick the Suggested box." sqref="H133">
      <formula1>"1,2,3,4,5"</formula1>
    </dataValidation>
    <dataValidation type="date" operator="greaterThanOrEqual" allowBlank="1" showInputMessage="1" showErrorMessage="1" promptTitle="Stamp the date" prompt="Press Ctrl+; for today's date." sqref="I133">
      <formula1>43831</formula1>
    </dataValidation>
    <dataValidation allowBlank="1" showInputMessage="1" showErrorMessage="1" promptTitle="Type your answer" prompt="Keys joined with +, like Ctrl+Shift+L, or a function name." sqref="E134"/>
    <dataValidation type="list" allowBlank="1" showInputMessage="1" showErrorMessage="1" promptTitle="Box 1-5" prompt="Press Alt+Down and pick the Suggested box." sqref="H134">
      <formula1>"1,2,3,4,5"</formula1>
    </dataValidation>
    <dataValidation type="date" operator="greaterThanOrEqual" allowBlank="1" showInputMessage="1" showErrorMessage="1" promptTitle="Stamp the date" prompt="Press Ctrl+; for today's date." sqref="I134">
      <formula1>43831</formula1>
    </dataValidation>
    <dataValidation allowBlank="1" showInputMessage="1" showErrorMessage="1" promptTitle="Type your answer" prompt="Keys joined with +, like Ctrl+Shift+L, or a function name." sqref="E135"/>
    <dataValidation type="list" allowBlank="1" showInputMessage="1" showErrorMessage="1" promptTitle="Box 1-5" prompt="Press Alt+Down and pick the Suggested box." sqref="H135">
      <formula1>"1,2,3,4,5"</formula1>
    </dataValidation>
    <dataValidation type="date" operator="greaterThanOrEqual" allowBlank="1" showInputMessage="1" showErrorMessage="1" promptTitle="Stamp the date" prompt="Press Ctrl+; for today's date." sqref="I135">
      <formula1>43831</formula1>
    </dataValidation>
    <dataValidation allowBlank="1" showInputMessage="1" showErrorMessage="1" promptTitle="Type your answer" prompt="Keys joined with +, like Ctrl+Shift+L, or a function name." sqref="E136"/>
    <dataValidation type="list" allowBlank="1" showInputMessage="1" showErrorMessage="1" promptTitle="Box 1-5" prompt="Press Alt+Down and pick the Suggested box." sqref="H136">
      <formula1>"1,2,3,4,5"</formula1>
    </dataValidation>
    <dataValidation type="date" operator="greaterThanOrEqual" allowBlank="1" showInputMessage="1" showErrorMessage="1" promptTitle="Stamp the date" prompt="Press Ctrl+; for today's date." sqref="I136">
      <formula1>43831</formula1>
    </dataValidation>
    <dataValidation allowBlank="1" showInputMessage="1" showErrorMessage="1" promptTitle="Type your answer" prompt="Keys joined with +, like Ctrl+Shift+L, or a function name." sqref="E137"/>
    <dataValidation type="list" allowBlank="1" showInputMessage="1" showErrorMessage="1" promptTitle="Box 1-5" prompt="Press Alt+Down and pick the Suggested box." sqref="H137">
      <formula1>"1,2,3,4,5"</formula1>
    </dataValidation>
    <dataValidation type="date" operator="greaterThanOrEqual" allowBlank="1" showInputMessage="1" showErrorMessage="1" promptTitle="Stamp the date" prompt="Press Ctrl+; for today's date." sqref="I137">
      <formula1>43831</formula1>
    </dataValidation>
    <dataValidation allowBlank="1" showInputMessage="1" showErrorMessage="1" promptTitle="Type your answer" prompt="Keys joined with +, like Ctrl+Shift+L, or a function name." sqref="E138"/>
    <dataValidation type="list" allowBlank="1" showInputMessage="1" showErrorMessage="1" promptTitle="Box 1-5" prompt="Press Alt+Down and pick the Suggested box." sqref="H138">
      <formula1>"1,2,3,4,5"</formula1>
    </dataValidation>
    <dataValidation type="date" operator="greaterThanOrEqual" allowBlank="1" showInputMessage="1" showErrorMessage="1" promptTitle="Stamp the date" prompt="Press Ctrl+; for today's date." sqref="I138">
      <formula1>43831</formula1>
    </dataValidation>
    <dataValidation allowBlank="1" showInputMessage="1" showErrorMessage="1" promptTitle="Type your answer" prompt="Keys joined with +, like Ctrl+Shift+L, or a function name." sqref="E139"/>
    <dataValidation type="list" allowBlank="1" showInputMessage="1" showErrorMessage="1" promptTitle="Box 1-5" prompt="Press Alt+Down and pick the Suggested box." sqref="H139">
      <formula1>"1,2,3,4,5"</formula1>
    </dataValidation>
    <dataValidation type="date" operator="greaterThanOrEqual" allowBlank="1" showInputMessage="1" showErrorMessage="1" promptTitle="Stamp the date" prompt="Press Ctrl+; for today's date." sqref="I139">
      <formula1>43831</formula1>
    </dataValidation>
    <dataValidation allowBlank="1" showInputMessage="1" showErrorMessage="1" promptTitle="Type your answer" prompt="Keys joined with +, like Ctrl+Shift+L, or a function name." sqref="E140"/>
    <dataValidation type="list" allowBlank="1" showInputMessage="1" showErrorMessage="1" promptTitle="Box 1-5" prompt="Press Alt+Down and pick the Suggested box." sqref="H140">
      <formula1>"1,2,3,4,5"</formula1>
    </dataValidation>
    <dataValidation type="date" operator="greaterThanOrEqual" allowBlank="1" showInputMessage="1" showErrorMessage="1" promptTitle="Stamp the date" prompt="Press Ctrl+; for today's date." sqref="I140">
      <formula1>43831</formula1>
    </dataValidation>
    <dataValidation allowBlank="1" showInputMessage="1" showErrorMessage="1" promptTitle="Type your answer" prompt="Keys joined with +, like Ctrl+Shift+L, or a function name." sqref="E141"/>
    <dataValidation type="list" allowBlank="1" showInputMessage="1" showErrorMessage="1" promptTitle="Box 1-5" prompt="Press Alt+Down and pick the Suggested box." sqref="H141">
      <formula1>"1,2,3,4,5"</formula1>
    </dataValidation>
    <dataValidation type="date" operator="greaterThanOrEqual" allowBlank="1" showInputMessage="1" showErrorMessage="1" promptTitle="Stamp the date" prompt="Press Ctrl+; for today's date." sqref="I141">
      <formula1>43831</formula1>
    </dataValidation>
    <dataValidation allowBlank="1" showInputMessage="1" showErrorMessage="1" promptTitle="Type your answer" prompt="Keys joined with +, like Ctrl+Shift+L, or a function name." sqref="E142"/>
    <dataValidation type="list" allowBlank="1" showInputMessage="1" showErrorMessage="1" promptTitle="Box 1-5" prompt="Press Alt+Down and pick the Suggested box." sqref="H142">
      <formula1>"1,2,3,4,5"</formula1>
    </dataValidation>
    <dataValidation type="date" operator="greaterThanOrEqual" allowBlank="1" showInputMessage="1" showErrorMessage="1" promptTitle="Stamp the date" prompt="Press Ctrl+; for today's date." sqref="I142">
      <formula1>43831</formula1>
    </dataValidation>
    <dataValidation allowBlank="1" showInputMessage="1" showErrorMessage="1" promptTitle="Type your answer" prompt="Keys joined with +, like Ctrl+Shift+L, or a function name." sqref="E143"/>
    <dataValidation type="list" allowBlank="1" showInputMessage="1" showErrorMessage="1" promptTitle="Box 1-5" prompt="Press Alt+Down and pick the Suggested box." sqref="H143">
      <formula1>"1,2,3,4,5"</formula1>
    </dataValidation>
    <dataValidation type="date" operator="greaterThanOrEqual" allowBlank="1" showInputMessage="1" showErrorMessage="1" promptTitle="Stamp the date" prompt="Press Ctrl+; for today's date." sqref="I143">
      <formula1>43831</formula1>
    </dataValidation>
    <dataValidation allowBlank="1" showInputMessage="1" showErrorMessage="1" promptTitle="Type your answer" prompt="Keys joined with +, like Ctrl+Shift+L, or a function name." sqref="E144"/>
    <dataValidation type="list" allowBlank="1" showInputMessage="1" showErrorMessage="1" promptTitle="Box 1-5" prompt="Press Alt+Down and pick the Suggested box." sqref="H144">
      <formula1>"1,2,3,4,5"</formula1>
    </dataValidation>
    <dataValidation type="date" operator="greaterThanOrEqual" allowBlank="1" showInputMessage="1" showErrorMessage="1" promptTitle="Stamp the date" prompt="Press Ctrl+; for today's date." sqref="I144">
      <formula1>43831</formula1>
    </dataValidation>
    <dataValidation allowBlank="1" showInputMessage="1" showErrorMessage="1" promptTitle="Type your answer" prompt="Keys joined with +, like Ctrl+Shift+L, or a function name." sqref="E145"/>
    <dataValidation type="list" allowBlank="1" showInputMessage="1" showErrorMessage="1" promptTitle="Box 1-5" prompt="Press Alt+Down and pick the Suggested box." sqref="H145">
      <formula1>"1,2,3,4,5"</formula1>
    </dataValidation>
    <dataValidation type="date" operator="greaterThanOrEqual" allowBlank="1" showInputMessage="1" showErrorMessage="1" promptTitle="Stamp the date" prompt="Press Ctrl+; for today's date." sqref="I145">
      <formula1>43831</formula1>
    </dataValidation>
    <dataValidation allowBlank="1" showInputMessage="1" showErrorMessage="1" promptTitle="Type your answer" prompt="Keys joined with +, like Ctrl+Shift+L, or a function name." sqref="E146"/>
    <dataValidation type="list" allowBlank="1" showInputMessage="1" showErrorMessage="1" promptTitle="Box 1-5" prompt="Press Alt+Down and pick the Suggested box." sqref="H146">
      <formula1>"1,2,3,4,5"</formula1>
    </dataValidation>
    <dataValidation type="date" operator="greaterThanOrEqual" allowBlank="1" showInputMessage="1" showErrorMessage="1" promptTitle="Stamp the date" prompt="Press Ctrl+; for today's date." sqref="I146">
      <formula1>43831</formula1>
    </dataValidation>
    <dataValidation allowBlank="1" showInputMessage="1" showErrorMessage="1" promptTitle="Type your answer" prompt="Keys joined with +, like Ctrl+Shift+L, or a function name." sqref="E147"/>
    <dataValidation type="list" allowBlank="1" showInputMessage="1" showErrorMessage="1" promptTitle="Box 1-5" prompt="Press Alt+Down and pick the Suggested box." sqref="H147">
      <formula1>"1,2,3,4,5"</formula1>
    </dataValidation>
    <dataValidation type="date" operator="greaterThanOrEqual" allowBlank="1" showInputMessage="1" showErrorMessage="1" promptTitle="Stamp the date" prompt="Press Ctrl+; for today's date." sqref="I147">
      <formula1>43831</formula1>
    </dataValidation>
    <dataValidation allowBlank="1" showInputMessage="1" showErrorMessage="1" promptTitle="Type your answer" prompt="Keys joined with +, like Ctrl+Shift+L, or a function name." sqref="E148"/>
    <dataValidation type="list" allowBlank="1" showInputMessage="1" showErrorMessage="1" promptTitle="Box 1-5" prompt="Press Alt+Down and pick the Suggested box." sqref="H148">
      <formula1>"1,2,3,4,5"</formula1>
    </dataValidation>
    <dataValidation type="date" operator="greaterThanOrEqual" allowBlank="1" showInputMessage="1" showErrorMessage="1" promptTitle="Stamp the date" prompt="Press Ctrl+; for today's date." sqref="I148">
      <formula1>43831</formula1>
    </dataValidation>
    <dataValidation allowBlank="1" showInputMessage="1" showErrorMessage="1" promptTitle="Type your answer" prompt="Keys joined with +, like Ctrl+Shift+L, or a function name." sqref="E149"/>
    <dataValidation type="list" allowBlank="1" showInputMessage="1" showErrorMessage="1" promptTitle="Box 1-5" prompt="Press Alt+Down and pick the Suggested box." sqref="H149">
      <formula1>"1,2,3,4,5"</formula1>
    </dataValidation>
    <dataValidation type="date" operator="greaterThanOrEqual" allowBlank="1" showInputMessage="1" showErrorMessage="1" promptTitle="Stamp the date" prompt="Press Ctrl+; for today's date." sqref="I149">
      <formula1>43831</formula1>
    </dataValidation>
    <dataValidation allowBlank="1" showInputMessage="1" showErrorMessage="1" promptTitle="Type your answer" prompt="Keys joined with +, like Ctrl+Shift+L, or a function name." sqref="E150"/>
    <dataValidation type="list" allowBlank="1" showInputMessage="1" showErrorMessage="1" promptTitle="Box 1-5" prompt="Press Alt+Down and pick the Suggested box." sqref="H150">
      <formula1>"1,2,3,4,5"</formula1>
    </dataValidation>
    <dataValidation type="date" operator="greaterThanOrEqual" allowBlank="1" showInputMessage="1" showErrorMessage="1" promptTitle="Stamp the date" prompt="Press Ctrl+; for today's date." sqref="I150">
      <formula1>43831</formula1>
    </dataValidation>
    <dataValidation allowBlank="1" showInputMessage="1" showErrorMessage="1" promptTitle="Type your answer" prompt="Keys joined with +, like Ctrl+Shift+L, or a function name." sqref="E151"/>
    <dataValidation type="list" allowBlank="1" showInputMessage="1" showErrorMessage="1" promptTitle="Box 1-5" prompt="Press Alt+Down and pick the Suggested box." sqref="H151">
      <formula1>"1,2,3,4,5"</formula1>
    </dataValidation>
    <dataValidation type="date" operator="greaterThanOrEqual" allowBlank="1" showInputMessage="1" showErrorMessage="1" promptTitle="Stamp the date" prompt="Press Ctrl+; for today's date." sqref="I151">
      <formula1>43831</formula1>
    </dataValidation>
    <dataValidation allowBlank="1" showInputMessage="1" showErrorMessage="1" promptTitle="Type your answer" prompt="Keys joined with +, like Ctrl+Shift+L, or a function name." sqref="E152"/>
    <dataValidation type="list" allowBlank="1" showInputMessage="1" showErrorMessage="1" promptTitle="Box 1-5" prompt="Press Alt+Down and pick the Suggested box." sqref="H152">
      <formula1>"1,2,3,4,5"</formula1>
    </dataValidation>
    <dataValidation type="date" operator="greaterThanOrEqual" allowBlank="1" showInputMessage="1" showErrorMessage="1" promptTitle="Stamp the date" prompt="Press Ctrl+; for today's date." sqref="I152">
      <formula1>43831</formula1>
    </dataValidation>
    <dataValidation allowBlank="1" showInputMessage="1" showErrorMessage="1" promptTitle="Type your answer" prompt="Keys joined with +, like Ctrl+Shift+L, or a function name." sqref="E153"/>
    <dataValidation type="list" allowBlank="1" showInputMessage="1" showErrorMessage="1" promptTitle="Box 1-5" prompt="Press Alt+Down and pick the Suggested box." sqref="H153">
      <formula1>"1,2,3,4,5"</formula1>
    </dataValidation>
    <dataValidation type="date" operator="greaterThanOrEqual" allowBlank="1" showInputMessage="1" showErrorMessage="1" promptTitle="Stamp the date" prompt="Press Ctrl+; for today's date." sqref="I153">
      <formula1>43831</formula1>
    </dataValidation>
    <dataValidation allowBlank="1" showInputMessage="1" showErrorMessage="1" promptTitle="Type your answer" prompt="Keys joined with +, like Ctrl+Shift+L, or a function name." sqref="E154"/>
    <dataValidation type="list" allowBlank="1" showInputMessage="1" showErrorMessage="1" promptTitle="Box 1-5" prompt="Press Alt+Down and pick the Suggested box." sqref="H154">
      <formula1>"1,2,3,4,5"</formula1>
    </dataValidation>
    <dataValidation type="date" operator="greaterThanOrEqual" allowBlank="1" showInputMessage="1" showErrorMessage="1" promptTitle="Stamp the date" prompt="Press Ctrl+; for today's date." sqref="I154">
      <formula1>43831</formula1>
    </dataValidation>
    <dataValidation allowBlank="1" showInputMessage="1" showErrorMessage="1" promptTitle="Type your answer" prompt="Keys joined with +, like Ctrl+Shift+L, or a function name." sqref="E155"/>
    <dataValidation type="list" allowBlank="1" showInputMessage="1" showErrorMessage="1" promptTitle="Box 1-5" prompt="Press Alt+Down and pick the Suggested box." sqref="H155">
      <formula1>"1,2,3,4,5"</formula1>
    </dataValidation>
    <dataValidation type="date" operator="greaterThanOrEqual" allowBlank="1" showInputMessage="1" showErrorMessage="1" promptTitle="Stamp the date" prompt="Press Ctrl+; for today's date." sqref="I155">
      <formula1>43831</formula1>
    </dataValidation>
    <dataValidation allowBlank="1" showInputMessage="1" showErrorMessage="1" promptTitle="Type your answer" prompt="Keys joined with +, like Ctrl+Shift+L, or a function name." sqref="E156"/>
    <dataValidation type="list" allowBlank="1" showInputMessage="1" showErrorMessage="1" promptTitle="Box 1-5" prompt="Press Alt+Down and pick the Suggested box." sqref="H156">
      <formula1>"1,2,3,4,5"</formula1>
    </dataValidation>
    <dataValidation type="date" operator="greaterThanOrEqual" allowBlank="1" showInputMessage="1" showErrorMessage="1" promptTitle="Stamp the date" prompt="Press Ctrl+; for today's date." sqref="I156">
      <formula1>43831</formula1>
    </dataValidation>
    <dataValidation allowBlank="1" showInputMessage="1" showErrorMessage="1" promptTitle="Type your answer" prompt="Keys joined with +, like Ctrl+Shift+L, or a function name." sqref="E157"/>
    <dataValidation type="list" allowBlank="1" showInputMessage="1" showErrorMessage="1" promptTitle="Box 1-5" prompt="Press Alt+Down and pick the Suggested box." sqref="H157">
      <formula1>"1,2,3,4,5"</formula1>
    </dataValidation>
    <dataValidation type="date" operator="greaterThanOrEqual" allowBlank="1" showInputMessage="1" showErrorMessage="1" promptTitle="Stamp the date" prompt="Press Ctrl+; for today's date." sqref="I157">
      <formula1>43831</formula1>
    </dataValidation>
    <dataValidation allowBlank="1" showInputMessage="1" showErrorMessage="1" promptTitle="Type your answer" prompt="Keys joined with +, like Ctrl+Shift+L, or a function name." sqref="E158"/>
    <dataValidation type="list" allowBlank="1" showInputMessage="1" showErrorMessage="1" promptTitle="Box 1-5" prompt="Press Alt+Down and pick the Suggested box." sqref="H158">
      <formula1>"1,2,3,4,5"</formula1>
    </dataValidation>
    <dataValidation type="date" operator="greaterThanOrEqual" allowBlank="1" showInputMessage="1" showErrorMessage="1" promptTitle="Stamp the date" prompt="Press Ctrl+; for today's date." sqref="I158">
      <formula1>43831</formula1>
    </dataValidation>
    <dataValidation allowBlank="1" showInputMessage="1" showErrorMessage="1" promptTitle="Type your answer" prompt="Keys joined with +, like Ctrl+Shift+L, or a function name." sqref="E159"/>
    <dataValidation type="list" allowBlank="1" showInputMessage="1" showErrorMessage="1" promptTitle="Box 1-5" prompt="Press Alt+Down and pick the Suggested box." sqref="H159">
      <formula1>"1,2,3,4,5"</formula1>
    </dataValidation>
    <dataValidation type="date" operator="greaterThanOrEqual" allowBlank="1" showInputMessage="1" showErrorMessage="1" promptTitle="Stamp the date" prompt="Press Ctrl+; for today's date." sqref="I159">
      <formula1>43831</formula1>
    </dataValidation>
    <dataValidation allowBlank="1" showInputMessage="1" showErrorMessage="1" promptTitle="Type your answer" prompt="Keys joined with +, like Ctrl+Shift+L, or a function name." sqref="E160"/>
    <dataValidation type="list" allowBlank="1" showInputMessage="1" showErrorMessage="1" promptTitle="Box 1-5" prompt="Press Alt+Down and pick the Suggested box." sqref="H160">
      <formula1>"1,2,3,4,5"</formula1>
    </dataValidation>
    <dataValidation type="date" operator="greaterThanOrEqual" allowBlank="1" showInputMessage="1" showErrorMessage="1" promptTitle="Stamp the date" prompt="Press Ctrl+; for today's date." sqref="I160">
      <formula1>43831</formula1>
    </dataValidation>
    <dataValidation allowBlank="1" showInputMessage="1" showErrorMessage="1" promptTitle="Type your answer" prompt="Keys joined with +, like Ctrl+Shift+L, or a function name." sqref="E161"/>
    <dataValidation type="list" allowBlank="1" showInputMessage="1" showErrorMessage="1" promptTitle="Box 1-5" prompt="Press Alt+Down and pick the Suggested box." sqref="H161">
      <formula1>"1,2,3,4,5"</formula1>
    </dataValidation>
    <dataValidation type="date" operator="greaterThanOrEqual" allowBlank="1" showInputMessage="1" showErrorMessage="1" promptTitle="Stamp the date" prompt="Press Ctrl+; for today's date." sqref="I161">
      <formula1>43831</formula1>
    </dataValidation>
    <dataValidation allowBlank="1" showInputMessage="1" showErrorMessage="1" promptTitle="Type your answer" prompt="Keys joined with +, like Ctrl+Shift+L, or a function name." sqref="E162"/>
    <dataValidation type="list" allowBlank="1" showInputMessage="1" showErrorMessage="1" promptTitle="Box 1-5" prompt="Press Alt+Down and pick the Suggested box." sqref="H162">
      <formula1>"1,2,3,4,5"</formula1>
    </dataValidation>
    <dataValidation type="date" operator="greaterThanOrEqual" allowBlank="1" showInputMessage="1" showErrorMessage="1" promptTitle="Stamp the date" prompt="Press Ctrl+; for today's date." sqref="I162">
      <formula1>43831</formula1>
    </dataValidation>
    <dataValidation allowBlank="1" showInputMessage="1" showErrorMessage="1" promptTitle="Type your answer" prompt="Keys joined with +, like Ctrl+Shift+L, or a function name." sqref="E163"/>
    <dataValidation type="list" allowBlank="1" showInputMessage="1" showErrorMessage="1" promptTitle="Box 1-5" prompt="Press Alt+Down and pick the Suggested box." sqref="H163">
      <formula1>"1,2,3,4,5"</formula1>
    </dataValidation>
    <dataValidation type="date" operator="greaterThanOrEqual" allowBlank="1" showInputMessage="1" showErrorMessage="1" promptTitle="Stamp the date" prompt="Press Ctrl+; for today's date." sqref="I163">
      <formula1>43831</formula1>
    </dataValidation>
    <dataValidation allowBlank="1" showInputMessage="1" showErrorMessage="1" promptTitle="Type your answer" prompt="Keys joined with +, like Ctrl+Shift+L, or a function name." sqref="E164"/>
    <dataValidation type="list" allowBlank="1" showInputMessage="1" showErrorMessage="1" promptTitle="Box 1-5" prompt="Press Alt+Down and pick the Suggested box." sqref="H164">
      <formula1>"1,2,3,4,5"</formula1>
    </dataValidation>
    <dataValidation type="date" operator="greaterThanOrEqual" allowBlank="1" showInputMessage="1" showErrorMessage="1" promptTitle="Stamp the date" prompt="Press Ctrl+; for today's date." sqref="I164">
      <formula1>43831</formula1>
    </dataValidation>
    <dataValidation allowBlank="1" showInputMessage="1" showErrorMessage="1" promptTitle="Type your answer" prompt="Keys joined with +, like Ctrl+Shift+L, or a function name." sqref="E165"/>
    <dataValidation type="list" allowBlank="1" showInputMessage="1" showErrorMessage="1" promptTitle="Box 1-5" prompt="Press Alt+Down and pick the Suggested box." sqref="H165">
      <formula1>"1,2,3,4,5"</formula1>
    </dataValidation>
    <dataValidation type="date" operator="greaterThanOrEqual" allowBlank="1" showInputMessage="1" showErrorMessage="1" promptTitle="Stamp the date" prompt="Press Ctrl+; for today's date." sqref="I165">
      <formula1>43831</formula1>
    </dataValidation>
    <dataValidation allowBlank="1" showInputMessage="1" showErrorMessage="1" promptTitle="Type your answer" prompt="Keys joined with +, like Ctrl+Shift+L, or a function name." sqref="E166"/>
    <dataValidation type="list" allowBlank="1" showInputMessage="1" showErrorMessage="1" promptTitle="Box 1-5" prompt="Press Alt+Down and pick the Suggested box." sqref="H166">
      <formula1>"1,2,3,4,5"</formula1>
    </dataValidation>
    <dataValidation type="date" operator="greaterThanOrEqual" allowBlank="1" showInputMessage="1" showErrorMessage="1" promptTitle="Stamp the date" prompt="Press Ctrl+; for today's date." sqref="I166">
      <formula1>43831</formula1>
    </dataValidation>
    <dataValidation allowBlank="1" showInputMessage="1" showErrorMessage="1" promptTitle="Type your answer" prompt="Keys joined with +, like Ctrl+Shift+L, or a function name." sqref="E167"/>
    <dataValidation type="list" allowBlank="1" showInputMessage="1" showErrorMessage="1" promptTitle="Box 1-5" prompt="Press Alt+Down and pick the Suggested box." sqref="H167">
      <formula1>"1,2,3,4,5"</formula1>
    </dataValidation>
    <dataValidation type="date" operator="greaterThanOrEqual" allowBlank="1" showInputMessage="1" showErrorMessage="1" promptTitle="Stamp the date" prompt="Press Ctrl+; for today's date." sqref="I167">
      <formula1>43831</formula1>
    </dataValidation>
    <dataValidation allowBlank="1" showInputMessage="1" showErrorMessage="1" promptTitle="Type your answer" prompt="Keys joined with +, like Ctrl+Shift+L, or a function name." sqref="E168"/>
    <dataValidation type="list" allowBlank="1" showInputMessage="1" showErrorMessage="1" promptTitle="Box 1-5" prompt="Press Alt+Down and pick the Suggested box." sqref="H168">
      <formula1>"1,2,3,4,5"</formula1>
    </dataValidation>
    <dataValidation type="date" operator="greaterThanOrEqual" allowBlank="1" showInputMessage="1" showErrorMessage="1" promptTitle="Stamp the date" prompt="Press Ctrl+; for today's date." sqref="I168">
      <formula1>43831</formula1>
    </dataValidation>
    <dataValidation allowBlank="1" showInputMessage="1" showErrorMessage="1" promptTitle="Type your answer" prompt="Keys joined with +, like Ctrl+Shift+L, or a function name." sqref="E169"/>
    <dataValidation type="list" allowBlank="1" showInputMessage="1" showErrorMessage="1" promptTitle="Box 1-5" prompt="Press Alt+Down and pick the Suggested box." sqref="H169">
      <formula1>"1,2,3,4,5"</formula1>
    </dataValidation>
    <dataValidation type="date" operator="greaterThanOrEqual" allowBlank="1" showInputMessage="1" showErrorMessage="1" promptTitle="Stamp the date" prompt="Press Ctrl+; for today's date." sqref="I169">
      <formula1>43831</formula1>
    </dataValidation>
    <dataValidation allowBlank="1" showInputMessage="1" showErrorMessage="1" promptTitle="Type your answer" prompt="Keys joined with +, like Ctrl+Shift+L, or a function name." sqref="E170"/>
    <dataValidation type="list" allowBlank="1" showInputMessage="1" showErrorMessage="1" promptTitle="Box 1-5" prompt="Press Alt+Down and pick the Suggested box." sqref="H170">
      <formula1>"1,2,3,4,5"</formula1>
    </dataValidation>
    <dataValidation type="date" operator="greaterThanOrEqual" allowBlank="1" showInputMessage="1" showErrorMessage="1" promptTitle="Stamp the date" prompt="Press Ctrl+; for today's date." sqref="I170">
      <formula1>43831</formula1>
    </dataValidation>
    <dataValidation allowBlank="1" showInputMessage="1" showErrorMessage="1" promptTitle="Type your answer" prompt="Keys joined with +, like Ctrl+Shift+L, or a function name." sqref="E171"/>
    <dataValidation type="list" allowBlank="1" showInputMessage="1" showErrorMessage="1" promptTitle="Box 1-5" prompt="Press Alt+Down and pick the Suggested box." sqref="H171">
      <formula1>"1,2,3,4,5"</formula1>
    </dataValidation>
    <dataValidation type="date" operator="greaterThanOrEqual" allowBlank="1" showInputMessage="1" showErrorMessage="1" promptTitle="Stamp the date" prompt="Press Ctrl+; for today's date." sqref="I171">
      <formula1>43831</formula1>
    </dataValidation>
    <dataValidation allowBlank="1" showInputMessage="1" showErrorMessage="1" promptTitle="Type your answer" prompt="Keys joined with +, like Ctrl+Shift+L, or a function name." sqref="E172"/>
    <dataValidation type="list" allowBlank="1" showInputMessage="1" showErrorMessage="1" promptTitle="Box 1-5" prompt="Press Alt+Down and pick the Suggested box." sqref="H172">
      <formula1>"1,2,3,4,5"</formula1>
    </dataValidation>
    <dataValidation type="date" operator="greaterThanOrEqual" allowBlank="1" showInputMessage="1" showErrorMessage="1" promptTitle="Stamp the date" prompt="Press Ctrl+; for today's date." sqref="I172">
      <formula1>43831</formula1>
    </dataValidation>
    <dataValidation allowBlank="1" showInputMessage="1" showErrorMessage="1" promptTitle="Type your answer" prompt="Keys joined with +, like Ctrl+Shift+L, or a function name." sqref="E173"/>
    <dataValidation type="list" allowBlank="1" showInputMessage="1" showErrorMessage="1" promptTitle="Box 1-5" prompt="Press Alt+Down and pick the Suggested box." sqref="H173">
      <formula1>"1,2,3,4,5"</formula1>
    </dataValidation>
    <dataValidation type="date" operator="greaterThanOrEqual" allowBlank="1" showInputMessage="1" showErrorMessage="1" promptTitle="Stamp the date" prompt="Press Ctrl+; for today's date." sqref="I173">
      <formula1>43831</formula1>
    </dataValidation>
    <dataValidation allowBlank="1" showInputMessage="1" showErrorMessage="1" promptTitle="Type your answer" prompt="Keys joined with +, like Ctrl+Shift+L, or a function name." sqref="E174"/>
    <dataValidation type="list" allowBlank="1" showInputMessage="1" showErrorMessage="1" promptTitle="Box 1-5" prompt="Press Alt+Down and pick the Suggested box." sqref="H174">
      <formula1>"1,2,3,4,5"</formula1>
    </dataValidation>
    <dataValidation type="date" operator="greaterThanOrEqual" allowBlank="1" showInputMessage="1" showErrorMessage="1" promptTitle="Stamp the date" prompt="Press Ctrl+; for today's date." sqref="I174">
      <formula1>43831</formula1>
    </dataValidation>
    <dataValidation allowBlank="1" showInputMessage="1" showErrorMessage="1" promptTitle="Type your answer" prompt="Keys joined with +, like Ctrl+Shift+L, or a function name." sqref="E175"/>
    <dataValidation type="list" allowBlank="1" showInputMessage="1" showErrorMessage="1" promptTitle="Box 1-5" prompt="Press Alt+Down and pick the Suggested box." sqref="H175">
      <formula1>"1,2,3,4,5"</formula1>
    </dataValidation>
    <dataValidation type="date" operator="greaterThanOrEqual" allowBlank="1" showInputMessage="1" showErrorMessage="1" promptTitle="Stamp the date" prompt="Press Ctrl+; for today's date." sqref="I175">
      <formula1>43831</formula1>
    </dataValidation>
    <dataValidation allowBlank="1" showInputMessage="1" showErrorMessage="1" promptTitle="Type your answer" prompt="Keys joined with +, like Ctrl+Shift+L, or a function name." sqref="E176"/>
    <dataValidation type="list" allowBlank="1" showInputMessage="1" showErrorMessage="1" promptTitle="Box 1-5" prompt="Press Alt+Down and pick the Suggested box." sqref="H176">
      <formula1>"1,2,3,4,5"</formula1>
    </dataValidation>
    <dataValidation type="date" operator="greaterThanOrEqual" allowBlank="1" showInputMessage="1" showErrorMessage="1" promptTitle="Stamp the date" prompt="Press Ctrl+; for today's date." sqref="I176">
      <formula1>43831</formula1>
    </dataValidation>
    <dataValidation allowBlank="1" showInputMessage="1" showErrorMessage="1" promptTitle="Type your answer" prompt="Keys joined with +, like Ctrl+Shift+L, or a function name." sqref="E177"/>
    <dataValidation type="list" allowBlank="1" showInputMessage="1" showErrorMessage="1" promptTitle="Box 1-5" prompt="Press Alt+Down and pick the Suggested box." sqref="H177">
      <formula1>"1,2,3,4,5"</formula1>
    </dataValidation>
    <dataValidation type="date" operator="greaterThanOrEqual" allowBlank="1" showInputMessage="1" showErrorMessage="1" promptTitle="Stamp the date" prompt="Press Ctrl+; for today's date." sqref="I177">
      <formula1>43831</formula1>
    </dataValidation>
    <dataValidation allowBlank="1" showInputMessage="1" showErrorMessage="1" promptTitle="Type your answer" prompt="Keys joined with +, like Ctrl+Shift+L, or a function name." sqref="E178"/>
    <dataValidation type="list" allowBlank="1" showInputMessage="1" showErrorMessage="1" promptTitle="Box 1-5" prompt="Press Alt+Down and pick the Suggested box." sqref="H178">
      <formula1>"1,2,3,4,5"</formula1>
    </dataValidation>
    <dataValidation type="date" operator="greaterThanOrEqual" allowBlank="1" showInputMessage="1" showErrorMessage="1" promptTitle="Stamp the date" prompt="Press Ctrl+; for today's date." sqref="I178">
      <formula1>43831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175"/>
  <sheetViews>
    <sheetView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E1" t="s">
        <v>3</v>
      </c>
    </row>
    <row r="2" spans="1:14">
      <c r="A2" t="s">
        <v>17</v>
      </c>
      <c r="B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</row>
    <row r="3" spans="1:14">
      <c r="A3" t="s">
        <v>27</v>
      </c>
      <c r="B3" t="s">
        <v>28</v>
      </c>
      <c r="E3" t="s">
        <v>29</v>
      </c>
    </row>
    <row r="4" spans="1:14">
      <c r="A4" t="s">
        <v>31</v>
      </c>
      <c r="B4" t="s">
        <v>32</v>
      </c>
      <c r="E4" t="s">
        <v>33</v>
      </c>
    </row>
    <row r="5" spans="1:14">
      <c r="A5" t="s">
        <v>35</v>
      </c>
      <c r="B5" t="s">
        <v>36</v>
      </c>
      <c r="E5" t="s">
        <v>37</v>
      </c>
    </row>
    <row r="6" spans="1:14">
      <c r="A6" t="s">
        <v>39</v>
      </c>
      <c r="B6" t="s">
        <v>40</v>
      </c>
      <c r="E6" t="s">
        <v>41</v>
      </c>
      <c r="F6" t="s">
        <v>42</v>
      </c>
    </row>
    <row r="7" spans="1:14">
      <c r="A7" t="s">
        <v>45</v>
      </c>
      <c r="B7" t="s">
        <v>46</v>
      </c>
      <c r="E7" t="s">
        <v>47</v>
      </c>
    </row>
    <row r="8" spans="1:14">
      <c r="A8" t="s">
        <v>49</v>
      </c>
      <c r="B8" t="s">
        <v>50</v>
      </c>
      <c r="E8" t="s">
        <v>51</v>
      </c>
    </row>
    <row r="9" spans="1:14">
      <c r="A9" t="s">
        <v>53</v>
      </c>
      <c r="B9" t="s">
        <v>54</v>
      </c>
      <c r="E9" t="s">
        <v>55</v>
      </c>
    </row>
    <row r="10" spans="1:14">
      <c r="A10" t="s">
        <v>57</v>
      </c>
      <c r="B10" t="s">
        <v>58</v>
      </c>
      <c r="E10" t="s">
        <v>59</v>
      </c>
    </row>
    <row r="11" spans="1:14">
      <c r="A11" t="s">
        <v>61</v>
      </c>
      <c r="B11" t="s">
        <v>62</v>
      </c>
      <c r="E11" t="s">
        <v>63</v>
      </c>
      <c r="F11" t="s">
        <v>64</v>
      </c>
      <c r="G11" t="s">
        <v>65</v>
      </c>
      <c r="H11" t="s">
        <v>66</v>
      </c>
      <c r="I11" t="s">
        <v>67</v>
      </c>
    </row>
    <row r="12" spans="1:14">
      <c r="A12" t="s">
        <v>70</v>
      </c>
      <c r="B12" t="s">
        <v>71</v>
      </c>
      <c r="E12" t="s">
        <v>72</v>
      </c>
      <c r="F12" t="s">
        <v>73</v>
      </c>
      <c r="G12" t="s">
        <v>74</v>
      </c>
      <c r="H12" t="s">
        <v>75</v>
      </c>
      <c r="I12" t="s">
        <v>76</v>
      </c>
      <c r="J12" t="s">
        <v>77</v>
      </c>
      <c r="K12" t="s">
        <v>78</v>
      </c>
      <c r="L12" t="s">
        <v>79</v>
      </c>
      <c r="M12" t="s">
        <v>80</v>
      </c>
      <c r="N12" t="s">
        <v>81</v>
      </c>
    </row>
    <row r="13" spans="1:14">
      <c r="A13" t="s">
        <v>83</v>
      </c>
      <c r="B13" t="s">
        <v>84</v>
      </c>
      <c r="E13" t="s">
        <v>85</v>
      </c>
      <c r="F13" t="s">
        <v>86</v>
      </c>
    </row>
    <row r="14" spans="1:14">
      <c r="A14" t="s">
        <v>88</v>
      </c>
      <c r="B14" t="s">
        <v>89</v>
      </c>
      <c r="E14" t="s">
        <v>90</v>
      </c>
      <c r="F14" t="s">
        <v>91</v>
      </c>
    </row>
    <row r="15" spans="1:14">
      <c r="A15" t="s">
        <v>93</v>
      </c>
      <c r="B15" t="s">
        <v>94</v>
      </c>
      <c r="E15" t="s">
        <v>95</v>
      </c>
    </row>
    <row r="16" spans="1:14">
      <c r="A16" t="s">
        <v>98</v>
      </c>
      <c r="B16" t="s">
        <v>99</v>
      </c>
      <c r="E16" t="s">
        <v>100</v>
      </c>
    </row>
    <row r="17" spans="1:10">
      <c r="A17" t="s">
        <v>102</v>
      </c>
      <c r="B17" t="s">
        <v>103</v>
      </c>
      <c r="E17" t="s">
        <v>104</v>
      </c>
      <c r="F17" t="s">
        <v>105</v>
      </c>
      <c r="G17" t="s">
        <v>106</v>
      </c>
    </row>
    <row r="18" spans="1:10">
      <c r="A18" t="s">
        <v>108</v>
      </c>
      <c r="B18" t="s">
        <v>109</v>
      </c>
      <c r="E18" t="s">
        <v>110</v>
      </c>
      <c r="F18" t="s">
        <v>111</v>
      </c>
      <c r="G18" t="s">
        <v>112</v>
      </c>
      <c r="H18" t="s">
        <v>113</v>
      </c>
    </row>
    <row r="19" spans="1:10">
      <c r="A19" t="s">
        <v>117</v>
      </c>
      <c r="B19" t="s">
        <v>118</v>
      </c>
      <c r="E19" t="s">
        <v>119</v>
      </c>
      <c r="F19" t="s">
        <v>120</v>
      </c>
    </row>
    <row r="20" spans="1:10">
      <c r="A20" t="s">
        <v>122</v>
      </c>
      <c r="B20" t="s">
        <v>123</v>
      </c>
      <c r="E20" t="s">
        <v>124</v>
      </c>
    </row>
    <row r="21" spans="1:10">
      <c r="A21" t="s">
        <v>126</v>
      </c>
      <c r="B21" t="s">
        <v>127</v>
      </c>
      <c r="E21" t="s">
        <v>128</v>
      </c>
      <c r="F21" t="s">
        <v>129</v>
      </c>
      <c r="G21" t="s">
        <v>130</v>
      </c>
      <c r="H21" t="s">
        <v>131</v>
      </c>
    </row>
    <row r="22" spans="1:10">
      <c r="A22" t="s">
        <v>133</v>
      </c>
      <c r="B22" t="s">
        <v>134</v>
      </c>
      <c r="E22" t="s">
        <v>135</v>
      </c>
      <c r="F22" t="s">
        <v>136</v>
      </c>
      <c r="G22" t="s">
        <v>137</v>
      </c>
      <c r="H22" t="s">
        <v>138</v>
      </c>
      <c r="I22" t="s">
        <v>139</v>
      </c>
      <c r="J22" t="s">
        <v>140</v>
      </c>
    </row>
    <row r="23" spans="1:10">
      <c r="A23" t="s">
        <v>143</v>
      </c>
      <c r="B23" t="s">
        <v>144</v>
      </c>
      <c r="E23" t="s">
        <v>145</v>
      </c>
      <c r="F23" t="s">
        <v>146</v>
      </c>
      <c r="G23" t="s">
        <v>147</v>
      </c>
      <c r="H23" t="s">
        <v>148</v>
      </c>
      <c r="I23" t="s">
        <v>149</v>
      </c>
      <c r="J23" t="s">
        <v>150</v>
      </c>
    </row>
    <row r="24" spans="1:10">
      <c r="A24" t="s">
        <v>152</v>
      </c>
      <c r="B24" t="s">
        <v>153</v>
      </c>
      <c r="E24" t="s">
        <v>154</v>
      </c>
      <c r="F24" t="s">
        <v>155</v>
      </c>
      <c r="G24" t="s">
        <v>156</v>
      </c>
      <c r="H24" t="s">
        <v>157</v>
      </c>
      <c r="I24" t="s">
        <v>158</v>
      </c>
      <c r="J24" t="s">
        <v>159</v>
      </c>
    </row>
    <row r="25" spans="1:10">
      <c r="A25" t="s">
        <v>161</v>
      </c>
      <c r="B25" t="s">
        <v>162</v>
      </c>
      <c r="E25" t="s">
        <v>163</v>
      </c>
      <c r="F25" t="s">
        <v>164</v>
      </c>
      <c r="G25" t="s">
        <v>165</v>
      </c>
      <c r="H25" t="s">
        <v>166</v>
      </c>
      <c r="I25" t="s">
        <v>167</v>
      </c>
      <c r="J25" t="s">
        <v>168</v>
      </c>
    </row>
    <row r="26" spans="1:10">
      <c r="A26" t="s">
        <v>170</v>
      </c>
      <c r="B26" t="s">
        <v>171</v>
      </c>
      <c r="E26" t="s">
        <v>172</v>
      </c>
      <c r="F26" t="s">
        <v>173</v>
      </c>
      <c r="G26" t="s">
        <v>174</v>
      </c>
      <c r="H26" t="s">
        <v>175</v>
      </c>
      <c r="I26" t="s">
        <v>176</v>
      </c>
      <c r="J26" t="s">
        <v>177</v>
      </c>
    </row>
    <row r="27" spans="1:10">
      <c r="A27" t="s">
        <v>179</v>
      </c>
      <c r="B27" t="s">
        <v>180</v>
      </c>
      <c r="E27" t="s">
        <v>181</v>
      </c>
      <c r="F27" t="s">
        <v>182</v>
      </c>
      <c r="G27" t="s">
        <v>183</v>
      </c>
      <c r="H27" t="s">
        <v>184</v>
      </c>
      <c r="I27" t="s">
        <v>185</v>
      </c>
      <c r="J27" t="s">
        <v>186</v>
      </c>
    </row>
    <row r="28" spans="1:10">
      <c r="A28" t="s">
        <v>188</v>
      </c>
      <c r="B28" t="s">
        <v>189</v>
      </c>
      <c r="E28" t="s">
        <v>190</v>
      </c>
    </row>
    <row r="29" spans="1:10">
      <c r="A29" t="s">
        <v>192</v>
      </c>
      <c r="B29" t="s">
        <v>193</v>
      </c>
      <c r="E29" t="s">
        <v>194</v>
      </c>
    </row>
    <row r="30" spans="1:10">
      <c r="A30" t="s">
        <v>197</v>
      </c>
      <c r="B30" t="s">
        <v>198</v>
      </c>
      <c r="E30" t="s">
        <v>199</v>
      </c>
    </row>
    <row r="31" spans="1:10">
      <c r="A31" t="s">
        <v>201</v>
      </c>
      <c r="B31" t="s">
        <v>202</v>
      </c>
      <c r="E31" t="s">
        <v>203</v>
      </c>
    </row>
    <row r="32" spans="1:10">
      <c r="A32" t="s">
        <v>205</v>
      </c>
      <c r="B32" t="s">
        <v>206</v>
      </c>
      <c r="E32" t="s">
        <v>207</v>
      </c>
    </row>
    <row r="33" spans="1:10">
      <c r="A33" t="s">
        <v>209</v>
      </c>
      <c r="B33" t="s">
        <v>210</v>
      </c>
      <c r="E33" t="s">
        <v>211</v>
      </c>
      <c r="F33" t="s">
        <v>212</v>
      </c>
      <c r="G33" t="s">
        <v>213</v>
      </c>
      <c r="H33" t="s">
        <v>214</v>
      </c>
      <c r="I33" t="s">
        <v>215</v>
      </c>
      <c r="J33" t="s">
        <v>216</v>
      </c>
    </row>
    <row r="34" spans="1:10">
      <c r="A34" t="s">
        <v>219</v>
      </c>
      <c r="B34" t="s">
        <v>220</v>
      </c>
      <c r="E34" t="s">
        <v>221</v>
      </c>
      <c r="F34" t="s">
        <v>222</v>
      </c>
      <c r="G34" t="s">
        <v>223</v>
      </c>
      <c r="H34" t="s">
        <v>224</v>
      </c>
      <c r="I34" t="s">
        <v>225</v>
      </c>
      <c r="J34" t="s">
        <v>226</v>
      </c>
    </row>
    <row r="35" spans="1:10">
      <c r="A35" t="s">
        <v>228</v>
      </c>
      <c r="B35" t="s">
        <v>229</v>
      </c>
      <c r="E35" t="s">
        <v>230</v>
      </c>
      <c r="F35" t="s">
        <v>231</v>
      </c>
      <c r="G35" t="s">
        <v>232</v>
      </c>
      <c r="H35" t="s">
        <v>233</v>
      </c>
      <c r="I35" t="s">
        <v>234</v>
      </c>
      <c r="J35" t="s">
        <v>235</v>
      </c>
    </row>
    <row r="36" spans="1:10">
      <c r="A36" t="s">
        <v>237</v>
      </c>
      <c r="B36" t="s">
        <v>238</v>
      </c>
      <c r="E36" t="s">
        <v>239</v>
      </c>
      <c r="F36" t="s">
        <v>240</v>
      </c>
      <c r="G36" t="s">
        <v>241</v>
      </c>
      <c r="H36" t="s">
        <v>242</v>
      </c>
    </row>
    <row r="37" spans="1:10">
      <c r="A37" t="s">
        <v>245</v>
      </c>
      <c r="B37" t="s">
        <v>246</v>
      </c>
      <c r="E37" t="s">
        <v>247</v>
      </c>
    </row>
    <row r="38" spans="1:10">
      <c r="A38" t="s">
        <v>249</v>
      </c>
      <c r="B38" t="s">
        <v>250</v>
      </c>
      <c r="E38" t="s">
        <v>251</v>
      </c>
    </row>
    <row r="39" spans="1:10">
      <c r="A39" t="s">
        <v>253</v>
      </c>
      <c r="B39" t="s">
        <v>254</v>
      </c>
      <c r="E39" t="s">
        <v>255</v>
      </c>
      <c r="F39" t="s">
        <v>256</v>
      </c>
    </row>
    <row r="40" spans="1:10">
      <c r="A40" t="s">
        <v>258</v>
      </c>
      <c r="B40" t="s">
        <v>259</v>
      </c>
      <c r="E40" t="s">
        <v>260</v>
      </c>
    </row>
    <row r="41" spans="1:10">
      <c r="A41" t="s">
        <v>262</v>
      </c>
      <c r="B41" t="s">
        <v>263</v>
      </c>
      <c r="E41" t="s">
        <v>264</v>
      </c>
    </row>
    <row r="42" spans="1:10">
      <c r="A42" t="s">
        <v>268</v>
      </c>
      <c r="B42" t="s">
        <v>250</v>
      </c>
      <c r="E42" t="s">
        <v>251</v>
      </c>
    </row>
    <row r="43" spans="1:10">
      <c r="A43" t="s">
        <v>270</v>
      </c>
      <c r="B43" t="s">
        <v>271</v>
      </c>
      <c r="E43" t="s">
        <v>272</v>
      </c>
    </row>
    <row r="44" spans="1:10">
      <c r="A44" t="s">
        <v>274</v>
      </c>
      <c r="B44" t="s">
        <v>275</v>
      </c>
      <c r="E44" t="s">
        <v>276</v>
      </c>
    </row>
    <row r="45" spans="1:10">
      <c r="A45" t="s">
        <v>278</v>
      </c>
      <c r="B45" t="s">
        <v>279</v>
      </c>
      <c r="E45" t="s">
        <v>280</v>
      </c>
    </row>
    <row r="46" spans="1:10">
      <c r="A46" t="s">
        <v>282</v>
      </c>
      <c r="B46" t="s">
        <v>283</v>
      </c>
      <c r="E46" t="s">
        <v>284</v>
      </c>
    </row>
    <row r="47" spans="1:10">
      <c r="A47" t="s">
        <v>287</v>
      </c>
      <c r="B47" t="s">
        <v>288</v>
      </c>
      <c r="E47" t="s">
        <v>289</v>
      </c>
    </row>
    <row r="48" spans="1:10">
      <c r="A48" t="s">
        <v>291</v>
      </c>
      <c r="B48" t="s">
        <v>292</v>
      </c>
      <c r="E48" t="s">
        <v>293</v>
      </c>
    </row>
    <row r="49" spans="1:11">
      <c r="A49" t="s">
        <v>295</v>
      </c>
      <c r="B49" t="s">
        <v>296</v>
      </c>
      <c r="E49" t="s">
        <v>297</v>
      </c>
      <c r="F49" t="s">
        <v>298</v>
      </c>
    </row>
    <row r="50" spans="1:11">
      <c r="A50" t="s">
        <v>300</v>
      </c>
      <c r="B50" t="s">
        <v>301</v>
      </c>
      <c r="E50" t="s">
        <v>302</v>
      </c>
    </row>
    <row r="51" spans="1:11">
      <c r="A51" t="s">
        <v>304</v>
      </c>
      <c r="B51" t="s">
        <v>305</v>
      </c>
      <c r="E51" t="s">
        <v>306</v>
      </c>
    </row>
    <row r="52" spans="1:11">
      <c r="A52" t="s">
        <v>308</v>
      </c>
      <c r="B52" t="s">
        <v>309</v>
      </c>
      <c r="E52" t="s">
        <v>310</v>
      </c>
    </row>
    <row r="53" spans="1:11">
      <c r="A53" t="s">
        <v>312</v>
      </c>
      <c r="B53" t="s">
        <v>313</v>
      </c>
      <c r="E53" t="s">
        <v>314</v>
      </c>
      <c r="F53" t="s">
        <v>315</v>
      </c>
    </row>
    <row r="54" spans="1:11">
      <c r="A54" t="s">
        <v>318</v>
      </c>
      <c r="B54" t="s">
        <v>319</v>
      </c>
      <c r="E54" t="s">
        <v>320</v>
      </c>
      <c r="F54" t="s">
        <v>321</v>
      </c>
      <c r="G54" t="s">
        <v>322</v>
      </c>
      <c r="H54" t="s">
        <v>323</v>
      </c>
      <c r="I54" t="s">
        <v>324</v>
      </c>
      <c r="J54" t="s">
        <v>325</v>
      </c>
      <c r="K54" t="s">
        <v>326</v>
      </c>
    </row>
    <row r="55" spans="1:11">
      <c r="A55" t="s">
        <v>328</v>
      </c>
      <c r="B55" t="s">
        <v>329</v>
      </c>
      <c r="E55" t="s">
        <v>330</v>
      </c>
    </row>
    <row r="56" spans="1:11">
      <c r="A56" t="s">
        <v>332</v>
      </c>
      <c r="B56" t="s">
        <v>333</v>
      </c>
      <c r="E56" t="s">
        <v>334</v>
      </c>
    </row>
    <row r="57" spans="1:11">
      <c r="A57" t="s">
        <v>336</v>
      </c>
      <c r="B57" t="s">
        <v>337</v>
      </c>
      <c r="E57" t="s">
        <v>338</v>
      </c>
    </row>
    <row r="58" spans="1:11">
      <c r="A58" t="s">
        <v>341</v>
      </c>
      <c r="B58" t="s">
        <v>342</v>
      </c>
      <c r="E58" t="s">
        <v>343</v>
      </c>
    </row>
    <row r="59" spans="1:11">
      <c r="A59" t="s">
        <v>345</v>
      </c>
      <c r="B59" t="s">
        <v>346</v>
      </c>
      <c r="E59" t="s">
        <v>347</v>
      </c>
      <c r="F59" t="s">
        <v>348</v>
      </c>
      <c r="G59" t="s">
        <v>349</v>
      </c>
      <c r="H59" t="s">
        <v>350</v>
      </c>
    </row>
    <row r="60" spans="1:11">
      <c r="A60" t="s">
        <v>352</v>
      </c>
      <c r="B60" t="s">
        <v>353</v>
      </c>
      <c r="E60" t="s">
        <v>354</v>
      </c>
      <c r="F60" t="s">
        <v>355</v>
      </c>
      <c r="G60" t="s">
        <v>356</v>
      </c>
      <c r="H60" t="s">
        <v>357</v>
      </c>
      <c r="I60" t="s">
        <v>358</v>
      </c>
      <c r="J60" t="s">
        <v>359</v>
      </c>
    </row>
    <row r="61" spans="1:11">
      <c r="A61" t="s">
        <v>362</v>
      </c>
      <c r="B61" t="s">
        <v>363</v>
      </c>
      <c r="E61" t="s">
        <v>364</v>
      </c>
    </row>
    <row r="62" spans="1:11">
      <c r="A62" t="s">
        <v>366</v>
      </c>
      <c r="B62" t="s">
        <v>367</v>
      </c>
      <c r="E62" t="s">
        <v>368</v>
      </c>
    </row>
    <row r="63" spans="1:11">
      <c r="A63" t="s">
        <v>370</v>
      </c>
      <c r="B63" t="s">
        <v>371</v>
      </c>
      <c r="E63" t="s">
        <v>372</v>
      </c>
      <c r="F63" t="s">
        <v>373</v>
      </c>
      <c r="G63" t="s">
        <v>374</v>
      </c>
      <c r="H63" t="s">
        <v>375</v>
      </c>
      <c r="I63" t="s">
        <v>376</v>
      </c>
      <c r="J63" t="s">
        <v>377</v>
      </c>
    </row>
    <row r="64" spans="1:11">
      <c r="A64" t="s">
        <v>380</v>
      </c>
      <c r="B64" t="s">
        <v>381</v>
      </c>
      <c r="E64" t="s">
        <v>382</v>
      </c>
      <c r="F64" t="s">
        <v>383</v>
      </c>
      <c r="G64" t="s">
        <v>384</v>
      </c>
      <c r="H64" t="s">
        <v>385</v>
      </c>
      <c r="I64" t="s">
        <v>386</v>
      </c>
      <c r="J64" t="s">
        <v>387</v>
      </c>
    </row>
    <row r="65" spans="1:10">
      <c r="A65" t="s">
        <v>389</v>
      </c>
      <c r="B65" t="s">
        <v>390</v>
      </c>
      <c r="E65" t="s">
        <v>391</v>
      </c>
      <c r="F65" t="s">
        <v>392</v>
      </c>
      <c r="G65" t="s">
        <v>393</v>
      </c>
      <c r="H65" t="s">
        <v>394</v>
      </c>
      <c r="I65" t="s">
        <v>395</v>
      </c>
      <c r="J65" t="s">
        <v>396</v>
      </c>
    </row>
    <row r="66" spans="1:10">
      <c r="A66" t="s">
        <v>398</v>
      </c>
      <c r="B66" t="s">
        <v>399</v>
      </c>
      <c r="E66" t="s">
        <v>400</v>
      </c>
      <c r="F66" t="s">
        <v>401</v>
      </c>
    </row>
    <row r="67" spans="1:10">
      <c r="A67" t="s">
        <v>404</v>
      </c>
      <c r="B67" t="s">
        <v>405</v>
      </c>
      <c r="E67" t="s">
        <v>406</v>
      </c>
      <c r="F67" t="s">
        <v>407</v>
      </c>
      <c r="G67" t="s">
        <v>408</v>
      </c>
      <c r="H67" t="s">
        <v>409</v>
      </c>
      <c r="I67" t="s">
        <v>410</v>
      </c>
      <c r="J67" t="s">
        <v>411</v>
      </c>
    </row>
    <row r="68" spans="1:10">
      <c r="A68" t="s">
        <v>413</v>
      </c>
      <c r="B68" t="s">
        <v>414</v>
      </c>
      <c r="E68" t="s">
        <v>415</v>
      </c>
    </row>
    <row r="69" spans="1:10">
      <c r="A69" t="s">
        <v>417</v>
      </c>
      <c r="B69" t="s">
        <v>418</v>
      </c>
      <c r="E69" t="s">
        <v>419</v>
      </c>
      <c r="F69" t="s">
        <v>420</v>
      </c>
      <c r="G69" t="s">
        <v>421</v>
      </c>
      <c r="H69" t="s">
        <v>422</v>
      </c>
      <c r="I69" t="s">
        <v>423</v>
      </c>
      <c r="J69" t="s">
        <v>424</v>
      </c>
    </row>
    <row r="70" spans="1:10">
      <c r="A70" t="s">
        <v>427</v>
      </c>
      <c r="B70" t="s">
        <v>428</v>
      </c>
      <c r="E70" t="s">
        <v>429</v>
      </c>
      <c r="F70" t="s">
        <v>430</v>
      </c>
      <c r="G70" t="s">
        <v>431</v>
      </c>
      <c r="H70" t="s">
        <v>432</v>
      </c>
      <c r="I70" t="s">
        <v>433</v>
      </c>
      <c r="J70" t="s">
        <v>434</v>
      </c>
    </row>
    <row r="71" spans="1:10">
      <c r="A71" t="s">
        <v>436</v>
      </c>
      <c r="B71" t="s">
        <v>437</v>
      </c>
      <c r="E71" t="s">
        <v>438</v>
      </c>
      <c r="F71" t="s">
        <v>439</v>
      </c>
      <c r="G71" t="s">
        <v>440</v>
      </c>
      <c r="H71" t="s">
        <v>441</v>
      </c>
      <c r="I71" t="s">
        <v>442</v>
      </c>
      <c r="J71" t="s">
        <v>443</v>
      </c>
    </row>
    <row r="72" spans="1:10">
      <c r="A72" t="s">
        <v>445</v>
      </c>
      <c r="B72" t="s">
        <v>446</v>
      </c>
      <c r="E72" t="s">
        <v>447</v>
      </c>
      <c r="F72" t="s">
        <v>448</v>
      </c>
      <c r="G72" t="s">
        <v>449</v>
      </c>
      <c r="H72" t="s">
        <v>450</v>
      </c>
      <c r="I72" t="s">
        <v>451</v>
      </c>
      <c r="J72" t="s">
        <v>452</v>
      </c>
    </row>
    <row r="73" spans="1:10">
      <c r="A73" t="s">
        <v>454</v>
      </c>
      <c r="B73" t="s">
        <v>455</v>
      </c>
      <c r="E73" t="s">
        <v>456</v>
      </c>
      <c r="F73" t="s">
        <v>457</v>
      </c>
      <c r="G73" t="s">
        <v>458</v>
      </c>
      <c r="H73" t="s">
        <v>459</v>
      </c>
    </row>
    <row r="74" spans="1:10">
      <c r="A74" t="s">
        <v>463</v>
      </c>
      <c r="B74" t="s">
        <v>464</v>
      </c>
      <c r="E74" t="s">
        <v>465</v>
      </c>
      <c r="F74" t="s">
        <v>466</v>
      </c>
      <c r="G74" t="s">
        <v>467</v>
      </c>
      <c r="H74" t="s">
        <v>468</v>
      </c>
    </row>
    <row r="75" spans="1:10">
      <c r="A75" t="s">
        <v>470</v>
      </c>
      <c r="B75" t="s">
        <v>471</v>
      </c>
      <c r="E75" t="s">
        <v>472</v>
      </c>
      <c r="F75" t="s">
        <v>473</v>
      </c>
      <c r="G75" t="s">
        <v>474</v>
      </c>
      <c r="H75" t="s">
        <v>475</v>
      </c>
    </row>
    <row r="76" spans="1:10">
      <c r="A76" t="s">
        <v>477</v>
      </c>
      <c r="B76" t="s">
        <v>478</v>
      </c>
      <c r="E76" t="s">
        <v>479</v>
      </c>
      <c r="F76" t="s">
        <v>480</v>
      </c>
      <c r="G76" t="s">
        <v>481</v>
      </c>
      <c r="H76" t="s">
        <v>482</v>
      </c>
    </row>
    <row r="77" spans="1:10">
      <c r="A77" t="s">
        <v>484</v>
      </c>
      <c r="B77" t="s">
        <v>485</v>
      </c>
      <c r="E77" t="s">
        <v>486</v>
      </c>
      <c r="F77" t="s">
        <v>487</v>
      </c>
      <c r="G77" t="s">
        <v>488</v>
      </c>
      <c r="H77" t="s">
        <v>489</v>
      </c>
    </row>
    <row r="78" spans="1:10">
      <c r="A78" t="s">
        <v>491</v>
      </c>
      <c r="B78" t="s">
        <v>492</v>
      </c>
      <c r="E78" t="s">
        <v>493</v>
      </c>
      <c r="F78" t="s">
        <v>494</v>
      </c>
      <c r="G78" t="s">
        <v>495</v>
      </c>
      <c r="H78" t="s">
        <v>496</v>
      </c>
    </row>
    <row r="79" spans="1:10">
      <c r="A79" t="s">
        <v>498</v>
      </c>
      <c r="B79" t="s">
        <v>499</v>
      </c>
      <c r="E79" t="s">
        <v>500</v>
      </c>
      <c r="F79" t="s">
        <v>501</v>
      </c>
    </row>
    <row r="80" spans="1:10">
      <c r="A80" t="s">
        <v>504</v>
      </c>
      <c r="B80" t="s">
        <v>505</v>
      </c>
      <c r="E80" t="s">
        <v>506</v>
      </c>
      <c r="F80" t="s">
        <v>507</v>
      </c>
    </row>
    <row r="81" spans="1:20">
      <c r="A81" t="s">
        <v>509</v>
      </c>
      <c r="B81" t="s">
        <v>510</v>
      </c>
      <c r="E81" t="s">
        <v>511</v>
      </c>
      <c r="F81" t="s">
        <v>512</v>
      </c>
    </row>
    <row r="82" spans="1:20">
      <c r="A82" t="s">
        <v>514</v>
      </c>
      <c r="B82" t="s">
        <v>515</v>
      </c>
      <c r="E82" t="s">
        <v>516</v>
      </c>
    </row>
    <row r="83" spans="1:20">
      <c r="A83" t="s">
        <v>518</v>
      </c>
      <c r="B83" t="s">
        <v>519</v>
      </c>
      <c r="E83" t="s">
        <v>520</v>
      </c>
    </row>
    <row r="84" spans="1:20">
      <c r="A84" t="s">
        <v>523</v>
      </c>
      <c r="B84" t="s">
        <v>524</v>
      </c>
      <c r="E84" t="s">
        <v>525</v>
      </c>
      <c r="F84" t="s">
        <v>526</v>
      </c>
      <c r="G84" t="s">
        <v>527</v>
      </c>
      <c r="H84" t="s">
        <v>528</v>
      </c>
    </row>
    <row r="85" spans="1:20">
      <c r="A85" t="s">
        <v>530</v>
      </c>
      <c r="B85" t="s">
        <v>531</v>
      </c>
      <c r="E85" t="s">
        <v>532</v>
      </c>
      <c r="F85" t="s">
        <v>533</v>
      </c>
      <c r="G85" t="s">
        <v>534</v>
      </c>
      <c r="H85" t="s">
        <v>535</v>
      </c>
    </row>
    <row r="86" spans="1:20">
      <c r="A86" t="s">
        <v>537</v>
      </c>
      <c r="B86" t="s">
        <v>538</v>
      </c>
      <c r="E86" t="s">
        <v>539</v>
      </c>
      <c r="F86" t="s">
        <v>540</v>
      </c>
    </row>
    <row r="87" spans="1:20">
      <c r="A87" t="s">
        <v>542</v>
      </c>
      <c r="B87" t="s">
        <v>543</v>
      </c>
      <c r="E87" t="s">
        <v>544</v>
      </c>
      <c r="F87" t="s">
        <v>545</v>
      </c>
      <c r="G87" t="s">
        <v>546</v>
      </c>
      <c r="H87" t="s">
        <v>547</v>
      </c>
      <c r="I87" t="s">
        <v>548</v>
      </c>
      <c r="J87" t="s">
        <v>549</v>
      </c>
      <c r="K87" t="s">
        <v>550</v>
      </c>
      <c r="L87" t="s">
        <v>551</v>
      </c>
      <c r="M87" t="s">
        <v>552</v>
      </c>
      <c r="N87" t="s">
        <v>553</v>
      </c>
      <c r="O87" t="s">
        <v>554</v>
      </c>
      <c r="P87" t="s">
        <v>555</v>
      </c>
      <c r="Q87" t="s">
        <v>556</v>
      </c>
      <c r="R87" t="s">
        <v>557</v>
      </c>
      <c r="S87" t="s">
        <v>558</v>
      </c>
      <c r="T87" t="s">
        <v>559</v>
      </c>
    </row>
    <row r="88" spans="1:20">
      <c r="A88" t="s">
        <v>561</v>
      </c>
      <c r="B88" t="s">
        <v>562</v>
      </c>
      <c r="E88" t="s">
        <v>563</v>
      </c>
      <c r="F88" t="s">
        <v>564</v>
      </c>
      <c r="G88" t="s">
        <v>565</v>
      </c>
      <c r="H88" t="s">
        <v>566</v>
      </c>
      <c r="I88" t="s">
        <v>567</v>
      </c>
      <c r="J88" t="s">
        <v>568</v>
      </c>
      <c r="K88" t="s">
        <v>569</v>
      </c>
      <c r="L88" t="s">
        <v>570</v>
      </c>
      <c r="M88" t="s">
        <v>571</v>
      </c>
      <c r="N88" t="s">
        <v>572</v>
      </c>
      <c r="O88" t="s">
        <v>573</v>
      </c>
      <c r="P88" t="s">
        <v>574</v>
      </c>
      <c r="Q88" t="s">
        <v>575</v>
      </c>
      <c r="R88" t="s">
        <v>576</v>
      </c>
      <c r="S88" t="s">
        <v>577</v>
      </c>
      <c r="T88" t="s">
        <v>578</v>
      </c>
    </row>
    <row r="89" spans="1:20">
      <c r="A89" t="s">
        <v>580</v>
      </c>
      <c r="B89" t="s">
        <v>581</v>
      </c>
      <c r="E89" t="s">
        <v>310</v>
      </c>
      <c r="F89" t="s">
        <v>203</v>
      </c>
    </row>
    <row r="90" spans="1:20">
      <c r="A90" t="s">
        <v>583</v>
      </c>
      <c r="B90" t="s">
        <v>584</v>
      </c>
      <c r="E90" t="s">
        <v>585</v>
      </c>
      <c r="F90" t="s">
        <v>586</v>
      </c>
      <c r="G90" t="s">
        <v>587</v>
      </c>
      <c r="H90" t="s">
        <v>588</v>
      </c>
      <c r="I90" t="s">
        <v>589</v>
      </c>
      <c r="J90" t="s">
        <v>590</v>
      </c>
    </row>
    <row r="91" spans="1:20">
      <c r="A91" t="s">
        <v>594</v>
      </c>
      <c r="B91" t="s">
        <v>595</v>
      </c>
      <c r="E91" t="s">
        <v>596</v>
      </c>
    </row>
    <row r="92" spans="1:20">
      <c r="A92" t="s">
        <v>598</v>
      </c>
      <c r="B92" t="s">
        <v>599</v>
      </c>
      <c r="E92" t="s">
        <v>600</v>
      </c>
      <c r="F92" t="s">
        <v>601</v>
      </c>
    </row>
    <row r="93" spans="1:20">
      <c r="A93" t="s">
        <v>603</v>
      </c>
      <c r="B93" t="s">
        <v>604</v>
      </c>
      <c r="E93" t="s">
        <v>605</v>
      </c>
      <c r="F93" t="s">
        <v>606</v>
      </c>
      <c r="G93" t="s">
        <v>607</v>
      </c>
      <c r="H93" t="s">
        <v>608</v>
      </c>
      <c r="I93" t="s">
        <v>609</v>
      </c>
      <c r="J93" t="s">
        <v>610</v>
      </c>
    </row>
    <row r="94" spans="1:20">
      <c r="A94" t="s">
        <v>613</v>
      </c>
      <c r="B94" t="s">
        <v>614</v>
      </c>
      <c r="E94" t="s">
        <v>615</v>
      </c>
      <c r="F94" t="s">
        <v>616</v>
      </c>
      <c r="G94" t="s">
        <v>617</v>
      </c>
      <c r="H94" t="s">
        <v>618</v>
      </c>
      <c r="I94" t="s">
        <v>619</v>
      </c>
      <c r="J94" t="s">
        <v>620</v>
      </c>
    </row>
    <row r="95" spans="1:20">
      <c r="A95" t="s">
        <v>622</v>
      </c>
      <c r="B95" t="s">
        <v>623</v>
      </c>
      <c r="E95" t="s">
        <v>624</v>
      </c>
      <c r="F95" t="s">
        <v>625</v>
      </c>
      <c r="G95" t="s">
        <v>626</v>
      </c>
      <c r="H95" t="s">
        <v>627</v>
      </c>
      <c r="I95" t="s">
        <v>628</v>
      </c>
      <c r="J95" t="s">
        <v>629</v>
      </c>
    </row>
    <row r="96" spans="1:20">
      <c r="A96" t="s">
        <v>632</v>
      </c>
      <c r="B96" t="s">
        <v>633</v>
      </c>
      <c r="E96" t="s">
        <v>634</v>
      </c>
      <c r="F96" t="s">
        <v>635</v>
      </c>
      <c r="G96" t="s">
        <v>636</v>
      </c>
      <c r="H96" t="s">
        <v>637</v>
      </c>
      <c r="I96" t="s">
        <v>638</v>
      </c>
      <c r="J96" t="s">
        <v>639</v>
      </c>
    </row>
    <row r="97" spans="1:20">
      <c r="A97" t="s">
        <v>641</v>
      </c>
      <c r="B97" t="s">
        <v>642</v>
      </c>
      <c r="E97" t="s">
        <v>643</v>
      </c>
      <c r="F97" t="s">
        <v>644</v>
      </c>
      <c r="G97" t="s">
        <v>645</v>
      </c>
      <c r="H97" t="s">
        <v>646</v>
      </c>
      <c r="I97" t="s">
        <v>647</v>
      </c>
      <c r="J97" t="s">
        <v>648</v>
      </c>
    </row>
    <row r="98" spans="1:20">
      <c r="A98" t="s">
        <v>650</v>
      </c>
      <c r="B98" t="s">
        <v>651</v>
      </c>
      <c r="E98" t="s">
        <v>652</v>
      </c>
      <c r="F98" t="s">
        <v>653</v>
      </c>
      <c r="G98" t="s">
        <v>654</v>
      </c>
      <c r="H98" t="s">
        <v>655</v>
      </c>
      <c r="I98" t="s">
        <v>656</v>
      </c>
      <c r="J98" t="s">
        <v>657</v>
      </c>
    </row>
    <row r="99" spans="1:20">
      <c r="A99" t="s">
        <v>660</v>
      </c>
      <c r="B99" t="s">
        <v>661</v>
      </c>
      <c r="E99" t="s">
        <v>662</v>
      </c>
      <c r="F99" t="s">
        <v>663</v>
      </c>
      <c r="G99" t="s">
        <v>664</v>
      </c>
      <c r="H99" t="s">
        <v>665</v>
      </c>
      <c r="I99" t="s">
        <v>666</v>
      </c>
      <c r="J99" t="s">
        <v>667</v>
      </c>
    </row>
    <row r="100" spans="1:20">
      <c r="A100" t="s">
        <v>669</v>
      </c>
      <c r="B100" t="s">
        <v>670</v>
      </c>
      <c r="E100" t="s">
        <v>671</v>
      </c>
      <c r="F100" t="s">
        <v>672</v>
      </c>
    </row>
    <row r="101" spans="1:20">
      <c r="A101" t="s">
        <v>674</v>
      </c>
      <c r="B101" t="s">
        <v>675</v>
      </c>
      <c r="E101" t="s">
        <v>400</v>
      </c>
      <c r="F101" t="s">
        <v>401</v>
      </c>
    </row>
    <row r="102" spans="1:20">
      <c r="A102" t="s">
        <v>677</v>
      </c>
      <c r="B102" t="s">
        <v>678</v>
      </c>
      <c r="E102" t="s">
        <v>679</v>
      </c>
      <c r="F102" t="s">
        <v>680</v>
      </c>
      <c r="G102" t="s">
        <v>681</v>
      </c>
      <c r="H102" t="s">
        <v>682</v>
      </c>
      <c r="I102" t="s">
        <v>683</v>
      </c>
    </row>
    <row r="103" spans="1:20">
      <c r="A103" t="s">
        <v>687</v>
      </c>
      <c r="B103" t="s">
        <v>688</v>
      </c>
      <c r="E103" t="s">
        <v>689</v>
      </c>
    </row>
    <row r="104" spans="1:20">
      <c r="A104" t="s">
        <v>691</v>
      </c>
      <c r="B104" t="s">
        <v>515</v>
      </c>
      <c r="E104" t="s">
        <v>692</v>
      </c>
    </row>
    <row r="105" spans="1:20">
      <c r="A105" t="s">
        <v>694</v>
      </c>
      <c r="B105" t="s">
        <v>695</v>
      </c>
      <c r="E105" t="s">
        <v>696</v>
      </c>
    </row>
    <row r="106" spans="1:20">
      <c r="A106" t="s">
        <v>698</v>
      </c>
      <c r="B106" t="s">
        <v>699</v>
      </c>
      <c r="E106" t="s">
        <v>700</v>
      </c>
      <c r="F106" t="s">
        <v>701</v>
      </c>
      <c r="G106" t="s">
        <v>702</v>
      </c>
    </row>
    <row r="107" spans="1:20">
      <c r="A107" t="s">
        <v>705</v>
      </c>
      <c r="B107" t="s">
        <v>706</v>
      </c>
      <c r="E107" t="s">
        <v>707</v>
      </c>
      <c r="F107" t="s">
        <v>708</v>
      </c>
      <c r="G107" t="s">
        <v>709</v>
      </c>
      <c r="H107" t="s">
        <v>710</v>
      </c>
      <c r="I107" t="s">
        <v>711</v>
      </c>
      <c r="J107" t="s">
        <v>712</v>
      </c>
      <c r="K107" t="s">
        <v>713</v>
      </c>
      <c r="L107" t="s">
        <v>714</v>
      </c>
      <c r="M107" t="s">
        <v>715</v>
      </c>
      <c r="N107" t="s">
        <v>716</v>
      </c>
      <c r="O107" t="s">
        <v>717</v>
      </c>
      <c r="P107" t="s">
        <v>718</v>
      </c>
      <c r="Q107" t="s">
        <v>719</v>
      </c>
      <c r="R107" t="s">
        <v>720</v>
      </c>
      <c r="S107" t="s">
        <v>721</v>
      </c>
      <c r="T107" t="s">
        <v>722</v>
      </c>
    </row>
    <row r="108" spans="1:20">
      <c r="A108" t="s">
        <v>724</v>
      </c>
      <c r="B108" t="s">
        <v>725</v>
      </c>
      <c r="E108" t="s">
        <v>726</v>
      </c>
    </row>
    <row r="109" spans="1:20">
      <c r="A109" t="s">
        <v>728</v>
      </c>
      <c r="B109" t="s">
        <v>729</v>
      </c>
      <c r="E109" t="s">
        <v>730</v>
      </c>
    </row>
    <row r="110" spans="1:20">
      <c r="A110" t="s">
        <v>732</v>
      </c>
      <c r="B110" t="s">
        <v>733</v>
      </c>
      <c r="E110" t="s">
        <v>734</v>
      </c>
    </row>
    <row r="111" spans="1:20">
      <c r="A111" t="s">
        <v>736</v>
      </c>
      <c r="B111" t="s">
        <v>737</v>
      </c>
      <c r="E111" t="s">
        <v>738</v>
      </c>
    </row>
    <row r="112" spans="1:20">
      <c r="A112" t="s">
        <v>740</v>
      </c>
      <c r="B112" t="s">
        <v>741</v>
      </c>
      <c r="E112" t="s">
        <v>742</v>
      </c>
    </row>
    <row r="113" spans="1:20">
      <c r="A113" t="s">
        <v>744</v>
      </c>
      <c r="B113" t="s">
        <v>745</v>
      </c>
      <c r="E113" t="s">
        <v>746</v>
      </c>
    </row>
    <row r="114" spans="1:20">
      <c r="A114" t="s">
        <v>748</v>
      </c>
      <c r="B114" t="s">
        <v>749</v>
      </c>
      <c r="E114" t="s">
        <v>750</v>
      </c>
    </row>
    <row r="115" spans="1:20">
      <c r="A115" t="s">
        <v>753</v>
      </c>
      <c r="B115" t="s">
        <v>754</v>
      </c>
      <c r="E115" t="s">
        <v>755</v>
      </c>
    </row>
    <row r="116" spans="1:20">
      <c r="A116" t="s">
        <v>757</v>
      </c>
      <c r="B116" t="s">
        <v>758</v>
      </c>
      <c r="E116" t="s">
        <v>759</v>
      </c>
      <c r="F116" t="s">
        <v>760</v>
      </c>
    </row>
    <row r="117" spans="1:20">
      <c r="A117" t="s">
        <v>763</v>
      </c>
      <c r="B117" t="s">
        <v>764</v>
      </c>
      <c r="E117" t="s">
        <v>334</v>
      </c>
    </row>
    <row r="118" spans="1:20">
      <c r="A118" t="s">
        <v>766</v>
      </c>
      <c r="B118" t="s">
        <v>767</v>
      </c>
      <c r="E118" t="s">
        <v>768</v>
      </c>
      <c r="F118" t="s">
        <v>769</v>
      </c>
    </row>
    <row r="119" spans="1:20">
      <c r="A119" t="s">
        <v>771</v>
      </c>
      <c r="B119" t="s">
        <v>772</v>
      </c>
      <c r="E119" t="s">
        <v>773</v>
      </c>
      <c r="F119" t="s">
        <v>774</v>
      </c>
      <c r="G119" t="s">
        <v>775</v>
      </c>
      <c r="H119" t="s">
        <v>776</v>
      </c>
      <c r="I119" t="s">
        <v>777</v>
      </c>
      <c r="J119" t="s">
        <v>778</v>
      </c>
      <c r="K119" t="s">
        <v>779</v>
      </c>
      <c r="L119" t="s">
        <v>780</v>
      </c>
      <c r="M119" t="s">
        <v>781</v>
      </c>
      <c r="N119" t="s">
        <v>782</v>
      </c>
      <c r="O119" t="s">
        <v>783</v>
      </c>
      <c r="P119" t="s">
        <v>784</v>
      </c>
      <c r="Q119" t="s">
        <v>785</v>
      </c>
      <c r="R119" t="s">
        <v>786</v>
      </c>
      <c r="S119" t="s">
        <v>787</v>
      </c>
      <c r="T119" t="s">
        <v>788</v>
      </c>
    </row>
    <row r="120" spans="1:20">
      <c r="A120" t="s">
        <v>790</v>
      </c>
      <c r="B120" t="s">
        <v>791</v>
      </c>
      <c r="E120" t="s">
        <v>792</v>
      </c>
      <c r="F120" t="s">
        <v>793</v>
      </c>
      <c r="G120" t="s">
        <v>794</v>
      </c>
      <c r="H120" t="s">
        <v>795</v>
      </c>
      <c r="I120" t="s">
        <v>796</v>
      </c>
      <c r="J120" t="s">
        <v>797</v>
      </c>
      <c r="K120" t="s">
        <v>798</v>
      </c>
      <c r="L120" t="s">
        <v>799</v>
      </c>
      <c r="M120" t="s">
        <v>800</v>
      </c>
      <c r="N120" t="s">
        <v>801</v>
      </c>
      <c r="O120" t="s">
        <v>802</v>
      </c>
      <c r="P120" t="s">
        <v>803</v>
      </c>
      <c r="Q120" t="s">
        <v>804</v>
      </c>
      <c r="R120" t="s">
        <v>805</v>
      </c>
      <c r="S120" t="s">
        <v>806</v>
      </c>
      <c r="T120" t="s">
        <v>807</v>
      </c>
    </row>
    <row r="121" spans="1:20">
      <c r="A121" t="s">
        <v>809</v>
      </c>
      <c r="B121" t="s">
        <v>810</v>
      </c>
      <c r="E121" t="s">
        <v>811</v>
      </c>
    </row>
    <row r="122" spans="1:20">
      <c r="A122" t="s">
        <v>813</v>
      </c>
      <c r="B122" t="s">
        <v>814</v>
      </c>
      <c r="E122" t="s">
        <v>815</v>
      </c>
      <c r="F122" t="s">
        <v>816</v>
      </c>
      <c r="G122" t="s">
        <v>817</v>
      </c>
      <c r="H122" t="s">
        <v>818</v>
      </c>
      <c r="I122" t="s">
        <v>819</v>
      </c>
      <c r="J122" t="s">
        <v>820</v>
      </c>
    </row>
    <row r="123" spans="1:20">
      <c r="A123" t="s">
        <v>823</v>
      </c>
      <c r="B123" t="s">
        <v>824</v>
      </c>
      <c r="E123" t="s">
        <v>825</v>
      </c>
      <c r="F123" t="s">
        <v>826</v>
      </c>
      <c r="G123" t="s">
        <v>827</v>
      </c>
    </row>
    <row r="124" spans="1:20">
      <c r="A124" t="s">
        <v>829</v>
      </c>
      <c r="B124" t="s">
        <v>830</v>
      </c>
      <c r="E124" t="s">
        <v>831</v>
      </c>
      <c r="F124" t="s">
        <v>832</v>
      </c>
      <c r="G124" t="s">
        <v>833</v>
      </c>
      <c r="H124" t="s">
        <v>834</v>
      </c>
    </row>
    <row r="125" spans="1:20">
      <c r="A125" t="s">
        <v>837</v>
      </c>
      <c r="B125" t="s">
        <v>838</v>
      </c>
      <c r="E125" t="s">
        <v>400</v>
      </c>
      <c r="F125" t="s">
        <v>401</v>
      </c>
    </row>
    <row r="126" spans="1:20">
      <c r="A126" t="s">
        <v>840</v>
      </c>
      <c r="B126" t="s">
        <v>841</v>
      </c>
      <c r="E126" t="s">
        <v>842</v>
      </c>
      <c r="F126" t="s">
        <v>843</v>
      </c>
      <c r="G126" t="s">
        <v>844</v>
      </c>
      <c r="H126" t="s">
        <v>845</v>
      </c>
      <c r="I126" t="s">
        <v>846</v>
      </c>
      <c r="J126" t="s">
        <v>847</v>
      </c>
    </row>
    <row r="127" spans="1:20">
      <c r="A127" t="s">
        <v>850</v>
      </c>
      <c r="B127" t="s">
        <v>851</v>
      </c>
      <c r="E127" t="s">
        <v>852</v>
      </c>
      <c r="F127" t="s">
        <v>853</v>
      </c>
    </row>
    <row r="128" spans="1:20">
      <c r="A128" t="s">
        <v>855</v>
      </c>
      <c r="B128" t="s">
        <v>856</v>
      </c>
      <c r="E128" t="s">
        <v>857</v>
      </c>
      <c r="F128" t="s">
        <v>858</v>
      </c>
      <c r="G128" t="s">
        <v>859</v>
      </c>
      <c r="H128" t="s">
        <v>860</v>
      </c>
      <c r="I128" t="s">
        <v>861</v>
      </c>
      <c r="J128" t="s">
        <v>862</v>
      </c>
    </row>
    <row r="129" spans="1:10">
      <c r="A129" t="s">
        <v>865</v>
      </c>
      <c r="B129" t="s">
        <v>866</v>
      </c>
      <c r="E129" t="s">
        <v>867</v>
      </c>
      <c r="F129" t="s">
        <v>868</v>
      </c>
      <c r="G129" t="s">
        <v>869</v>
      </c>
      <c r="H129" t="s">
        <v>870</v>
      </c>
      <c r="I129" t="s">
        <v>871</v>
      </c>
      <c r="J129" t="s">
        <v>872</v>
      </c>
    </row>
    <row r="130" spans="1:10">
      <c r="A130" t="s">
        <v>874</v>
      </c>
      <c r="B130" t="s">
        <v>875</v>
      </c>
      <c r="E130" t="s">
        <v>870</v>
      </c>
    </row>
    <row r="131" spans="1:10">
      <c r="A131" t="s">
        <v>877</v>
      </c>
      <c r="B131" t="s">
        <v>878</v>
      </c>
      <c r="E131" t="s">
        <v>879</v>
      </c>
      <c r="F131" t="s">
        <v>880</v>
      </c>
      <c r="G131" t="s">
        <v>881</v>
      </c>
      <c r="H131" t="s">
        <v>882</v>
      </c>
      <c r="I131" t="s">
        <v>883</v>
      </c>
      <c r="J131" t="s">
        <v>884</v>
      </c>
    </row>
    <row r="132" spans="1:10">
      <c r="A132" t="s">
        <v>886</v>
      </c>
      <c r="B132" t="s">
        <v>887</v>
      </c>
      <c r="E132" t="s">
        <v>888</v>
      </c>
    </row>
    <row r="133" spans="1:10">
      <c r="A133" t="s">
        <v>891</v>
      </c>
      <c r="B133" t="s">
        <v>892</v>
      </c>
      <c r="E133" t="s">
        <v>893</v>
      </c>
      <c r="F133" t="s">
        <v>894</v>
      </c>
      <c r="G133" t="s">
        <v>895</v>
      </c>
      <c r="H133" t="s">
        <v>896</v>
      </c>
    </row>
    <row r="134" spans="1:10">
      <c r="A134" t="s">
        <v>898</v>
      </c>
      <c r="B134" t="s">
        <v>899</v>
      </c>
      <c r="E134" t="s">
        <v>900</v>
      </c>
      <c r="F134" t="s">
        <v>901</v>
      </c>
      <c r="G134" t="s">
        <v>902</v>
      </c>
      <c r="H134" t="s">
        <v>903</v>
      </c>
      <c r="I134" t="s">
        <v>904</v>
      </c>
      <c r="J134" t="s">
        <v>905</v>
      </c>
    </row>
    <row r="135" spans="1:10">
      <c r="A135" t="s">
        <v>908</v>
      </c>
      <c r="B135" t="s">
        <v>909</v>
      </c>
      <c r="E135" t="s">
        <v>910</v>
      </c>
      <c r="F135" t="s">
        <v>911</v>
      </c>
      <c r="G135" t="s">
        <v>912</v>
      </c>
      <c r="H135" t="s">
        <v>913</v>
      </c>
      <c r="I135" t="s">
        <v>914</v>
      </c>
      <c r="J135" t="s">
        <v>915</v>
      </c>
    </row>
    <row r="136" spans="1:10">
      <c r="A136" t="s">
        <v>917</v>
      </c>
      <c r="B136" t="s">
        <v>918</v>
      </c>
      <c r="E136" t="s">
        <v>919</v>
      </c>
      <c r="F136" t="s">
        <v>920</v>
      </c>
      <c r="G136" t="s">
        <v>921</v>
      </c>
      <c r="H136" t="s">
        <v>922</v>
      </c>
      <c r="I136" t="s">
        <v>923</v>
      </c>
      <c r="J136" t="s">
        <v>924</v>
      </c>
    </row>
    <row r="137" spans="1:10">
      <c r="A137" t="s">
        <v>926</v>
      </c>
      <c r="B137" t="s">
        <v>927</v>
      </c>
      <c r="E137" t="s">
        <v>928</v>
      </c>
      <c r="F137" t="s">
        <v>929</v>
      </c>
      <c r="G137" t="s">
        <v>930</v>
      </c>
      <c r="H137" t="s">
        <v>931</v>
      </c>
      <c r="I137" t="s">
        <v>932</v>
      </c>
      <c r="J137" t="s">
        <v>933</v>
      </c>
    </row>
    <row r="138" spans="1:10">
      <c r="A138" t="s">
        <v>935</v>
      </c>
      <c r="B138" t="s">
        <v>670</v>
      </c>
      <c r="E138" t="s">
        <v>671</v>
      </c>
      <c r="F138" t="s">
        <v>672</v>
      </c>
    </row>
    <row r="139" spans="1:10">
      <c r="A139" t="s">
        <v>937</v>
      </c>
      <c r="B139" t="s">
        <v>938</v>
      </c>
      <c r="E139" t="s">
        <v>939</v>
      </c>
      <c r="F139" t="s">
        <v>940</v>
      </c>
      <c r="G139" t="s">
        <v>941</v>
      </c>
      <c r="H139" t="s">
        <v>942</v>
      </c>
      <c r="I139" t="s">
        <v>943</v>
      </c>
      <c r="J139" t="s">
        <v>944</v>
      </c>
    </row>
    <row r="140" spans="1:10">
      <c r="A140" t="s">
        <v>947</v>
      </c>
      <c r="B140" t="s">
        <v>948</v>
      </c>
      <c r="E140" t="s">
        <v>949</v>
      </c>
      <c r="F140" t="s">
        <v>950</v>
      </c>
      <c r="G140" t="s">
        <v>951</v>
      </c>
      <c r="H140" t="s">
        <v>952</v>
      </c>
      <c r="I140" t="s">
        <v>953</v>
      </c>
      <c r="J140" t="s">
        <v>954</v>
      </c>
    </row>
    <row r="141" spans="1:10">
      <c r="A141" t="s">
        <v>956</v>
      </c>
      <c r="B141" t="s">
        <v>957</v>
      </c>
      <c r="E141" t="s">
        <v>958</v>
      </c>
      <c r="F141" t="s">
        <v>959</v>
      </c>
      <c r="G141" t="s">
        <v>960</v>
      </c>
      <c r="H141" t="s">
        <v>961</v>
      </c>
      <c r="I141" t="s">
        <v>962</v>
      </c>
      <c r="J141" t="s">
        <v>963</v>
      </c>
    </row>
    <row r="142" spans="1:10">
      <c r="A142" t="s">
        <v>965</v>
      </c>
      <c r="B142" t="s">
        <v>966</v>
      </c>
      <c r="E142" t="s">
        <v>967</v>
      </c>
      <c r="F142" t="s">
        <v>968</v>
      </c>
      <c r="G142" t="s">
        <v>969</v>
      </c>
      <c r="H142" t="s">
        <v>970</v>
      </c>
      <c r="I142" t="s">
        <v>971</v>
      </c>
      <c r="J142" t="s">
        <v>972</v>
      </c>
    </row>
    <row r="143" spans="1:10">
      <c r="A143" t="s">
        <v>974</v>
      </c>
      <c r="B143" t="s">
        <v>975</v>
      </c>
      <c r="E143" t="s">
        <v>976</v>
      </c>
      <c r="F143" t="s">
        <v>977</v>
      </c>
      <c r="G143" t="s">
        <v>978</v>
      </c>
      <c r="H143" t="s">
        <v>979</v>
      </c>
      <c r="I143" t="s">
        <v>980</v>
      </c>
      <c r="J143" t="s">
        <v>981</v>
      </c>
    </row>
    <row r="144" spans="1:10">
      <c r="A144" t="s">
        <v>983</v>
      </c>
      <c r="B144" t="s">
        <v>984</v>
      </c>
      <c r="E144" t="s">
        <v>985</v>
      </c>
      <c r="F144" t="s">
        <v>986</v>
      </c>
      <c r="G144" t="s">
        <v>987</v>
      </c>
      <c r="H144" t="s">
        <v>988</v>
      </c>
      <c r="I144" t="s">
        <v>989</v>
      </c>
      <c r="J144" t="s">
        <v>990</v>
      </c>
    </row>
    <row r="145" spans="1:10">
      <c r="A145" t="s">
        <v>993</v>
      </c>
      <c r="B145" t="s">
        <v>994</v>
      </c>
      <c r="E145" t="s">
        <v>995</v>
      </c>
      <c r="F145" t="s">
        <v>996</v>
      </c>
      <c r="G145" t="s">
        <v>997</v>
      </c>
      <c r="H145" t="s">
        <v>998</v>
      </c>
      <c r="I145" t="s">
        <v>999</v>
      </c>
      <c r="J145" t="s">
        <v>1000</v>
      </c>
    </row>
    <row r="146" spans="1:10">
      <c r="A146" t="s">
        <v>1002</v>
      </c>
      <c r="B146" t="s">
        <v>875</v>
      </c>
      <c r="E146" t="s">
        <v>988</v>
      </c>
    </row>
    <row r="147" spans="1:10">
      <c r="A147" t="s">
        <v>1004</v>
      </c>
      <c r="B147" t="s">
        <v>1005</v>
      </c>
      <c r="E147" t="s">
        <v>1006</v>
      </c>
      <c r="F147" t="s">
        <v>1007</v>
      </c>
      <c r="G147" t="s">
        <v>1008</v>
      </c>
      <c r="H147" t="s">
        <v>1009</v>
      </c>
      <c r="I147" t="s">
        <v>1010</v>
      </c>
      <c r="J147" t="s">
        <v>1011</v>
      </c>
    </row>
    <row r="148" spans="1:10">
      <c r="A148" t="s">
        <v>1014</v>
      </c>
      <c r="B148" t="s">
        <v>1015</v>
      </c>
      <c r="E148" t="s">
        <v>1016</v>
      </c>
      <c r="F148" t="s">
        <v>1017</v>
      </c>
      <c r="G148" t="s">
        <v>1018</v>
      </c>
      <c r="H148" t="s">
        <v>1019</v>
      </c>
      <c r="I148" t="s">
        <v>1020</v>
      </c>
      <c r="J148" t="s">
        <v>1021</v>
      </c>
    </row>
    <row r="149" spans="1:10">
      <c r="A149" t="s">
        <v>1023</v>
      </c>
      <c r="B149" t="s">
        <v>1024</v>
      </c>
      <c r="E149" t="s">
        <v>1025</v>
      </c>
      <c r="F149" t="s">
        <v>1026</v>
      </c>
      <c r="G149" t="s">
        <v>1027</v>
      </c>
      <c r="H149" t="s">
        <v>1028</v>
      </c>
      <c r="I149" t="s">
        <v>1029</v>
      </c>
      <c r="J149" t="s">
        <v>1030</v>
      </c>
    </row>
    <row r="150" spans="1:10">
      <c r="A150" t="s">
        <v>1032</v>
      </c>
      <c r="B150" t="s">
        <v>1033</v>
      </c>
      <c r="E150" t="s">
        <v>1034</v>
      </c>
      <c r="F150" t="s">
        <v>1035</v>
      </c>
      <c r="G150" t="s">
        <v>1036</v>
      </c>
      <c r="H150" t="s">
        <v>1037</v>
      </c>
      <c r="I150" t="s">
        <v>1038</v>
      </c>
      <c r="J150" t="s">
        <v>1039</v>
      </c>
    </row>
    <row r="151" spans="1:10">
      <c r="A151" t="s">
        <v>1043</v>
      </c>
      <c r="B151" t="s">
        <v>134</v>
      </c>
      <c r="E151" t="s">
        <v>1044</v>
      </c>
      <c r="F151" t="s">
        <v>1045</v>
      </c>
      <c r="G151" t="s">
        <v>1046</v>
      </c>
      <c r="H151" t="s">
        <v>1047</v>
      </c>
      <c r="I151" t="s">
        <v>1048</v>
      </c>
      <c r="J151" t="s">
        <v>1049</v>
      </c>
    </row>
    <row r="152" spans="1:10">
      <c r="A152" t="s">
        <v>1051</v>
      </c>
      <c r="B152" t="s">
        <v>1015</v>
      </c>
      <c r="E152" t="s">
        <v>1052</v>
      </c>
      <c r="F152" t="s">
        <v>1053</v>
      </c>
      <c r="G152" t="s">
        <v>1054</v>
      </c>
      <c r="H152" t="s">
        <v>1055</v>
      </c>
      <c r="I152" t="s">
        <v>1056</v>
      </c>
      <c r="J152" t="s">
        <v>1057</v>
      </c>
    </row>
    <row r="153" spans="1:10">
      <c r="A153" t="s">
        <v>1059</v>
      </c>
      <c r="B153" t="s">
        <v>1015</v>
      </c>
      <c r="E153" t="s">
        <v>1060</v>
      </c>
      <c r="F153" t="s">
        <v>1061</v>
      </c>
      <c r="G153" t="s">
        <v>1062</v>
      </c>
      <c r="H153" t="s">
        <v>1063</v>
      </c>
      <c r="I153" t="s">
        <v>1064</v>
      </c>
      <c r="J153" t="s">
        <v>1065</v>
      </c>
    </row>
    <row r="154" spans="1:10">
      <c r="A154" t="s">
        <v>1067</v>
      </c>
      <c r="B154" t="s">
        <v>1033</v>
      </c>
      <c r="E154" t="s">
        <v>1068</v>
      </c>
      <c r="F154" t="s">
        <v>1069</v>
      </c>
      <c r="G154" t="s">
        <v>1070</v>
      </c>
      <c r="H154" t="s">
        <v>1071</v>
      </c>
      <c r="I154" t="s">
        <v>1072</v>
      </c>
      <c r="J154" t="s">
        <v>1073</v>
      </c>
    </row>
    <row r="155" spans="1:10">
      <c r="A155" t="s">
        <v>1075</v>
      </c>
      <c r="B155" t="s">
        <v>134</v>
      </c>
      <c r="E155" t="s">
        <v>1076</v>
      </c>
      <c r="F155" t="s">
        <v>1077</v>
      </c>
      <c r="G155" t="s">
        <v>1078</v>
      </c>
      <c r="H155" t="s">
        <v>1079</v>
      </c>
      <c r="I155" t="s">
        <v>1080</v>
      </c>
      <c r="J155" t="s">
        <v>1081</v>
      </c>
    </row>
    <row r="156" spans="1:10">
      <c r="A156" t="s">
        <v>1083</v>
      </c>
      <c r="B156" t="s">
        <v>1084</v>
      </c>
      <c r="E156" t="s">
        <v>1085</v>
      </c>
      <c r="F156" t="s">
        <v>1086</v>
      </c>
      <c r="G156" t="s">
        <v>1087</v>
      </c>
      <c r="H156" t="s">
        <v>1088</v>
      </c>
      <c r="I156" t="s">
        <v>1089</v>
      </c>
      <c r="J156" t="s">
        <v>1090</v>
      </c>
    </row>
    <row r="157" spans="1:10">
      <c r="A157" t="s">
        <v>1092</v>
      </c>
      <c r="B157" t="s">
        <v>1093</v>
      </c>
      <c r="E157" t="s">
        <v>1094</v>
      </c>
      <c r="F157" t="s">
        <v>1095</v>
      </c>
    </row>
    <row r="158" spans="1:10">
      <c r="A158" t="s">
        <v>1098</v>
      </c>
      <c r="B158" t="s">
        <v>1099</v>
      </c>
      <c r="E158" t="s">
        <v>1100</v>
      </c>
      <c r="F158" t="s">
        <v>1101</v>
      </c>
      <c r="G158" t="s">
        <v>1102</v>
      </c>
      <c r="H158" t="s">
        <v>1103</v>
      </c>
    </row>
    <row r="159" spans="1:10">
      <c r="A159" t="s">
        <v>1105</v>
      </c>
      <c r="B159" t="s">
        <v>1106</v>
      </c>
      <c r="E159" t="s">
        <v>1107</v>
      </c>
      <c r="F159" t="s">
        <v>1108</v>
      </c>
      <c r="G159" t="s">
        <v>1109</v>
      </c>
      <c r="H159" t="s">
        <v>1110</v>
      </c>
      <c r="I159" t="s">
        <v>1111</v>
      </c>
      <c r="J159" t="s">
        <v>1112</v>
      </c>
    </row>
    <row r="160" spans="1:10">
      <c r="A160" t="s">
        <v>1114</v>
      </c>
      <c r="B160" t="s">
        <v>1115</v>
      </c>
      <c r="E160" t="s">
        <v>1116</v>
      </c>
      <c r="F160" t="s">
        <v>1117</v>
      </c>
      <c r="G160" t="s">
        <v>1118</v>
      </c>
      <c r="H160" t="s">
        <v>1119</v>
      </c>
      <c r="I160" t="s">
        <v>1120</v>
      </c>
      <c r="J160" t="s">
        <v>1121</v>
      </c>
    </row>
    <row r="161" spans="1:10">
      <c r="A161" t="s">
        <v>1124</v>
      </c>
      <c r="B161" t="s">
        <v>1125</v>
      </c>
      <c r="E161" t="s">
        <v>1126</v>
      </c>
      <c r="F161" t="s">
        <v>1127</v>
      </c>
      <c r="G161" t="s">
        <v>1128</v>
      </c>
      <c r="H161" t="s">
        <v>1129</v>
      </c>
      <c r="I161" t="s">
        <v>1130</v>
      </c>
      <c r="J161" t="s">
        <v>1131</v>
      </c>
    </row>
    <row r="162" spans="1:10">
      <c r="A162" t="s">
        <v>1133</v>
      </c>
      <c r="B162" t="s">
        <v>1134</v>
      </c>
      <c r="E162" t="s">
        <v>1135</v>
      </c>
      <c r="F162" t="s">
        <v>1136</v>
      </c>
      <c r="G162" t="s">
        <v>1137</v>
      </c>
      <c r="H162" t="s">
        <v>1138</v>
      </c>
      <c r="I162" t="s">
        <v>1139</v>
      </c>
      <c r="J162" t="s">
        <v>1140</v>
      </c>
    </row>
    <row r="163" spans="1:10">
      <c r="A163" t="s">
        <v>1142</v>
      </c>
      <c r="B163" t="s">
        <v>1143</v>
      </c>
      <c r="E163" t="s">
        <v>1144</v>
      </c>
      <c r="F163" t="s">
        <v>1145</v>
      </c>
      <c r="G163" t="s">
        <v>1146</v>
      </c>
      <c r="H163" t="s">
        <v>1147</v>
      </c>
      <c r="I163" t="s">
        <v>1148</v>
      </c>
      <c r="J163" t="s">
        <v>1149</v>
      </c>
    </row>
    <row r="164" spans="1:10">
      <c r="A164" t="s">
        <v>1151</v>
      </c>
      <c r="B164" t="s">
        <v>1152</v>
      </c>
      <c r="E164" t="s">
        <v>1153</v>
      </c>
      <c r="F164" t="s">
        <v>1154</v>
      </c>
      <c r="G164" t="s">
        <v>1155</v>
      </c>
    </row>
    <row r="165" spans="1:10">
      <c r="A165" t="s">
        <v>1159</v>
      </c>
      <c r="B165" t="s">
        <v>1160</v>
      </c>
      <c r="E165" t="s">
        <v>1161</v>
      </c>
      <c r="F165" t="s">
        <v>1162</v>
      </c>
      <c r="G165" t="s">
        <v>1153</v>
      </c>
    </row>
    <row r="166" spans="1:10">
      <c r="A166" t="s">
        <v>1164</v>
      </c>
      <c r="B166" t="s">
        <v>1165</v>
      </c>
      <c r="E166" t="s">
        <v>1166</v>
      </c>
    </row>
    <row r="167" spans="1:10">
      <c r="A167" t="s">
        <v>1168</v>
      </c>
      <c r="B167" t="s">
        <v>1169</v>
      </c>
      <c r="E167" t="s">
        <v>1170</v>
      </c>
      <c r="F167" t="s">
        <v>1171</v>
      </c>
      <c r="G167" t="s">
        <v>1172</v>
      </c>
      <c r="H167" t="s">
        <v>1173</v>
      </c>
      <c r="I167" t="s">
        <v>1174</v>
      </c>
      <c r="J167" t="s">
        <v>1175</v>
      </c>
    </row>
    <row r="168" spans="1:10">
      <c r="A168" t="s">
        <v>1177</v>
      </c>
      <c r="B168" t="s">
        <v>1178</v>
      </c>
      <c r="E168" t="s">
        <v>1179</v>
      </c>
      <c r="F168" t="s">
        <v>1180</v>
      </c>
      <c r="G168" t="s">
        <v>1181</v>
      </c>
      <c r="H168" t="s">
        <v>1182</v>
      </c>
      <c r="I168" t="s">
        <v>1183</v>
      </c>
      <c r="J168" t="s">
        <v>1184</v>
      </c>
    </row>
    <row r="169" spans="1:10">
      <c r="A169" t="s">
        <v>1187</v>
      </c>
      <c r="B169" t="s">
        <v>1188</v>
      </c>
      <c r="E169" t="s">
        <v>600</v>
      </c>
      <c r="F169" t="s">
        <v>601</v>
      </c>
    </row>
    <row r="170" spans="1:10">
      <c r="A170" t="s">
        <v>1190</v>
      </c>
      <c r="B170" t="s">
        <v>1191</v>
      </c>
      <c r="E170" t="s">
        <v>1192</v>
      </c>
      <c r="F170" t="s">
        <v>1193</v>
      </c>
      <c r="G170" t="s">
        <v>1194</v>
      </c>
      <c r="H170" t="s">
        <v>1195</v>
      </c>
    </row>
    <row r="171" spans="1:10">
      <c r="A171" t="s">
        <v>1197</v>
      </c>
      <c r="B171" t="s">
        <v>1015</v>
      </c>
      <c r="E171" t="s">
        <v>1198</v>
      </c>
      <c r="F171" t="s">
        <v>1199</v>
      </c>
      <c r="G171" t="s">
        <v>1200</v>
      </c>
      <c r="H171" t="s">
        <v>1201</v>
      </c>
      <c r="I171" t="s">
        <v>1202</v>
      </c>
      <c r="J171" t="s">
        <v>1203</v>
      </c>
    </row>
    <row r="172" spans="1:10">
      <c r="A172" t="s">
        <v>1206</v>
      </c>
      <c r="B172" t="s">
        <v>1207</v>
      </c>
      <c r="E172" t="s">
        <v>1208</v>
      </c>
      <c r="F172" t="s">
        <v>1209</v>
      </c>
      <c r="G172" t="s">
        <v>1210</v>
      </c>
      <c r="H172" t="s">
        <v>1211</v>
      </c>
      <c r="I172" t="s">
        <v>1212</v>
      </c>
      <c r="J172" t="s">
        <v>1213</v>
      </c>
    </row>
    <row r="173" spans="1:10">
      <c r="A173" t="s">
        <v>1215</v>
      </c>
      <c r="B173" t="s">
        <v>1216</v>
      </c>
      <c r="E173" t="s">
        <v>1217</v>
      </c>
      <c r="F173" t="s">
        <v>1218</v>
      </c>
      <c r="G173" t="s">
        <v>1219</v>
      </c>
      <c r="H173" t="s">
        <v>1220</v>
      </c>
      <c r="I173" t="s">
        <v>1221</v>
      </c>
      <c r="J173" t="s">
        <v>1222</v>
      </c>
    </row>
    <row r="174" spans="1:10">
      <c r="A174" t="s">
        <v>1224</v>
      </c>
      <c r="B174" t="s">
        <v>1225</v>
      </c>
      <c r="E174" t="s">
        <v>1226</v>
      </c>
      <c r="F174" t="s">
        <v>1227</v>
      </c>
      <c r="G174" t="s">
        <v>1228</v>
      </c>
      <c r="H174" t="s">
        <v>1229</v>
      </c>
      <c r="I174" t="s">
        <v>1230</v>
      </c>
      <c r="J174" t="s">
        <v>1231</v>
      </c>
    </row>
    <row r="175" spans="1:10">
      <c r="A175" t="s">
        <v>1234</v>
      </c>
      <c r="B175" t="s">
        <v>1235</v>
      </c>
      <c r="E175" t="s">
        <v>1220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Start</vt:lpstr>
      <vt:lpstr>Deck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Review Deck</dc:title>
  <dc:subject>Excel practice: spaced-repetition flashcards for every move in the course</dc:subject>
  <dc:creator>excel-drills</dc:creator>
  <cp:keywords>Excel, practice, review, spaced repetition, Leitner</cp:keywords>
  <dc:description>Generated by excel-drills. Requires Windows with Excel 365 or 2021+ (English).</dc:description>
  <cp:lastModifiedBy>excel-drills</cp:lastModifiedBy>
  <dcterms:created xsi:type="dcterms:W3CDTF">2026-10-12T00:00:00Z</dcterms:created>
  <dcterms:modified xsi:type="dcterms:W3CDTF">2026-10-12T00:00:00Z</dcterms:modified>
  <cp:category>Excel practice</cp:category>
</cp:coreProperties>
</file>