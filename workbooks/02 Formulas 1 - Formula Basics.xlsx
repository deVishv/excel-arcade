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1-1 Power Up" sheetId="2" r:id="rId2"/>
    <sheet name="F1-1 Arena" sheetId="3" r:id="rId3"/>
    <sheet name="F1-2 Big Six" sheetId="4" r:id="rId4"/>
    <sheet name="F1-2 Arena" sheetId="5" r:id="rId5"/>
    <sheet name="F1-3 Anchors" sheetId="6" r:id="rId6"/>
    <sheet name="F1-3 Arena" sheetId="7" r:id="rId7"/>
    <sheet name="F1-4 Precision" sheetId="8" r:id="rId8"/>
    <sheet name="F1-4 Arena" sheetId="9" r:id="rId9"/>
    <sheet name="F1-5 X-Ray" sheetId="10" r:id="rId10"/>
    <sheet name="F1-5 Arena" sheetId="11" r:id="rId11"/>
    <sheet name="Boss" sheetId="12" r:id="rId12"/>
    <sheet name="Boss Arena" sheetId="13" r:id="rId13"/>
    <sheet name="Cheat Codes" sheetId="14" r:id="rId14"/>
    <sheet name="Key" sheetId="15" state="veryHidden" r:id="rId15"/>
  </sheets>
  <definedNames>
    <definedName name="_xlnm.Print_Titles" localSheetId="11">Boss!$1:$4</definedName>
    <definedName name="_xlnm.Print_Titles" localSheetId="13">'Cheat Codes'!$4:$4</definedName>
    <definedName name="_xlnm.Print_Titles" localSheetId="1">'F1-1 Power Up'!$1:$4</definedName>
    <definedName name="_xlnm.Print_Titles" localSheetId="3">'F1-2 Big Six'!$1:$4</definedName>
    <definedName name="_xlnm.Print_Titles" localSheetId="5">'F1-3 Anchors'!$1:$4</definedName>
    <definedName name="_xlnm.Print_Titles" localSheetId="7">'F1-4 Precision'!$1:$4</definedName>
    <definedName name="_xlnm.Print_Titles" localSheetId="9">'F1-5 X-Ray'!$1:$4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<sst xmlns="http://schemas.openxmlformats.org/spreadsheetml/2006/main" count="1305" uniqueCount="695">
  <si>
    <t>Challenge</t>
  </si>
  <si>
    <t>Hint</t>
  </si>
  <si>
    <t>Expected</t>
  </si>
  <si>
    <t>Lists / per-cell expectations →</t>
  </si>
  <si>
    <t>ARENA ▸ F1-1 POWER UP</t>
  </si>
  <si>
    <t>Practice area · everything here is editable. Missions and their checks are on the stage sheet.</t>
  </si>
  <si>
    <t>PASS CODE</t>
  </si>
  <si>
    <t>IGNITE</t>
  </si>
  <si>
    <t>◀ Back to F1-1 Power Up</t>
  </si>
  <si>
    <t>Item</t>
  </si>
  <si>
    <t>Price</t>
  </si>
  <si>
    <t>Qty</t>
  </si>
  <si>
    <t>Pens</t>
  </si>
  <si>
    <t>Pads</t>
  </si>
  <si>
    <t>Tape</t>
  </si>
  <si>
    <t>Clips</t>
  </si>
  <si>
    <t>Your answers ▼</t>
  </si>
  <si>
    <t>Pens: Price × Qty</t>
  </si>
  <si>
    <t>Pads: (Price + 3) × Qty</t>
  </si>
  <si>
    <t>Tape: Qty squared</t>
  </si>
  <si>
    <t>Scratch pad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</si>
  <si>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</si>
  <si>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</si>
  <si>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</si>
  <si>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</si>
  <si>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</si>
  <si>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Every formula starts with an equals sign.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Without =, Excel stores what you typed as plain text.</t>
    </r>
  </si>
  <si>
    <t>=</t>
  </si>
  <si>
    <t>2</t>
  </si>
  <si>
    <r>
      <rPr>
        <b/>
        <sz val="12"/>
        <color rgb="FF1F2328"/>
        <rFont val="Calibri"/>
        <family val="2"/>
        <scheme val="minor"/>
      </rPr>
      <t>Arithmetic: add, subtract, multiply, divide, power.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* multiplies, / divides, ^ raises to a power (2^3 = 8).</t>
    </r>
  </si>
  <si>
    <t>+ - * / ^</t>
  </si>
  <si>
    <t>3</t>
  </si>
  <si>
    <r>
      <rPr>
        <b/>
        <sz val="12"/>
        <color rgb="FF1F2328"/>
        <rFont val="Calibri"/>
        <family val="2"/>
        <scheme val="minor"/>
      </rPr>
      <t>Order: parentheses, then ^, then * and /, then + and -.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=2+3*4 is 14, but =(2+3)*4 is 20.</t>
    </r>
  </si>
  <si>
    <t>( ) first</t>
  </si>
  <si>
    <t>4</t>
  </si>
  <si>
    <r>
      <rPr>
        <b/>
        <sz val="12"/>
        <color rgb="FF1F2328"/>
        <rFont val="Calibri"/>
        <family val="2"/>
        <scheme val="minor"/>
      </rPr>
      <t>Point at cells instead of typing numbers.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Change B2 and the result updates by itself.</t>
    </r>
  </si>
  <si>
    <t>=B2*C2</t>
  </si>
  <si>
    <t>WARM-UP · flashback to earlier stages</t>
  </si>
  <si>
    <t>Mission</t>
  </si>
  <si>
    <t>Your answer</t>
  </si>
  <si>
    <t>Result</t>
  </si>
  <si>
    <t>Hint?</t>
  </si>
  <si>
    <t>XP</t>
  </si>
  <si>
    <t>F1-1 Power Up W1</t>
  </si>
  <si>
    <t>A function key, or Ctrl plus G.</t>
  </si>
  <si>
    <t>CTRL+G</t>
  </si>
  <si>
    <t>F5</t>
  </si>
  <si>
    <t>W1</t>
  </si>
  <si>
    <t>Which key opens the Go To box?  (from S1-2 Teleport)</t>
  </si>
  <si>
    <t>F1-1 Power Up W2</t>
  </si>
  <si>
    <t>Ctrl plus Page Down.</t>
  </si>
  <si>
    <t>CTRL+PGDN</t>
  </si>
  <si>
    <t>W2</t>
  </si>
  <si>
    <t>Which keys move to the next sheet?  (from S1-2 Teleport)</t>
  </si>
  <si>
    <t>F1-1 Power Up W3</t>
  </si>
  <si>
    <t>Ctrl plus Page Up.</t>
  </si>
  <si>
    <t>CTRL+PGUP</t>
  </si>
  <si>
    <t>W3</t>
  </si>
  <si>
    <t>Which keys move to the previous sheet?  (from S1-2 Teleport)</t>
  </si>
  <si>
    <t>F1-1 Power Up W4</t>
  </si>
  <si>
    <t>Page Down.</t>
  </si>
  <si>
    <t>PGDN</t>
  </si>
  <si>
    <t>W4</t>
  </si>
  <si>
    <t>Which key scrolls one screen down?  (from S1-2 Teleport)</t>
  </si>
  <si>
    <t>F1-1 Power Up W5</t>
  </si>
  <si>
    <t>Alt plus Page Down.</t>
  </si>
  <si>
    <t>ALT+PGDN</t>
  </si>
  <si>
    <t>W5</t>
  </si>
  <si>
    <t>Which keys scroll one screen to the right?  (from S1-2 Teleport)</t>
  </si>
  <si>
    <t>TRAINING · recognize the move (pick from the list)</t>
  </si>
  <si>
    <t>F1-1 Power Up T1</t>
  </si>
  <si>
    <t>The key left of Backspace.</t>
  </si>
  <si>
    <t>$A$1</t>
  </si>
  <si>
    <t>T1</t>
  </si>
  <si>
    <t>Which character must every formula start with?</t>
  </si>
  <si>
    <t>F1-1 Power Up T2</t>
  </si>
  <si>
    <t>Shift+6 on a US keyboard.</t>
  </si>
  <si>
    <t>$A1 / A$1</t>
  </si>
  <si>
    <t>T2</t>
  </si>
  <si>
    <t>Which move is this? Arithmetic: add, subtract, multiply, divide, power.</t>
  </si>
  <si>
    <t>F1-1 Power Up T3</t>
  </si>
  <si>
    <t>Multiply before you add.</t>
  </si>
  <si>
    <t>T3</t>
  </si>
  <si>
    <t>Which move is this? Order: parentheses, then ^, then * and /, then + and -.</t>
  </si>
  <si>
    <t>F1-1 Power Up T4</t>
  </si>
  <si>
    <t>Start with = then the two cell addresses.</t>
  </si>
  <si>
    <t>T4</t>
  </si>
  <si>
    <t>Pick the formula that multiplies cell B2 by cell C2.</t>
  </si>
  <si>
    <t>CHALLENGES · recall it, then do it</t>
  </si>
  <si>
    <t>▶ Open F1-1 Arena (or press Ctrl+PgDn)</t>
  </si>
  <si>
    <t>F1-1 Power Up C1</t>
  </si>
  <si>
    <t>EQUALS</t>
  </si>
  <si>
    <t>EQUALSIGN</t>
  </si>
  <si>
    <t>EQUALSSIGN</t>
  </si>
  <si>
    <t>C1</t>
  </si>
  <si>
    <t>F1-1 Power Up C2</t>
  </si>
  <si>
    <t>CARET</t>
  </si>
  <si>
    <t>^</t>
  </si>
  <si>
    <t>C2</t>
  </si>
  <si>
    <t>Which operator raises a number to a power?</t>
  </si>
  <si>
    <t>F1-1 Power Up C3</t>
  </si>
  <si>
    <t>14</t>
  </si>
  <si>
    <t>C3</t>
  </si>
  <si>
    <t>What does =2+3*4 return?</t>
  </si>
  <si>
    <t>F1-1 Power Up C4</t>
  </si>
  <si>
    <t>=C2*B2</t>
  </si>
  <si>
    <t>B2*C2</t>
  </si>
  <si>
    <t>C2*B2</t>
  </si>
  <si>
    <t>C4</t>
  </si>
  <si>
    <t>Type the formula that multiplies cell B2 by cell C2.</t>
  </si>
  <si>
    <t>F1-1 Power Up C5</t>
  </si>
  <si>
    <t>Type =C6*D6.</t>
  </si>
  <si>
    <t>C5</t>
  </si>
  <si>
    <t>In the arena, select F6 and type a formula that multiplies the Price of Pens (C6) by its Qty (D6). Press Enter.</t>
  </si>
  <si>
    <t>▶ ARENA C5 (cell F6)</t>
  </si>
  <si>
    <t>F1-1 Power Up C6</t>
  </si>
  <si>
    <t>Wrap the addition in ( ).</t>
  </si>
  <si>
    <t>C6</t>
  </si>
  <si>
    <t>In F7, add 3 to the Price of Pads (C7), then multiply by its Qty (D7). Use parentheses so the addition happens first.</t>
  </si>
  <si>
    <t>▶ ARENA C6 (cell F7)</t>
  </si>
  <si>
    <t>F1-1 Power Up C7</t>
  </si>
  <si>
    <t>Type =D8^2.</t>
  </si>
  <si>
    <t>C7</t>
  </si>
  <si>
    <t>In F8, raise the Qty of Tape (D8) to the power of 2 using ^.</t>
  </si>
  <si>
    <t>▶ ARENA C7 (cell F8)</t>
  </si>
  <si>
    <t>F1-1 Power Up C8</t>
  </si>
  <si>
    <t>Multiply first: 2*3 = 6.</t>
  </si>
  <si>
    <t>C8</t>
  </si>
  <si>
    <t>Work it out first, then test it in F9 if you like: what does =10-2*3 return? Type the number.</t>
  </si>
  <si>
    <t>STAGE F1-1 ▸ POWER UP</t>
  </si>
  <si>
    <t>Goal: write formulas that calculate from cells</t>
  </si>
  <si>
    <t>ARENA ▸ F1-2 BIG SIX</t>
  </si>
  <si>
    <t>TALLY</t>
  </si>
  <si>
    <t>◀ Back to F1-2 Big Six</t>
  </si>
  <si>
    <t>Month</t>
  </si>
  <si>
    <t>Sales</t>
  </si>
  <si>
    <t>Returns</t>
  </si>
  <si>
    <t>Jan</t>
  </si>
  <si>
    <t>Feb</t>
  </si>
  <si>
    <t>Mar</t>
  </si>
  <si>
    <t>n/a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</si>
  <si>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</si>
  <si>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</si>
  <si>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</si>
  <si>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</si>
  <si>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</si>
  <si>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</si>
  <si>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</si>
  <si>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</si>
  <si>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</si>
  <si>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▶</t>
  </si>
  <si>
    <t>Average sales</t>
  </si>
  <si>
    <t>Best month</t>
  </si>
  <si>
    <t>Worst month</t>
  </si>
  <si>
    <t>Returns that are numbers</t>
  </si>
  <si>
    <t>Filled Returns cells</t>
  </si>
  <si>
    <r>
      <rPr>
        <b/>
        <sz val="12"/>
        <color rgb="FF1F2328"/>
        <rFont val="Calibri"/>
        <family val="2"/>
        <scheme val="minor"/>
      </rPr>
      <t>Add up numbers: =SUM(B2:B10).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 range is first:last joined by a colon.</t>
    </r>
  </si>
  <si>
    <t>SUM</t>
  </si>
  <si>
    <r>
      <rPr>
        <b/>
        <sz val="12"/>
        <color rgb="FF1F2328"/>
        <rFont val="Calibri"/>
        <family val="2"/>
        <scheme val="minor"/>
      </rPr>
      <t>The mean of the numbers in a range.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Blank cells and text are skipped, not counted as 0.</t>
    </r>
  </si>
  <si>
    <t>AVERAGE</t>
  </si>
  <si>
    <r>
      <rPr>
        <b/>
        <sz val="12"/>
        <color rgb="FF1F2328"/>
        <rFont val="Calibri"/>
        <family val="2"/>
        <scheme val="minor"/>
      </rPr>
      <t>The largest number in a range.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Pair it with MIN to see the spread.</t>
    </r>
  </si>
  <si>
    <t>MAX</t>
  </si>
  <si>
    <r>
      <rPr>
        <b/>
        <sz val="12"/>
        <color rgb="FF1F2328"/>
        <rFont val="Calibri"/>
        <family val="2"/>
        <scheme val="minor"/>
      </rPr>
      <t>The smallest number in a range.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Text such as n/a is ignored.</t>
    </r>
  </si>
  <si>
    <t>MIN</t>
  </si>
  <si>
    <t>5</t>
  </si>
  <si>
    <r>
      <rPr>
        <b/>
        <sz val="12"/>
        <color rgb="FF1F2328"/>
        <rFont val="Calibri"/>
        <family val="2"/>
        <scheme val="minor"/>
      </rPr>
      <t>Count the cells that hold numbers.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Text doesn't count: use COUNTA for any filled cell.</t>
    </r>
  </si>
  <si>
    <t>COUNT</t>
  </si>
  <si>
    <t>6</t>
  </si>
  <si>
    <r>
      <rPr>
        <b/>
        <sz val="12"/>
        <color rgb="FF1F2328"/>
        <rFont val="Calibri"/>
        <family val="2"/>
        <scheme val="minor"/>
      </rPr>
      <t>Count the cells that are not empty (numbers, text, anything).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A stands for 'all'.</t>
    </r>
  </si>
  <si>
    <t>COUNTA</t>
  </si>
  <si>
    <t>7</t>
  </si>
  <si>
    <r>
      <rPr>
        <b/>
        <sz val="12"/>
        <color rgb="FF1F2328"/>
        <rFont val="Calibri"/>
        <family val="2"/>
        <scheme val="minor"/>
      </rPr>
      <t>AutoSum: insert =SUM() over the numbers above or to the left.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 the cell under a column of numbers, press Alt+=, then Enter.</t>
    </r>
  </si>
  <si>
    <t>Alt+=</t>
  </si>
  <si>
    <t>F1-2 Big Six W1</t>
  </si>
  <si>
    <t>Which character must every formula start with?  (from F1-1 Power Up)</t>
  </si>
  <si>
    <t>F1-2 Big Six W2</t>
  </si>
  <si>
    <t>Which operator raises a number to a power?  (from F1-1 Power Up)</t>
  </si>
  <si>
    <t>F1-2 Big Six W3</t>
  </si>
  <si>
    <t>What does =2+3*4 return?  (from F1-1 Power Up)</t>
  </si>
  <si>
    <t>F1-2 Big Six W4</t>
  </si>
  <si>
    <t>Type the formula that multiplies cell B2 by cell C2.  (from F1-1 Power Up)</t>
  </si>
  <si>
    <t>F1-2 Big Six W5</t>
  </si>
  <si>
    <t>Hold Shift and tap an arrow.</t>
  </si>
  <si>
    <t>SHIFT+ARROW</t>
  </si>
  <si>
    <t>SHIFT+DOWN</t>
  </si>
  <si>
    <t>SHIFT+LEFT</t>
  </si>
  <si>
    <t>SHIFT+RIGHT</t>
  </si>
  <si>
    <t>SHIFT+UP</t>
  </si>
  <si>
    <t>Which keys grow the selection by one cell?  (from S1-3 Lasso)</t>
  </si>
  <si>
    <t>F1-2 Big Six W6</t>
  </si>
  <si>
    <t>The warp-zone keys plus Shift.</t>
  </si>
  <si>
    <t>CTRL+SHIFT+ARROW</t>
  </si>
  <si>
    <t>CTRL+SHIFT+DOWN</t>
  </si>
  <si>
    <t>CTRL+SHIFT+LEFT</t>
  </si>
  <si>
    <t>CTRL+SHIFT+RIGHT</t>
  </si>
  <si>
    <t>CTRL+SHIFT+UP</t>
  </si>
  <si>
    <t>SHIFT+CTRL+ARROW</t>
  </si>
  <si>
    <t>SHIFT+CTRL+DOWN</t>
  </si>
  <si>
    <t>SHIFT+CTRL+LEFT</t>
  </si>
  <si>
    <t>SHIFT+CTRL+RIGHT</t>
  </si>
  <si>
    <t>SHIFT+CTRL+UP</t>
  </si>
  <si>
    <t>W6</t>
  </si>
  <si>
    <t>Which keys extend the selection all the way to the edge of the data?  (from S1-3 Lasso)</t>
  </si>
  <si>
    <t>F1-2 Big Six W7</t>
  </si>
  <si>
    <t>Ctrl+End plus Shift.</t>
  </si>
  <si>
    <t>CTRL+SHIFT+END</t>
  </si>
  <si>
    <t>SHIFT+CTRL+END</t>
  </si>
  <si>
    <t>W7</t>
  </si>
  <si>
    <t>Which keys extend the selection to the last used cell?  (from S1-3 Lasso)</t>
  </si>
  <si>
    <t>F1-2 Big Six W8</t>
  </si>
  <si>
    <t>Ctrl+Home plus Shift.</t>
  </si>
  <si>
    <t>CTRL+SHIFT+HOME</t>
  </si>
  <si>
    <t>SHIFT+CTRL+HOME</t>
  </si>
  <si>
    <t>W8</t>
  </si>
  <si>
    <t>Which keys extend the selection back to cell A1?  (from S1-3 Lasso)</t>
  </si>
  <si>
    <t>F1-2 Big Six T1</t>
  </si>
  <si>
    <t>Three letters.</t>
  </si>
  <si>
    <t>ROUNDUP</t>
  </si>
  <si>
    <t>Which function adds up a range of numbers?</t>
  </si>
  <si>
    <t>F1-2 Big Six T2</t>
  </si>
  <si>
    <t>Starts with AVER.</t>
  </si>
  <si>
    <t>Which function returns the mean of a range?</t>
  </si>
  <si>
    <t>F1-2 Big Six T3</t>
  </si>
  <si>
    <t>Short for maximum.</t>
  </si>
  <si>
    <t>ROUND</t>
  </si>
  <si>
    <t>Which function returns the largest number in a range?</t>
  </si>
  <si>
    <t>F1-2 Big Six T4</t>
  </si>
  <si>
    <t>Short for minimum.</t>
  </si>
  <si>
    <t>Which function returns the smallest number in a range?</t>
  </si>
  <si>
    <t>F1-2 Big Six T5</t>
  </si>
  <si>
    <t>The plain counting function.</t>
  </si>
  <si>
    <t>T5</t>
  </si>
  <si>
    <t>Which function counts only the cells that hold numbers?</t>
  </si>
  <si>
    <t>F1-2 Big Six T6</t>
  </si>
  <si>
    <t>COUNT plus one letter.</t>
  </si>
  <si>
    <t>ROUNDDOWN</t>
  </si>
  <si>
    <t>T6</t>
  </si>
  <si>
    <t>Which function counts every non-empty cell?</t>
  </si>
  <si>
    <t>F1-2 Big Six T7</t>
  </si>
  <si>
    <t>Alt plus the equals key.</t>
  </si>
  <si>
    <t>Shift+F3</t>
  </si>
  <si>
    <t>Ctrl+`</t>
  </si>
  <si>
    <t>Tab</t>
  </si>
  <si>
    <t>T7</t>
  </si>
  <si>
    <t>Which keys insert an AutoSum formula?</t>
  </si>
  <si>
    <t>▶ Open F1-2 Arena (or press Ctrl+PgDn)</t>
  </si>
  <si>
    <t>F1-2 Big Six C1</t>
  </si>
  <si>
    <t>=SUM</t>
  </si>
  <si>
    <t>=SUM(</t>
  </si>
  <si>
    <t>=SUM()</t>
  </si>
  <si>
    <t>SUM(</t>
  </si>
  <si>
    <t>SUM()</t>
  </si>
  <si>
    <t>F1-2 Big Six C2</t>
  </si>
  <si>
    <t>=AVERAGE</t>
  </si>
  <si>
    <t>=AVERAGE(</t>
  </si>
  <si>
    <t>=AVERAGE()</t>
  </si>
  <si>
    <t>AVERAGE(</t>
  </si>
  <si>
    <t>AVERAGE()</t>
  </si>
  <si>
    <t>F1-2 Big Six C3</t>
  </si>
  <si>
    <t>=MAX</t>
  </si>
  <si>
    <t>=MAX(</t>
  </si>
  <si>
    <t>=MAX()</t>
  </si>
  <si>
    <t>MAX(</t>
  </si>
  <si>
    <t>MAX()</t>
  </si>
  <si>
    <t>F1-2 Big Six C4</t>
  </si>
  <si>
    <t>=MIN</t>
  </si>
  <si>
    <t>=MIN(</t>
  </si>
  <si>
    <t>=MIN()</t>
  </si>
  <si>
    <t>MIN(</t>
  </si>
  <si>
    <t>MIN()</t>
  </si>
  <si>
    <t>F1-2 Big Six C5</t>
  </si>
  <si>
    <t>=COUNT</t>
  </si>
  <si>
    <t>=COUNT(</t>
  </si>
  <si>
    <t>=COUNT()</t>
  </si>
  <si>
    <t>COUNT(</t>
  </si>
  <si>
    <t>COUNT()</t>
  </si>
  <si>
    <t>F1-2 Big Six C6</t>
  </si>
  <si>
    <t>=COUNTA</t>
  </si>
  <si>
    <t>=COUNTA(</t>
  </si>
  <si>
    <t>=COUNTA()</t>
  </si>
  <si>
    <t>COUNTA(</t>
  </si>
  <si>
    <t>COUNTA()</t>
  </si>
  <si>
    <t>F1-2 Big Six C7</t>
  </si>
  <si>
    <t>ALT+=</t>
  </si>
  <si>
    <t>F1-2 Big Six C8</t>
  </si>
  <si>
    <t>Alt and = together.</t>
  </si>
  <si>
    <t>In the arena, select C18 (just under Sales) and press Alt+= then Enter. AutoSum writes the SUM formula for you.</t>
  </si>
  <si>
    <t>▶ ARENA C8 (cell C18)</t>
  </si>
  <si>
    <t>F1-2 Big Six C9</t>
  </si>
  <si>
    <t>=AVERAGE(C6:C17)</t>
  </si>
  <si>
    <t>C9</t>
  </si>
  <si>
    <t>In G6, find the average monthly Sales with AVERAGE.</t>
  </si>
  <si>
    <t>▶ ARENA C9 (cell G6)</t>
  </si>
  <si>
    <t>F1-2 Big Six C10</t>
  </si>
  <si>
    <t>=MAX(C6:C17)</t>
  </si>
  <si>
    <t>C10</t>
  </si>
  <si>
    <t>In G7, find the best month's Sales with MAX.</t>
  </si>
  <si>
    <t>▶ ARENA C10 (cell G7)</t>
  </si>
  <si>
    <t>F1-2 Big Six C11</t>
  </si>
  <si>
    <t>=MIN(C6:C17)</t>
  </si>
  <si>
    <t>C11</t>
  </si>
  <si>
    <t>In G8, find the worst month's Sales with MIN.</t>
  </si>
  <si>
    <t>▶ ARENA C11 (cell G8)</t>
  </si>
  <si>
    <t>F1-2 Big Six C12</t>
  </si>
  <si>
    <t>COUNT skips n/a.</t>
  </si>
  <si>
    <t>C12</t>
  </si>
  <si>
    <t>In G9, count how many Returns cells (D6:D17) hold numbers. Use COUNT.</t>
  </si>
  <si>
    <t>▶ ARENA C12 (cell G9)</t>
  </si>
  <si>
    <t>F1-2 Big Six C13</t>
  </si>
  <si>
    <t>COUNTA counts text too.</t>
  </si>
  <si>
    <t>C13</t>
  </si>
  <si>
    <t>In G10, count every filled Returns cell, text included. Use COUNTA.</t>
  </si>
  <si>
    <t>▶ ARENA C13 (cell G10)</t>
  </si>
  <si>
    <t>STAGE F1-2 ▸ BIG SIX</t>
  </si>
  <si>
    <t>Goal: summarize a column with six core functions</t>
  </si>
  <si>
    <t>ARENA ▸ F1-3 ANCHORS</t>
  </si>
  <si>
    <t>ANCHOR</t>
  </si>
  <si>
    <t>◀ Back to F1-3 Anchors</t>
  </si>
  <si>
    <t>Tax</t>
  </si>
  <si>
    <t>Tax rate</t>
  </si>
  <si>
    <t>Price ↓ · Discount →</t>
  </si>
  <si>
    <r>
      <rPr>
        <b/>
        <sz val="12"/>
        <color rgb="FF1F2328"/>
        <rFont val="Calibri"/>
        <family val="2"/>
        <scheme val="minor"/>
      </rPr>
      <t>An absolute reference never shifts when the formula is copied.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Use it for one fixed cell that every row needs, like a tax rate.</t>
    </r>
  </si>
  <si>
    <r>
      <rPr>
        <b/>
        <sz val="12"/>
        <color rgb="FF1F2328"/>
        <rFont val="Calibri"/>
        <family val="2"/>
        <scheme val="minor"/>
      </rPr>
      <t>Mixed reference: lock only the column ($A1) or only the row (A$1).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Perfect for grids where one side stays fixed.</t>
    </r>
  </si>
  <si>
    <r>
      <rPr>
        <b/>
        <sz val="12"/>
        <color rgb="FF1F2328"/>
        <rFont val="Calibri"/>
        <family val="2"/>
        <scheme val="minor"/>
      </rPr>
      <t>While editing a reference, cycle A1 → $A$1 → A$1 → $A1.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Click inside the reference in the formula, then tap F4.</t>
    </r>
  </si>
  <si>
    <t>F4</t>
  </si>
  <si>
    <r>
      <rPr>
        <b/>
        <sz val="12"/>
        <color rgb="FF1F2328"/>
        <rFont val="Calibri"/>
        <family val="2"/>
        <scheme val="minor"/>
      </rPr>
      <t>Fill Down: copy the top cell into the selected cells below.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 the formula cell plus the cells under it, then press Ctrl+D.</t>
    </r>
  </si>
  <si>
    <t>Ctrl+D</t>
  </si>
  <si>
    <t>F1-3 Anchors W1</t>
  </si>
  <si>
    <t>Which function adds up a range of numbers?  (from F1-2 Big Six)</t>
  </si>
  <si>
    <t>F1-3 Anchors W2</t>
  </si>
  <si>
    <t>Which function returns the mean of a range?  (from F1-2 Big Six)</t>
  </si>
  <si>
    <t>F1-3 Anchors W3</t>
  </si>
  <si>
    <t>Which function returns the largest number in a range?  (from F1-2 Big Six)</t>
  </si>
  <si>
    <t>F1-3 Anchors W4</t>
  </si>
  <si>
    <t>Which function returns the smallest number in a range?  (from F1-2 Big Six)</t>
  </si>
  <si>
    <t>F1-3 Anchors W5</t>
  </si>
  <si>
    <t>Which function counts only the cells that hold numbers?  (from F1-2 Big Six)</t>
  </si>
  <si>
    <t>F1-3 Anchors W6</t>
  </si>
  <si>
    <t>Which function counts every non-empty cell?  (from F1-2 Big Six)</t>
  </si>
  <si>
    <t>F1-3 Anchors W7</t>
  </si>
  <si>
    <t>Which keys insert an AutoSum formula?  (from F1-2 Big Six)</t>
  </si>
  <si>
    <t>F1-3 Anchors W8</t>
  </si>
  <si>
    <t>The long key plus Shift.</t>
  </si>
  <si>
    <t>SHIFT+SPACE</t>
  </si>
  <si>
    <t>Which keys select the entire row?  (from S1-4 Grab)</t>
  </si>
  <si>
    <t>F1-3 Anchors W9</t>
  </si>
  <si>
    <t>The long key plus Ctrl.</t>
  </si>
  <si>
    <t>CTRL+SPACE</t>
  </si>
  <si>
    <t>W9</t>
  </si>
  <si>
    <t>Which keys select the entire column?  (from S1-4 Grab)</t>
  </si>
  <si>
    <t>F1-3 Anchors W10</t>
  </si>
  <si>
    <t>Think 'A' for All.</t>
  </si>
  <si>
    <t>CTRL+A</t>
  </si>
  <si>
    <t>CTRL+SHIFT+SPACE</t>
  </si>
  <si>
    <t>SHIFT+CTRL+SPACE</t>
  </si>
  <si>
    <t>W10</t>
  </si>
  <si>
    <t>Which keys select the current data block (and the whole sheet if you keep pressing)?  (from S1-4 Grab)</t>
  </si>
  <si>
    <t>F1-3 Anchors T1</t>
  </si>
  <si>
    <t>Put $ before the column and the row.</t>
  </si>
  <si>
    <t>Which move is this? An absolute reference never shifts when the formula is copied.</t>
  </si>
  <si>
    <t>F1-3 Anchors T2</t>
  </si>
  <si>
    <t>The $ goes right before 16.</t>
  </si>
  <si>
    <t>Which move is this? Mixed reference: lock only the column ($A1) or only the row (A$1).</t>
  </si>
  <si>
    <t>F1-3 Anchors T3</t>
  </si>
  <si>
    <t>A function key between F3 and F5.</t>
  </si>
  <si>
    <t>Ctrl+Shift+A</t>
  </si>
  <si>
    <t>Which key adds or cycles the $ signs on a reference you are editing?</t>
  </si>
  <si>
    <t>F1-3 Anchors T4</t>
  </si>
  <si>
    <t>D for Down.</t>
  </si>
  <si>
    <t>F2</t>
  </si>
  <si>
    <t>Which keys copy the top cell down into the selected cells?</t>
  </si>
  <si>
    <t>▶ Open F1-3 Arena (or press Ctrl+PgDn)</t>
  </si>
  <si>
    <t>F1-3 Anchors C1</t>
  </si>
  <si>
    <t>$E$6</t>
  </si>
  <si>
    <t>Type the absolute version of the reference E6.</t>
  </si>
  <si>
    <t>F1-3 Anchors C2</t>
  </si>
  <si>
    <t>C$16</t>
  </si>
  <si>
    <t>Type a reference to C16 that locks only the row.</t>
  </si>
  <si>
    <t>F1-3 Anchors C3</t>
  </si>
  <si>
    <t>F1-3 Anchors C4</t>
  </si>
  <si>
    <t>CTRL+D</t>
  </si>
  <si>
    <t>F1-3 Anchors C5</t>
  </si>
  <si>
    <t>Without $, the rate cell slides down.</t>
  </si>
  <si>
    <t>In the arena, select C6 and type =B6*$E$6 (click E6, then press F4 to add the $ signs). Then select C6:C13 and press Ctrl+D to fill it down.</t>
  </si>
  <si>
    <t>▶ ARENA C5 (cell C6)</t>
  </si>
  <si>
    <t>F1-3 Anchors C6</t>
  </si>
  <si>
    <t>Two $ signs, in different places.</t>
  </si>
  <si>
    <t>In C17 type =$B17*(1-C$16): $B locks the price column, $16 locks the discount row. Then select C17:C21 and press Ctrl+D.</t>
  </si>
  <si>
    <t>▶ ARENA C6 (cell C17)</t>
  </si>
  <si>
    <t>STAGE F1-3 ▸ ANCHORS</t>
  </si>
  <si>
    <t>Goal: lock references so formulas fill correctly</t>
  </si>
  <si>
    <t>ARENA ▸ F1-4 PRECISION</t>
  </si>
  <si>
    <t>DECIMAL</t>
  </si>
  <si>
    <t>◀ Back to F1-4 Precision</t>
  </si>
  <si>
    <t>Value</t>
  </si>
  <si>
    <t>Do this</t>
  </si>
  <si>
    <t>2 decimals</t>
  </si>
  <si>
    <t>up to a whole number</t>
  </si>
  <si>
    <t>down to 1 decimal</t>
  </si>
  <si>
    <t>nearest hundred</t>
  </si>
  <si>
    <r>
      <rPr>
        <b/>
        <sz val="12"/>
        <color rgb="FF1F2328"/>
        <rFont val="Calibri"/>
        <family val="2"/>
        <scheme val="minor"/>
      </rPr>
      <t>Round to a number of digits: =ROUND(3.14159,2) gives 3.14.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Negative digits round to tens or hundreds: =ROUND(1234,-2) is 1200.</t>
    </r>
  </si>
  <si>
    <r>
      <rPr>
        <b/>
        <sz val="12"/>
        <color rgb="FF1F2328"/>
        <rFont val="Calibri"/>
        <family val="2"/>
        <scheme val="minor"/>
      </rPr>
      <t>Always round away from zero: =ROUNDUP(2.1,0) gives 3.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Good for 'how many boxes do I need?'</t>
    </r>
  </si>
  <si>
    <r>
      <rPr>
        <b/>
        <sz val="12"/>
        <color rgb="FF1F2328"/>
        <rFont val="Calibri"/>
        <family val="2"/>
        <scheme val="minor"/>
      </rPr>
      <t>Always round toward zero: chop off the extra digits.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=ROUNDDOWN(7.86,1) gives 7.8.</t>
    </r>
  </si>
  <si>
    <t>F1-4 Precision W1</t>
  </si>
  <si>
    <t>Type the absolute version of the reference E6.  (from F1-3 Anchors)</t>
  </si>
  <si>
    <t>F1-4 Precision W2</t>
  </si>
  <si>
    <t>Type a reference to C16 that locks only the row.  (from F1-3 Anchors)</t>
  </si>
  <si>
    <t>F1-4 Precision W3</t>
  </si>
  <si>
    <t>Which key adds or cycles the $ signs on a reference you are editing?  (from F1-3 Anchors)</t>
  </si>
  <si>
    <t>F1-4 Precision W4</t>
  </si>
  <si>
    <t>Which keys copy the top cell down into the selected cells?  (from F1-3 Anchors)</t>
  </si>
  <si>
    <t>F1-4 Precision T1</t>
  </si>
  <si>
    <t>The plain rounding function.</t>
  </si>
  <si>
    <t>Which function rounds a number to a chosen number of digits?</t>
  </si>
  <si>
    <t>F1-4 Precision T2</t>
  </si>
  <si>
    <t>ROUND plus a direction.</t>
  </si>
  <si>
    <t>Which function always rounds up, away from zero?</t>
  </si>
  <si>
    <t>F1-4 Precision T3</t>
  </si>
  <si>
    <t>ROUND plus the other direction.</t>
  </si>
  <si>
    <t>Which function always rounds down, toward zero?</t>
  </si>
  <si>
    <t>▶ Open F1-4 Arena (or press Ctrl+PgDn)</t>
  </si>
  <si>
    <t>F1-4 Precision C1</t>
  </si>
  <si>
    <t>=ROUND</t>
  </si>
  <si>
    <t>=ROUND(</t>
  </si>
  <si>
    <t>=ROUND()</t>
  </si>
  <si>
    <t>ROUND(</t>
  </si>
  <si>
    <t>ROUND()</t>
  </si>
  <si>
    <t>F1-4 Precision C2</t>
  </si>
  <si>
    <t>=ROUNDUP</t>
  </si>
  <si>
    <t>=ROUNDUP(</t>
  </si>
  <si>
    <t>=ROUNDUP()</t>
  </si>
  <si>
    <t>ROUNDUP(</t>
  </si>
  <si>
    <t>ROUNDUP()</t>
  </si>
  <si>
    <t>F1-4 Precision C3</t>
  </si>
  <si>
    <t>=ROUNDDOWN</t>
  </si>
  <si>
    <t>=ROUNDDOWN(</t>
  </si>
  <si>
    <t>=ROUNDDOWN()</t>
  </si>
  <si>
    <t>ROUNDDOWN(</t>
  </si>
  <si>
    <t>ROUNDDOWN()</t>
  </si>
  <si>
    <t>F1-4 Precision C4</t>
  </si>
  <si>
    <t>=ROUND(B6,2)</t>
  </si>
  <si>
    <t>In D6, round B6 to 2 decimals with ROUND.</t>
  </si>
  <si>
    <t>▶ ARENA C4 (cell D6)</t>
  </si>
  <si>
    <t>F1-4 Precision C5</t>
  </si>
  <si>
    <t>0 digits = whole number.</t>
  </si>
  <si>
    <t>In D7, round B7 UP to a whole number with ROUNDUP.</t>
  </si>
  <si>
    <t>▶ ARENA C5 (cell D7)</t>
  </si>
  <si>
    <t>F1-4 Precision C6</t>
  </si>
  <si>
    <t>=ROUNDDOWN(B8,1)</t>
  </si>
  <si>
    <t>In D8, round B8 DOWN to 1 decimal with ROUNDDOWN.</t>
  </si>
  <si>
    <t>▶ ARENA C6 (cell D8)</t>
  </si>
  <si>
    <t>F1-4 Precision C7</t>
  </si>
  <si>
    <t>Negative digits.</t>
  </si>
  <si>
    <t>In D9, round B9 to the nearest hundred with ROUND (use -2 digits).</t>
  </si>
  <si>
    <t>▶ ARENA C7 (cell D9)</t>
  </si>
  <si>
    <t>STAGE F1-4 ▸ PRECISION</t>
  </si>
  <si>
    <t>Goal: round numbers exactly the way you want</t>
  </si>
  <si>
    <t>ARENA ▸ F1-5 X-RAY</t>
  </si>
  <si>
    <t>XRAY</t>
  </si>
  <si>
    <t>◀ Back to F1-5 X-Ray</t>
  </si>
  <si>
    <t>Day</t>
  </si>
  <si>
    <t>Points</t>
  </si>
  <si>
    <t>Total</t>
  </si>
  <si>
    <t>Bonus</t>
  </si>
  <si>
    <t>Average points</t>
  </si>
  <si>
    <t>Total ÷ 7, 1 decimal</t>
  </si>
  <si>
    <r>
      <rPr>
        <b/>
        <sz val="12"/>
        <color rgb="FF1F2328"/>
        <rFont val="Calibri"/>
        <family val="2"/>
        <scheme val="minor"/>
      </rPr>
      <t>Show formulas instead of results; press again to switch back.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` key sits left of 1. Great for spotting typed-over formulas.</t>
    </r>
  </si>
  <si>
    <r>
      <rPr>
        <b/>
        <sz val="12"/>
        <color rgb="FF1F2328"/>
        <rFont val="Calibri"/>
        <family val="2"/>
        <scheme val="minor"/>
      </rPr>
      <t>Edit the active cell; its references light up in color.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Each colored reference matches a colored box on the sheet.</t>
    </r>
  </si>
  <si>
    <r>
      <rPr>
        <b/>
        <sz val="12"/>
        <color rgb="FF1F2328"/>
        <rFont val="Calibri"/>
        <family val="2"/>
        <scheme val="minor"/>
      </rPr>
      <t>While typing a function, Tab inserts the highlighted suggestion.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Type =SU, arrow down to SUMIFS, press Tab: Excel types SUMIFS( for you.</t>
    </r>
  </si>
  <si>
    <r>
      <rPr>
        <b/>
        <sz val="12"/>
        <color rgb="FF1F2328"/>
        <rFont val="Calibri"/>
        <family val="2"/>
        <scheme val="minor"/>
      </rPr>
      <t>After a function name, insert its argument names.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Type =XLOOKUP then Ctrl+Shift+A to see every argument at once.</t>
    </r>
  </si>
  <si>
    <r>
      <rPr>
        <b/>
        <sz val="12"/>
        <color rgb="FF1F2328"/>
        <rFont val="Calibri"/>
        <family val="2"/>
        <scheme val="minor"/>
      </rPr>
      <t>Open the Insert Function dialog.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Search for a function by describing what you need.</t>
    </r>
  </si>
  <si>
    <t>F1-5 X-Ray W1</t>
  </si>
  <si>
    <t>Which function rounds a number to a chosen number of digits?  (from F1-4 Precision)</t>
  </si>
  <si>
    <t>F1-5 X-Ray W2</t>
  </si>
  <si>
    <t>Which function always rounds up, away from zero?  (from F1-4 Precision)</t>
  </si>
  <si>
    <t>F1-5 X-Ray W3</t>
  </si>
  <si>
    <t>Which function always rounds down, toward zero?  (from F1-4 Precision)</t>
  </si>
  <si>
    <t>F1-5 X-Ray W4</t>
  </si>
  <si>
    <t>F1-5 X-Ray W5</t>
  </si>
  <si>
    <t>F1-5 X-Ray W6</t>
  </si>
  <si>
    <t>F1-5 X-Ray W7</t>
  </si>
  <si>
    <t>F1-5 X-Ray T1</t>
  </si>
  <si>
    <t>Ctrl plus the key left of 1.</t>
  </si>
  <si>
    <t>Which keys switch between showing results and showing formulas?</t>
  </si>
  <si>
    <t>F1-5 X-Ray T2</t>
  </si>
  <si>
    <t>The function key after F1.</t>
  </si>
  <si>
    <t>Which key edits the active cell and color-codes its references?</t>
  </si>
  <si>
    <t>F1-5 X-Ray T3</t>
  </si>
  <si>
    <t>The key above Caps Lock.</t>
  </si>
  <si>
    <t>While typing a function name, which key inserts the highlighted AutoComplete suggestion?</t>
  </si>
  <si>
    <t>F1-5 X-Ray T4</t>
  </si>
  <si>
    <t>Ctrl+Shift plus A for arguments.</t>
  </si>
  <si>
    <t>Which keys insert a function's argument names after you type its name?</t>
  </si>
  <si>
    <t>F1-5 X-Ray T5</t>
  </si>
  <si>
    <t>Shift plus F3.</t>
  </si>
  <si>
    <t>Which keys open the Insert Function dialog?</t>
  </si>
  <si>
    <t>▶ Open F1-5 Arena (or press Ctrl+PgDn)</t>
  </si>
  <si>
    <t>F1-5 X-Ray C1</t>
  </si>
  <si>
    <t>CTRL+BACKTICK</t>
  </si>
  <si>
    <t>CTRL+GRAVE</t>
  </si>
  <si>
    <t>CTRL+GRAVEACCENT</t>
  </si>
  <si>
    <t>CTRL+`</t>
  </si>
  <si>
    <t>F1-5 X-Ray C2</t>
  </si>
  <si>
    <t>F1-5 X-Ray C3</t>
  </si>
  <si>
    <t>TAB</t>
  </si>
  <si>
    <t>F1-5 X-Ray C4</t>
  </si>
  <si>
    <t>CTRL+SHIFT+A</t>
  </si>
  <si>
    <t>SHIFT+CTRL+A</t>
  </si>
  <si>
    <t>F1-5 X-Ray C5</t>
  </si>
  <si>
    <t>SHIFT+F3</t>
  </si>
  <si>
    <t>F1-5 X-Ray C6</t>
  </si>
  <si>
    <t>Look for the cell without an = sign.</t>
  </si>
  <si>
    <t>In the arena press Ctrl+` to show formulas. One cell in C6:C15 is a typed number, not a formula. Type its address, then press Ctrl+` again to switch back.</t>
  </si>
  <si>
    <t>F1-5 X-Ray C7</t>
  </si>
  <si>
    <t>It's not in column C.</t>
  </si>
  <si>
    <t>H20</t>
  </si>
  <si>
    <t>In the arena select E6 and press F2. Each reference lights up in its own color. One reference points outside the Points column: type its address, then press Esc.</t>
  </si>
  <si>
    <t>F1-5 X-Ray C8</t>
  </si>
  <si>
    <t>Tab accepts the suggestion.</t>
  </si>
  <si>
    <t>In G8 type =AVER, then press Tab when AutoComplete highlights AVERAGE. Finish the formula so it averages C6:C15.</t>
  </si>
  <si>
    <t>▶ ARENA C8 (cell G8)</t>
  </si>
  <si>
    <t>F1-5 X-Ray C9</t>
  </si>
  <si>
    <t>number = E6/7, num_digits = 1.</t>
  </si>
  <si>
    <t>In G9 type =ROUND and press Ctrl+Shift+A: Excel writes ROUND(number,num_digits). Replace the argument names so G9 shows E6 divided by 7, rounded to 1 decimal.</t>
  </si>
  <si>
    <t>▶ ARENA C9 (cell G9)</t>
  </si>
  <si>
    <t>STAGE F1-5 ▸ X-RAY</t>
  </si>
  <si>
    <t>Goal: see inside formulas and write them faster</t>
  </si>
  <si>
    <t>BOSS ARENA ▸ FORMULA BASICS</t>
  </si>
  <si>
    <t>FORMULON</t>
  </si>
  <si>
    <t>◀ Back to Boss</t>
  </si>
  <si>
    <t>Cost</t>
  </si>
  <si>
    <t>Rating</t>
  </si>
  <si>
    <t>Lamp</t>
  </si>
  <si>
    <t>Mug</t>
  </si>
  <si>
    <t>Desk</t>
  </si>
  <si>
    <t>TBD</t>
  </si>
  <si>
    <t>Chair</t>
  </si>
  <si>
    <t>Pen</t>
  </si>
  <si>
    <t>Book</t>
  </si>
  <si>
    <t>Clock</t>
  </si>
  <si>
    <t>Plant</t>
  </si>
  <si>
    <t>Rug</t>
  </si>
  <si>
    <t>Fan</t>
  </si>
  <si>
    <t>Profit</t>
  </si>
  <si>
    <t>Double qty</t>
  </si>
  <si>
    <t>Total qty</t>
  </si>
  <si>
    <t>Average price</t>
  </si>
  <si>
    <t>Largest qty</t>
  </si>
  <si>
    <t>Numeric ratings</t>
  </si>
  <si>
    <t>Avg price, 1 dp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</si>
  <si>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</si>
  <si>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</si>
  <si>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</si>
  <si>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</si>
  <si>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</si>
  <si>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</si>
  <si>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</si>
  <si>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</si>
  <si>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</si>
  <si>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</si>
  <si>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Boss F3</t>
  </si>
  <si>
    <t>F3</t>
  </si>
  <si>
    <t>Boss F4</t>
  </si>
  <si>
    <t>Boss F5</t>
  </si>
  <si>
    <t>Boss F6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</si>
  <si>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</si>
  <si>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</si>
  <si>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</si>
  <si>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</si>
  <si>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</si>
  <si>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</si>
  <si>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</si>
  <si>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</si>
  <si>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=SUM(E6:E15)</t>
  </si>
  <si>
    <t>B1</t>
  </si>
  <si>
    <t>▶ ARENA B1 (cell J8)</t>
  </si>
  <si>
    <t>Boss B2</t>
  </si>
  <si>
    <t>=AVERAGE(D6:D15)</t>
  </si>
  <si>
    <t>B2</t>
  </si>
  <si>
    <t>▶ ARENA B2 (cell J9)</t>
  </si>
  <si>
    <t>Boss B3</t>
  </si>
  <si>
    <t>=MAX(E6:E15)</t>
  </si>
  <si>
    <t>B3</t>
  </si>
  <si>
    <t>▶ ARENA B3 (cell J10)</t>
  </si>
  <si>
    <t>Boss B4</t>
  </si>
  <si>
    <t>Which function skips TBD?</t>
  </si>
  <si>
    <t>B4</t>
  </si>
  <si>
    <t>▶ ARENA B4 (cell J11)</t>
  </si>
  <si>
    <t>Boss B5</t>
  </si>
  <si>
    <t>Parentheses first.</t>
  </si>
  <si>
    <t>B5</t>
  </si>
  <si>
    <t>▶ ARENA B5 (cell G6)</t>
  </si>
  <si>
    <t>Boss B6</t>
  </si>
  <si>
    <t>=D6*$K$6</t>
  </si>
  <si>
    <t>B6</t>
  </si>
  <si>
    <t>▶ ARENA B6 (cell H6)</t>
  </si>
  <si>
    <t>Boss B7</t>
  </si>
  <si>
    <t>ROUND around AVERAGE.</t>
  </si>
  <si>
    <t>B7</t>
  </si>
  <si>
    <t>▶ ARENA B7 (cell J12)</t>
  </si>
  <si>
    <t>Boss B8</t>
  </si>
  <si>
    <t>No = sign.</t>
  </si>
  <si>
    <t>L9</t>
  </si>
  <si>
    <t>B8</t>
  </si>
  <si>
    <t>BOSS ▸ FORMULA BASICS</t>
  </si>
  <si>
    <t>Every move from this world in one gauntlet. Clear it under par for rank S.</t>
  </si>
  <si>
    <t>FORMULAS 1 ▸ FORMULA BASICS</t>
  </si>
  <si>
    <t>Write your first formulas and make them fill down correctly.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</si>
  <si>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</si>
  <si>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</si>
  <si>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</si>
  <si>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</si>
  <si>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</si>
  <si>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</si>
  <si>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</si>
  <si>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</si>
  <si>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</si>
  <si>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</si>
  <si>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</si>
  <si>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</si>
  <si>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</si>
  <si>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F1-1</t>
  </si>
  <si>
    <t>Power Up</t>
  </si>
  <si>
    <t>Go to F1-1 Power Up</t>
  </si>
  <si>
    <t>F1-2</t>
  </si>
  <si>
    <t>Big Six</t>
  </si>
  <si>
    <t>Go to F1-2 Big Six</t>
  </si>
  <si>
    <t>F1-3</t>
  </si>
  <si>
    <t>Anchors</t>
  </si>
  <si>
    <t>Go to F1-3 Anchors</t>
  </si>
  <si>
    <t>F1-4</t>
  </si>
  <si>
    <t>Precision</t>
  </si>
  <si>
    <t>Go to F1-4 Precision</t>
  </si>
  <si>
    <t>F1-5</t>
  </si>
  <si>
    <t>X-Ray</t>
  </si>
  <si>
    <t>Go to F1-5 X-Ray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</si>
  <si>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</si>
  <si>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</si>
  <si>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</si>
  <si>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</si>
  <si>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</si>
  <si>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</si>
  <si>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</si>
  <si>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</si>
  <si>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</si>
  <si>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FORMULA BASICS</t>
  </si>
  <si>
    <t>Every move from this world on one page. Keep it open while you play, or print it (Ctrl+P).</t>
  </si>
  <si>
    <t>What it does</t>
  </si>
  <si>
    <t>Pro tip</t>
  </si>
  <si>
    <t>Every formula starts with an equals sign.</t>
  </si>
  <si>
    <t>Without =, Excel stores what you typed as plain text.</t>
  </si>
  <si>
    <t>Arithmetic: add, subtract, multiply, divide, power.</t>
  </si>
  <si>
    <t>* multiplies, / divides, ^ raises to a power (2^3 = 8).</t>
  </si>
  <si>
    <t>Order: parentheses, then ^, then * and /, then + and -.</t>
  </si>
  <si>
    <t>=2+3*4 is 14, but =(2+3)*4 is 20.</t>
  </si>
  <si>
    <t>Point at cells instead of typing numbers.</t>
  </si>
  <si>
    <t>Change B2 and the result updates by itself.</t>
  </si>
  <si>
    <t>Add up numbers: =SUM(B2:B10).</t>
  </si>
  <si>
    <t>A range is first:last joined by a colon.</t>
  </si>
  <si>
    <t>The mean of the numbers in a range.</t>
  </si>
  <si>
    <t>Blank cells and text are skipped, not counted as 0.</t>
  </si>
  <si>
    <t>The largest number in a range.</t>
  </si>
  <si>
    <t>Pair it with MIN to see the spread.</t>
  </si>
  <si>
    <t>The smallest number in a range.</t>
  </si>
  <si>
    <t>Text such as n/a is ignored.</t>
  </si>
  <si>
    <t>Count the cells that hold numbers.</t>
  </si>
  <si>
    <t>Text doesn't count: use COUNTA for any filled cell.</t>
  </si>
  <si>
    <t>Count the cells that are not empty (numbers, text, anything).</t>
  </si>
  <si>
    <t>The A stands for 'all'.</t>
  </si>
  <si>
    <t>AutoSum: insert =SUM() over the numbers above or to the left.</t>
  </si>
  <si>
    <t>Select the cell under a column of numbers, press Alt+=, then Enter.</t>
  </si>
  <si>
    <t>An absolute reference never shifts when the formula is copied.</t>
  </si>
  <si>
    <t>Use it for one fixed cell that every row needs, like a tax rate.</t>
  </si>
  <si>
    <t>Mixed reference: lock only the column ($A1) or only the row (A$1).</t>
  </si>
  <si>
    <t>Perfect for grids where one side stays fixed.</t>
  </si>
  <si>
    <t>While editing a reference, cycle A1 → $A$1 → A$1 → $A1.</t>
  </si>
  <si>
    <t>Click inside the reference in the formula, then tap F4.</t>
  </si>
  <si>
    <t>Fill Down: copy the top cell into the selected cells below.</t>
  </si>
  <si>
    <t>Select the formula cell plus the cells under it, then press Ctrl+D.</t>
  </si>
  <si>
    <t>Round to a number of digits: =ROUND(3.14159,2) gives 3.14.</t>
  </si>
  <si>
    <t>Negative digits round to tens or hundreds: =ROUND(1234,-2) is 1200.</t>
  </si>
  <si>
    <t>Always round away from zero: =ROUNDUP(2.1,0) gives 3.</t>
  </si>
  <si>
    <t>Good for 'how many boxes do I need?'</t>
  </si>
  <si>
    <t>Always round toward zero: chop off the extra digits.</t>
  </si>
  <si>
    <t>=ROUNDDOWN(7.86,1) gives 7.8.</t>
  </si>
  <si>
    <t>Show formulas instead of results; press again to switch back.</t>
  </si>
  <si>
    <t>The ` key sits left of 1. Great for spotting typed-over formulas.</t>
  </si>
  <si>
    <t>Edit the active cell; its references light up in color.</t>
  </si>
  <si>
    <t>Each colored reference matches a colored box on the sheet.</t>
  </si>
  <si>
    <t>While typing a function, Tab inserts the highlighted suggestion.</t>
  </si>
  <si>
    <t>Type =SU, arrow down to SUMIFS, press Tab: Excel types SUMIFS( for you.</t>
  </si>
  <si>
    <t>After a function name, insert its argument names.</t>
  </si>
  <si>
    <t>Type =XLOOKUP then Ctrl+Shift+A to see every argument at once.</t>
  </si>
  <si>
    <t>Open the Insert Function dialog.</t>
  </si>
  <si>
    <t>Search for a function by describing what you need.</t>
  </si>
</sst>
</file>

<file path=xl/styles.xml><?xml version="1.0" encoding="utf-8"?>
<styleSheet xmlns="http://schemas.openxmlformats.org/spreadsheetml/2006/main">
  <numFmts count="4">
    <numFmt numFmtId="164" formatCode="@"/>
    <numFmt numFmtId="165" formatCode="0%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0" fontId="16" fillId="5" borderId="1" xfId="0" applyFont="1" applyFill="1" applyBorder="1" applyAlignment="1" applyProtection="1">
      <alignment vertical="top"/>
      <protection locked="0"/>
    </xf>
    <xf numFmtId="165" fontId="5" fillId="0" borderId="0" xfId="0" applyNumberFormat="1" applyFont="1" applyAlignment="1">
      <alignment vertical="top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5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606</v>
      </c>
      <c r="B1" s="2"/>
      <c r="C1" s="2"/>
      <c r="D1" s="2"/>
      <c r="E1" s="2"/>
      <c r="F1" s="2"/>
    </row>
    <row r="2" spans="1:6">
      <c r="A2" s="3" t="s">
        <v>607</v>
      </c>
    </row>
    <row r="4" spans="1:6">
      <c r="A4" s="4" t="s">
        <v>608</v>
      </c>
      <c r="B4" s="4"/>
      <c r="C4" s="4"/>
      <c r="D4" s="4"/>
      <c r="E4" s="4"/>
      <c r="F4" s="4"/>
    </row>
    <row r="5" spans="1:6">
      <c r="A5" s="5" t="s">
        <v>609</v>
      </c>
    </row>
    <row r="6" spans="1:6">
      <c r="A6" s="5" t="s">
        <v>610</v>
      </c>
    </row>
    <row r="7" spans="1:6">
      <c r="A7" s="5" t="s">
        <v>611</v>
      </c>
    </row>
    <row r="8" spans="1:6">
      <c r="A8" s="5" t="s">
        <v>612</v>
      </c>
    </row>
    <row r="9" spans="1:6">
      <c r="A9" s="5" t="s">
        <v>613</v>
      </c>
    </row>
    <row r="11" spans="1:6">
      <c r="A11" s="4" t="s">
        <v>614</v>
      </c>
      <c r="B11" s="4"/>
      <c r="C11" s="4"/>
      <c r="D11" s="4"/>
      <c r="E11" s="4"/>
      <c r="F11" s="4"/>
    </row>
    <row r="12" spans="1:6">
      <c r="A12" s="6" t="s">
        <v>615</v>
      </c>
      <c r="B12" s="6" t="s">
        <v>616</v>
      </c>
      <c r="C12" s="6" t="s">
        <v>617</v>
      </c>
      <c r="D12" s="6" t="s">
        <v>618</v>
      </c>
      <c r="E12" s="6" t="s">
        <v>619</v>
      </c>
      <c r="F12" s="6" t="s">
        <v>620</v>
      </c>
    </row>
    <row r="13" spans="1:6">
      <c r="A13" s="7" t="s">
        <v>621</v>
      </c>
      <c r="B13" s="8" t="s">
        <v>622</v>
      </c>
      <c r="C13" s="9" cm="1" t="str">
        <f t="array" ref="C13">SUM('F1-1 Power Up'!$G$14:$G$37)&amp;" / 170"</f>
        <v>0 / 170</v>
      </c>
      <c r="D13" s="10" cm="1" t="str">
        <f t="array" ref="D13">IF(SUM('F1-1 Power Up'!$G$14:$G$37)&gt;=170,"★★★",IF(SUM('F1-1 Power Up'!$G$14:$G$37)&gt;=170*0.8,"★★☆",IF(SUM('F1-1 Power Up'!$G$14:$G$37)&gt;=170*0.5,"★☆☆","☆☆☆")))</f>
        <v>☆☆☆</v>
      </c>
      <c r="E13" s="9" cm="1" t="str">
        <f t="array" ref="E13">IF(SUM('F1-1 Power Up'!$G$14:$G$37)&gt;=170,"PERFECT",IF(SUM('F1-1 Power Up'!$G$14:$G$37)&gt;=170*0.5,"CLEARED",IF(SUM('F1-1 Power Up'!$G$14:$G$37)&gt;0,"IN PROGRESS","NEW")))</f>
        <v>NEW</v>
      </c>
      <c r="F13" s="11" t="s">
        <v>623</v>
      </c>
    </row>
    <row r="14" spans="1:6">
      <c r="A14" s="7" t="s">
        <v>624</v>
      </c>
      <c r="B14" s="8" t="s">
        <v>625</v>
      </c>
      <c r="C14" s="9" cm="1" t="str">
        <f t="array" ref="C14">SUM('F1-2 Big Six'!$G$17:$G$51)&amp;" / 280"</f>
        <v>0 / 280</v>
      </c>
      <c r="D14" s="10" cm="1" t="str">
        <f t="array" ref="D14">IF(SUM('F1-2 Big Six'!$G$17:$G$51)&gt;=280,"★★★",IF(SUM('F1-2 Big Six'!$G$17:$G$51)&gt;=280*0.8,"★★☆",IF(SUM('F1-2 Big Six'!$G$17:$G$51)&gt;=280*0.5,"★☆☆","☆☆☆")))</f>
        <v>☆☆☆</v>
      </c>
      <c r="E14" s="9" cm="1" t="str">
        <f t="array" ref="E14">IF(SUM('F1-2 Big Six'!$G$17:$G$51)&gt;=280,"PERFECT",IF(SUM('F1-2 Big Six'!$G$17:$G$51)&gt;=280*0.5,"CLEARED",IF(SUM('F1-2 Big Six'!$G$17:$G$51)&gt;0,"IN PROGRESS","NEW")))</f>
        <v>NEW</v>
      </c>
      <c r="F14" s="11" t="s">
        <v>626</v>
      </c>
    </row>
    <row r="15" spans="1:6">
      <c r="A15" s="7" t="s">
        <v>627</v>
      </c>
      <c r="B15" s="8" t="s">
        <v>628</v>
      </c>
      <c r="C15" s="9" cm="1" t="str">
        <f t="array" ref="C15">SUM('F1-3 Anchors'!$G$14:$G$40)&amp;" / 200"</f>
        <v>0 / 200</v>
      </c>
      <c r="D15" s="10" cm="1" t="str">
        <f t="array" ref="D15">IF(SUM('F1-3 Anchors'!$G$14:$G$40)&gt;=200,"★★★",IF(SUM('F1-3 Anchors'!$G$14:$G$40)&gt;=200*0.8,"★★☆",IF(SUM('F1-3 Anchors'!$G$14:$G$40)&gt;=200*0.5,"★☆☆","☆☆☆")))</f>
        <v>☆☆☆</v>
      </c>
      <c r="E15" s="9" cm="1" t="str">
        <f t="array" ref="E15">IF(SUM('F1-3 Anchors'!$G$14:$G$40)&gt;=200,"PERFECT",IF(SUM('F1-3 Anchors'!$G$14:$G$40)&gt;=200*0.5,"CLEARED",IF(SUM('F1-3 Anchors'!$G$14:$G$40)&gt;0,"IN PROGRESS","NEW")))</f>
        <v>NEW</v>
      </c>
      <c r="F15" s="11" t="s">
        <v>629</v>
      </c>
    </row>
    <row r="16" spans="1:6">
      <c r="A16" s="7" t="s">
        <v>630</v>
      </c>
      <c r="B16" s="8" t="s">
        <v>631</v>
      </c>
      <c r="C16" s="9" cm="1" t="str">
        <f t="array" ref="C16">SUM('F1-4 Precision'!$G$13:$G$33)&amp;" / 140"</f>
        <v>0 / 140</v>
      </c>
      <c r="D16" s="10" cm="1" t="str">
        <f t="array" ref="D16">IF(SUM('F1-4 Precision'!$G$13:$G$33)&gt;=140,"★★★",IF(SUM('F1-4 Precision'!$G$13:$G$33)&gt;=140*0.8,"★★☆",IF(SUM('F1-4 Precision'!$G$13:$G$33)&gt;=140*0.5,"★☆☆","☆☆☆")))</f>
        <v>☆☆☆</v>
      </c>
      <c r="E16" s="9" cm="1" t="str">
        <f t="array" ref="E16">IF(SUM('F1-4 Precision'!$G$13:$G$33)&gt;=140,"PERFECT",IF(SUM('F1-4 Precision'!$G$13:$G$33)&gt;=140*0.5,"CLEARED",IF(SUM('F1-4 Precision'!$G$13:$G$33)&gt;0,"IN PROGRESS","NEW")))</f>
        <v>NEW</v>
      </c>
      <c r="F16" s="11" t="s">
        <v>632</v>
      </c>
    </row>
    <row r="17" spans="1:6">
      <c r="A17" s="7" t="s">
        <v>633</v>
      </c>
      <c r="B17" s="8" t="s">
        <v>634</v>
      </c>
      <c r="C17" s="9" cm="1" t="str">
        <f t="array" ref="C17">SUM('F1-5 X-Ray'!$G$15:$G$42)&amp;" / 210"</f>
        <v>0 / 210</v>
      </c>
      <c r="D17" s="10" cm="1" t="str">
        <f t="array" ref="D17">IF(SUM('F1-5 X-Ray'!$G$15:$G$42)&gt;=210,"★★★",IF(SUM('F1-5 X-Ray'!$G$15:$G$42)&gt;=210*0.8,"★★☆",IF(SUM('F1-5 X-Ray'!$G$15:$G$42)&gt;=210*0.5,"★☆☆","☆☆☆")))</f>
        <v>☆☆☆</v>
      </c>
      <c r="E17" s="9" cm="1" t="str">
        <f t="array" ref="E17">IF(SUM('F1-5 X-Ray'!$G$15:$G$42)&gt;=210,"PERFECT",IF(SUM('F1-5 X-Ray'!$G$15:$G$42)&gt;=210*0.5,"CLEARED",IF(SUM('F1-5 X-Ray'!$G$15:$G$42)&gt;0,"IN PROGRESS","NEW")))</f>
        <v>NEW</v>
      </c>
      <c r="F17" s="11" t="s">
        <v>635</v>
      </c>
    </row>
    <row r="18" spans="1:6">
      <c r="A18" s="7" t="s">
        <v>636</v>
      </c>
      <c r="B18" s="8" t="s">
        <v>637</v>
      </c>
      <c r="C18" s="9" cm="1" t="str">
        <f t="array" ref="C18">SUM(Boss!$G$14:$G$33)&amp;" / 160"</f>
        <v>0 / 160</v>
      </c>
      <c r="D18" s="10" cm="1" t="str">
        <f t="array" ref="D18">IF(SUM(Boss!$G$14:$G$33)&gt;=160,"★★★",IF(SUM(Boss!$G$14:$G$33)&gt;=160*0.8,"★★☆",IF(SUM(Boss!$G$14:$G$33)&gt;=160*0.5,"★☆☆","☆☆☆")))</f>
        <v>☆☆☆</v>
      </c>
      <c r="E18" s="9" cm="1" t="str">
        <f t="array" ref="E18">IF(Boss!$C$10="OPEN",IF(SUM(Boss!$G$14:$G$33)&gt;=160*0.5,"DEFEATED","OPEN"),"LOCKED")</f>
        <v>LOCKED</v>
      </c>
      <c r="F18" s="11" t="s">
        <v>638</v>
      </c>
    </row>
    <row r="20" spans="1:6">
      <c r="A20" s="7" t="s">
        <v>639</v>
      </c>
      <c r="B20" s="12" cm="1" t="str">
        <f t="array" ref="B20">(SUM('F1-1 Power Up'!$G$14:$G$37)+SUM('F1-2 Big Six'!$G$17:$G$51)+SUM('F1-3 Anchors'!$G$14:$G$40)+SUM('F1-4 Precision'!$G$13:$G$33)+SUM('F1-5 X-Ray'!$G$15:$G$42)+SUM(Boss!$G$14:$G$33))&amp;" / 1160"</f>
        <v>0 / 1160</v>
      </c>
    </row>
    <row r="21" spans="1:6">
      <c r="A21" s="7" t="s">
        <v>640</v>
      </c>
      <c r="B21" s="12" cm="1" t="str">
        <f t="array" ref="B21">_xlfn.LET(_xlpm.p,(SUM('F1-1 Power Up'!$G$14:$G$37)+SUM('F1-2 Big Six'!$G$17:$G$51)+SUM('F1-3 Anchors'!$G$14:$G$40)+SUM('F1-4 Precision'!$G$13:$G$33)+SUM('F1-5 X-Ray'!$G$15:$G$42)+SUM(Boss!$G$14:$G$33))/1160,IF(AND(_xlpm.p&gt;=1,ISNUMBER(Boss!$C$8),Boss!$C$8&lt;=15),"S",IF(_xlpm.p&gt;=0.9,"A",IF(_xlpm.p&gt;=0.75,"B",IF(_xlpm.p&gt;=0.5,"C","D")))))</f>
        <v>D</v>
      </c>
      <c r="C21" s="13" t="s">
        <v>641</v>
      </c>
    </row>
    <row r="22" spans="1:6">
      <c r="A22" s="7" t="s">
        <v>642</v>
      </c>
      <c r="B22" s="12" cm="1" t="str">
        <f t="array" ref="B22">IF(ISNUMBER(Boss!$C$8),Boss!$C$8&amp;" min (par 15)","—")</f>
        <v>—</v>
      </c>
    </row>
    <row r="23" spans="1:6">
      <c r="A23" s="7" t="s">
        <v>643</v>
      </c>
      <c r="B23" s="12" cm="1" t="str">
        <f t="array" ref="B23">IFERROR(INDEX($A$13:$A$17,MATCH("☆☆☆",$D$13:$D$17,0))&amp;" "&amp;INDEX($B$13:$B$17,MATCH("☆☆☆",$D$13:$D$17,0)),IF(Boss!$C$10="OPEN","the Boss","All clear! Aim for rank S"))</f>
        <v>F1-1 Power Up</v>
      </c>
    </row>
    <row r="25" spans="1:6">
      <c r="A25" s="13" t="s">
        <v>644</v>
      </c>
    </row>
  </sheetData>
  <sheetProtection sheet="1" objects="1" scenarios="1" formatColumns="0" formatRows="0"/>
  <hyperlinks>
    <hyperlink ref="F13" location="'F1-1 Power Up'!A1" display="Go to F1-1 Power Up"/>
    <hyperlink ref="F14" location="'F1-2 Big Six'!A1" display="Go to F1-2 Big Six"/>
    <hyperlink ref="F15" location="'F1-3 Anchors'!A1" display="Go to F1-3 Anchors"/>
    <hyperlink ref="F16" location="'F1-4 Precision'!A1" display="Go to F1-4 Precision"/>
    <hyperlink ref="F17" location="'F1-5 X-Ray'!A1" display="Go to F1-5 X-Ray"/>
    <hyperlink ref="F18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129</v>
      </c>
      <c r="B1" s="2"/>
      <c r="C1" s="2"/>
      <c r="D1" s="2"/>
      <c r="E1" s="2"/>
      <c r="F1" s="2"/>
      <c r="G1" s="2"/>
    </row>
    <row r="2" spans="1:7">
      <c r="A2" s="3" t="s">
        <v>130</v>
      </c>
    </row>
    <row r="3" spans="1:7" ht="26" customHeight="1">
      <c r="A3" s="14" cm="1" t="str">
        <f t="array" ref="A3">"SCORE "&amp;TEXT(SUM($G$14:$G$37),"0000")&amp;" / 0170"</f>
        <v>SCORE 0000 / 0170</v>
      </c>
      <c r="C3" s="15" cm="1" t="str">
        <f t="array" ref="C3">IF(SUM($G$14:$G$37)&gt;=170,"★★★",IF(SUM($G$14:$G$37)&gt;=170*0.8,"★★☆",IF(SUM($G$14:$G$37)&gt;=170*0.5,"★☆☆","☆☆☆")))</f>
        <v>☆☆☆</v>
      </c>
      <c r="D3" s="16" cm="1" t="str">
        <f t="array" ref="D3">REPT("█",ROUND(10*SUM($G$14:$G$37)/170,0))&amp;REPT("░",10-ROUND(10*SUM($G$14:$G$37)/170,0))&amp;"  "&amp;TEXT(SUM($G$14:$G$37)/170,"0%")</f>
        <v>░░░░░░░░░░  0%</v>
      </c>
      <c r="F3" s="17" cm="1" t="str">
        <f t="array" ref="F3">IF(SUM($G$14:$G$37)&gt;=170*0.5,"STAGE CLEAR! ▶ Next: F1-2 Big Six","")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51.25" customHeight="1">
      <c r="A7" s="18" t="s">
        <v>25</v>
      </c>
      <c r="B7" s="8" t="s">
        <v>26</v>
      </c>
      <c r="C7" s="19" t="s">
        <v>27</v>
      </c>
    </row>
    <row r="8" spans="1:7" ht="67" customHeight="1">
      <c r="A8" s="18" t="s">
        <v>28</v>
      </c>
      <c r="B8" s="8" t="s">
        <v>29</v>
      </c>
      <c r="C8" s="19" t="s">
        <v>30</v>
      </c>
    </row>
    <row r="9" spans="1:7" ht="51.25" customHeight="1">
      <c r="A9" s="18" t="s">
        <v>31</v>
      </c>
      <c r="B9" s="8" t="s">
        <v>32</v>
      </c>
      <c r="C9" s="19" t="s">
        <v>33</v>
      </c>
    </row>
    <row r="10" spans="1:7" ht="51.25" customHeight="1">
      <c r="A10" s="18" t="s">
        <v>34</v>
      </c>
      <c r="B10" s="8" t="s">
        <v>35</v>
      </c>
      <c r="C10" s="19" t="s">
        <v>36</v>
      </c>
    </row>
    <row r="12" spans="1:7" ht="22" customHeight="1">
      <c r="A12" s="4" t="s">
        <v>37</v>
      </c>
      <c r="B12" s="4"/>
      <c r="C12" s="4"/>
      <c r="D12" s="4"/>
      <c r="E12" s="4"/>
      <c r="F12" s="4"/>
      <c r="G12" s="4"/>
    </row>
    <row r="13" spans="1:7">
      <c r="A13" s="6" t="s">
        <v>22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1</v>
      </c>
      <c r="G13" s="6" t="s">
        <v>42</v>
      </c>
    </row>
    <row r="14" spans="1:7" ht="35.5" customHeight="1">
      <c r="A14" s="18" t="s">
        <v>47</v>
      </c>
      <c r="B14" s="8" t="s">
        <v>48</v>
      </c>
      <c r="C14" s="20"/>
      <c r="D14" s="21" cm="1" t="str">
        <f t="array" ref="D14">IFERROR(_xlfn.LET(_xlpm.a,'F1-1 Power Up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F$2),"✔ CLEAR","✘ TRY AGAIN"))),"✘ TRY AGAIN")</f>
        <v/>
      </c>
      <c r="E14" s="22"/>
      <c r="F14" s="23" cm="1" t="str">
        <f t="array" ref="F14">IF(E14="Show hint",Key!$B$2,"")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52</v>
      </c>
      <c r="B15" s="8" t="s">
        <v>53</v>
      </c>
      <c r="C15" s="20"/>
      <c r="D15" s="21" cm="1" t="str">
        <f t="array" ref="D15">IFERROR(_xlfn.LET(_xlpm.a,'F1-1 Power Up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E$3),"✔ CLEAR","✘ TRY AGAIN"))),"✘ TRY AGAIN")</f>
        <v/>
      </c>
      <c r="E15" s="22"/>
      <c r="F15" s="23" cm="1" t="str">
        <f t="array" ref="F15">IF(E15="Show hint",Key!$B$3,"")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57</v>
      </c>
      <c r="B16" s="8" t="s">
        <v>58</v>
      </c>
      <c r="C16" s="20"/>
      <c r="D16" s="21" cm="1" t="str">
        <f t="array" ref="D16">IFERROR(_xlfn.LET(_xlpm.a,'F1-1 Power Up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E$4),"✔ CLEAR","✘ TRY AGAIN"))),"✘ TRY AGAIN")</f>
        <v/>
      </c>
      <c r="E16" s="22"/>
      <c r="F16" s="23" cm="1" t="str">
        <f t="array" ref="F16">IF(E16="Show hint",Key!$B$4,"")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62</v>
      </c>
      <c r="B17" s="8" t="s">
        <v>63</v>
      </c>
      <c r="C17" s="20"/>
      <c r="D17" s="21" cm="1" t="str">
        <f t="array" ref="D17">IFERROR(_xlfn.LET(_xlpm.a,'F1-1 Power Up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E17" s="22"/>
      <c r="F17" s="23" cm="1" t="str">
        <f t="array" ref="F17">IF(E17="Show hint",Key!$B$5,"")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67</v>
      </c>
      <c r="B18" s="8" t="s">
        <v>68</v>
      </c>
      <c r="C18" s="20"/>
      <c r="D18" s="21" cm="1" t="str">
        <f t="array" ref="D18">IFERROR(_xlfn.LET(_xlpm.a,'F1-1 Power Up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18" s="22"/>
      <c r="F18" s="23" cm="1" t="str">
        <f t="array" ref="F18">IF(E18="Show hint",Key!$B$6,"")</f>
        <v/>
      </c>
      <c r="G18" s="24" cm="1">
        <f t="array" ref="G18">IF(LEFT(D18,1)="✔",IF(E18="Show hint",5,10),0)</f>
        <v>0</v>
      </c>
    </row>
    <row r="20" spans="1:7" ht="22" customHeight="1">
      <c r="A20" s="4" t="s">
        <v>69</v>
      </c>
      <c r="B20" s="4"/>
      <c r="C20" s="4"/>
      <c r="D20" s="4"/>
      <c r="E20" s="4"/>
      <c r="F20" s="4"/>
      <c r="G20" s="4"/>
    </row>
    <row r="21" spans="1:7">
      <c r="A21" s="6" t="s">
        <v>22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1</v>
      </c>
      <c r="G21" s="6" t="s">
        <v>42</v>
      </c>
    </row>
    <row r="22" spans="1:7" ht="19.75" customHeight="1">
      <c r="A22" s="18" t="s">
        <v>73</v>
      </c>
      <c r="B22" s="8" t="s">
        <v>74</v>
      </c>
      <c r="C22" s="20"/>
      <c r="D22" s="21" cm="1" t="str">
        <f t="array" ref="D22">IFERROR(IF('F1-1 Power Up'!$C$22&amp;""="","",IF('F1-1 Power Up'!$C$22&amp;""=Key!$C$7&amp;"","✔ CLEAR","✘ TRY AGAIN")),"✘ TRY AGAIN")</f>
        <v/>
      </c>
      <c r="E22" s="22"/>
      <c r="F22" s="23" cm="1" t="str">
        <f t="array" ref="F22">IF(E22="Show hint",Key!$B$7,"")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78</v>
      </c>
      <c r="B23" s="8" t="s">
        <v>79</v>
      </c>
      <c r="C23" s="20"/>
      <c r="D23" s="21" cm="1" t="str">
        <f t="array" ref="D23">IFERROR(IF('F1-1 Power Up'!$C$23&amp;""="","",IF('F1-1 Power Up'!$C$23&amp;""=Key!$C$8&amp;"","✔ CLEAR","✘ TRY AGAIN")),"✘ TRY AGAIN")</f>
        <v/>
      </c>
      <c r="E23" s="22"/>
      <c r="F23" s="23" cm="1" t="str">
        <f t="array" ref="F23">IF(E23="Show hint",Key!$B$8,"")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82</v>
      </c>
      <c r="B24" s="8" t="s">
        <v>83</v>
      </c>
      <c r="C24" s="20"/>
      <c r="D24" s="21" cm="1" t="str">
        <f t="array" ref="D24">IFERROR(IF('F1-1 Power Up'!$C$24&amp;""="","",IF('F1-1 Power Up'!$C$24&amp;""=Key!$C$9&amp;"","✔ CLEAR","✘ TRY AGAIN")),"✘ TRY AGAIN")</f>
        <v/>
      </c>
      <c r="E24" s="22"/>
      <c r="F24" s="23" cm="1" t="str">
        <f t="array" ref="F24">IF(E24="Show hint",Key!$B$9,"")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86</v>
      </c>
      <c r="B25" s="8" t="s">
        <v>87</v>
      </c>
      <c r="C25" s="20"/>
      <c r="D25" s="21" cm="1" t="str">
        <f t="array" ref="D25">IFERROR(IF('F1-1 Power Up'!$C$25&amp;""="","",IF('F1-1 Power Up'!$C$25&amp;""=Key!$C$10&amp;"","✔ CLEAR","✘ TRY AGAIN")),"✘ TRY AGAIN")</f>
        <v/>
      </c>
      <c r="E25" s="22"/>
      <c r="F25" s="23" cm="1" t="str">
        <f t="array" ref="F25">IF(E25="Show hint",Key!$B$10,"")</f>
        <v/>
      </c>
      <c r="G25" s="24" cm="1">
        <f t="array" ref="G25">IF(LEFT(D25,1)="✔",IF(E25="Show hint",5,10),0)</f>
        <v>0</v>
      </c>
    </row>
    <row r="27" spans="1:7" ht="22" customHeight="1">
      <c r="A27" s="4" t="s">
        <v>88</v>
      </c>
      <c r="B27" s="4"/>
      <c r="C27" s="4"/>
      <c r="D27" s="4"/>
      <c r="E27" s="4"/>
      <c r="F27" s="4"/>
      <c r="G27" s="4"/>
    </row>
    <row r="28" spans="1:7">
      <c r="B28" s="11" t="s">
        <v>89</v>
      </c>
    </row>
    <row r="29" spans="1:7">
      <c r="A29" s="6" t="s">
        <v>22</v>
      </c>
      <c r="B29" s="6" t="s">
        <v>38</v>
      </c>
      <c r="C29" s="6" t="s">
        <v>39</v>
      </c>
      <c r="D29" s="6" t="s">
        <v>40</v>
      </c>
      <c r="E29" s="6" t="s">
        <v>41</v>
      </c>
      <c r="F29" s="6" t="s">
        <v>1</v>
      </c>
      <c r="G29" s="6" t="s">
        <v>42</v>
      </c>
    </row>
    <row r="30" spans="1:7" ht="19.75" customHeight="1">
      <c r="A30" s="18" t="s">
        <v>94</v>
      </c>
      <c r="B30" s="8" t="s">
        <v>74</v>
      </c>
      <c r="C30" s="20"/>
      <c r="D30" s="21" cm="1" t="str">
        <f t="array" ref="D30">IFERROR(_xlfn.LET(_xlpm.a,'F1-1 Power Up'!$C$30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H$11),"✔ CLEAR","✘ TRY AGAIN"))),"✘ TRY AGAIN")</f>
        <v/>
      </c>
      <c r="E30" s="22"/>
      <c r="F30" s="23" cm="1" t="str">
        <f t="array" ref="F30">IF(E30="Show hint",Key!$B$11,"")</f>
        <v/>
      </c>
      <c r="G30" s="24" cm="1">
        <f t="array" ref="G30">IF(LEFT(D30,1)="✔",IF(E30="Show hint",5,10),0)</f>
        <v>0</v>
      </c>
    </row>
    <row r="31" spans="1:7" ht="19.75" customHeight="1">
      <c r="A31" s="18" t="s">
        <v>98</v>
      </c>
      <c r="B31" s="8" t="s">
        <v>99</v>
      </c>
      <c r="C31" s="20"/>
      <c r="D31" s="21" cm="1" t="str">
        <f t="array" ref="D31">IFERROR(_xlfn.LET(_xlpm.a,'F1-1 Power Up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:$F$12),"✔ CLEAR","✘ TRY AGAIN"))),"✘ TRY AGAIN")</f>
        <v/>
      </c>
      <c r="E31" s="22"/>
      <c r="F31" s="23" cm="1" t="str">
        <f t="array" ref="F31">IF(E31="Show hint",Key!$B$12,"")</f>
        <v/>
      </c>
      <c r="G31" s="24" cm="1">
        <f t="array" ref="G31">IF(LEFT(D31,1)="✔",IF(E31="Show hint",5,10),0)</f>
        <v>0</v>
      </c>
    </row>
    <row r="32" spans="1:7" ht="19.75" customHeight="1">
      <c r="A32" s="18" t="s">
        <v>102</v>
      </c>
      <c r="B32" s="8" t="s">
        <v>103</v>
      </c>
      <c r="C32" s="20"/>
      <c r="D32" s="21" cm="1" t="str">
        <f t="array" ref="D32">IFERROR(_xlfn.LET(_xlpm.a,'F1-1 Power Up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:$E$13),"✔ CLEAR","✘ TRY AGAIN"))),"✘ TRY AGAIN")</f>
        <v/>
      </c>
      <c r="E32" s="22"/>
      <c r="F32" s="23" cm="1" t="str">
        <f t="array" ref="F32">IF(E32="Show hint",Key!$B$13,"")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108</v>
      </c>
      <c r="B33" s="8" t="s">
        <v>109</v>
      </c>
      <c r="C33" s="20"/>
      <c r="D33" s="21" cm="1" t="str">
        <f t="array" ref="D33">IFERROR(_xlfn.LET(_xlpm.a,'F1-1 Power Up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:$H$14),"✔ CLEAR","✘ TRY AGAIN"))),"✘ TRY AGAIN")</f>
        <v/>
      </c>
      <c r="E33" s="22"/>
      <c r="F33" s="23" cm="1" t="str">
        <f t="array" ref="F33">IF(E33="Show hint",Key!$B$14,"")</f>
        <v/>
      </c>
      <c r="G33" s="24" cm="1">
        <f t="array" ref="G33">IF(LEFT(D33,1)="✔",IF(E33="Show hint",5,10),0)</f>
        <v>0</v>
      </c>
    </row>
    <row r="34" spans="1:7" ht="51.25" customHeight="1">
      <c r="A34" s="18" t="s">
        <v>112</v>
      </c>
      <c r="B34" s="8" t="s">
        <v>113</v>
      </c>
      <c r="C34" s="11" t="s">
        <v>114</v>
      </c>
      <c r="D34" s="21" cm="1" t="str">
        <f t="array" ref="D34">IF(ISBLANK('F1-1 Arena'!$F$6),"",IF(NOT(_xlfn.ISFORMULA('F1-1 Arena'!$F$6)),"✘ That's a typed value · enter a formula",IF(ISERROR('F1-1 Arena'!$F$6),"✘ Your formula returns "&amp;IFERROR(CHOOSE(ERROR.TYPE('F1-1 Arena'!$F$6),"#NULL!","#DIV/0!","#VALUE!","#REF!","#NAME?","#NUM!","#N/A","#GETTING_DATA","#SPILL!","#CONNECT!","#BLOCKED!","#UNKNOWN!","#FIELD!","#CALC!"),"an error"),IF(NOT(AND(IFERROR(AND(ISNUMBER('F1-1 Arena'!$F$6),ABS('F1-1 Arena'!$F$6-Key!$C$15)&lt;=1E-9*MAX(1,ABS(Key!$C$15))),FALSE))),"✘ TRY AGAIN","✔ CLEAR"))))</f>
        <v/>
      </c>
      <c r="E34" s="22"/>
      <c r="F34" s="23" cm="1" t="str">
        <f t="array" ref="F34">IF(E34="Show hint",Key!$B$15,"")</f>
        <v/>
      </c>
      <c r="G34" s="24" cm="1">
        <f t="array" ref="G34">IF(LEFT(D34,1)="✔",IF(E34="Show hint",5,10),0)</f>
        <v>0</v>
      </c>
    </row>
    <row r="35" spans="1:7" ht="51.25" customHeight="1">
      <c r="A35" s="18" t="s">
        <v>117</v>
      </c>
      <c r="B35" s="8" t="s">
        <v>118</v>
      </c>
      <c r="C35" s="11" t="s">
        <v>119</v>
      </c>
      <c r="D35" s="21" cm="1" t="str">
        <f t="array" ref="D35">IF(ISBLANK('F1-1 Arena'!$F$7),"",IF(NOT(_xlfn.ISFORMULA('F1-1 Arena'!$F$7)),"✘ That's a typed value · enter a formula",IF(ISERROR('F1-1 Arena'!$F$7),"✘ Your formula returns "&amp;IFERROR(CHOOSE(ERROR.TYPE('F1-1 Arena'!$F$7),"#NULL!","#DIV/0!","#VALUE!","#REF!","#NAME?","#NUM!","#N/A","#GETTING_DATA","#SPILL!","#CONNECT!","#BLOCKED!","#UNKNOWN!","#FIELD!","#CALC!"),"an error"),IF(NOT(AND(IFERROR(AND(ISNUMBER('F1-1 Arena'!$F$7),ABS('F1-1 Arena'!$F$7-Key!$C$16)&lt;=1E-9*MAX(1,ABS(Key!$C$16))),FALSE))),"✘ TRY AGAIN","✔ CLEAR"))))</f>
        <v/>
      </c>
      <c r="E35" s="22"/>
      <c r="F35" s="23" cm="1" t="str">
        <f t="array" ref="F35">IF(E35="Show hint",Key!$B$16,"")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122</v>
      </c>
      <c r="B36" s="8" t="s">
        <v>123</v>
      </c>
      <c r="C36" s="11" t="s">
        <v>124</v>
      </c>
      <c r="D36" s="21" cm="1" t="str">
        <f t="array" ref="D36">IF(ISBLANK('F1-1 Arena'!$F$8),"",IF(NOT(_xlfn.ISFORMULA('F1-1 Arena'!$F$8)),"✘ That's a typed value · enter a formula",IF(ISERROR('F1-1 Arena'!$F$8),"✘ Your formula returns "&amp;IFERROR(CHOOSE(ERROR.TYPE('F1-1 Arena'!$F$8),"#NULL!","#DIV/0!","#VALUE!","#REF!","#NAME?","#NUM!","#N/A","#GETTING_DATA","#SPILL!","#CONNECT!","#BLOCKED!","#UNKNOWN!","#FIELD!","#CALC!"),"an error"),IF(NOT(AND(IFERROR(AND(ISNUMBER('F1-1 Arena'!$F$8),ABS('F1-1 Arena'!$F$8-Key!$C$17)&lt;=1E-9*MAX(1,ABS(Key!$C$17))),FALSE))),"✘ TRY AGAIN",IF(ISNUMBER(FIND("^",_xlfn.FORMULATEXT('F1-1 Arena'!$F$8))),"✔ CLEAR","✘ CLOSE · your formula needs ^")))))</f>
        <v/>
      </c>
      <c r="E36" s="22"/>
      <c r="F36" s="23" cm="1" t="str">
        <f t="array" ref="F36">IF(E36="Show hint",Key!$B$17,"")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127</v>
      </c>
      <c r="B37" s="8" t="s">
        <v>128</v>
      </c>
      <c r="C37" s="20"/>
      <c r="D37" s="21" cm="1" t="str">
        <f t="array" ref="D37">IFERROR(_xlfn.LET(_xlpm.a,'F1-1 Power Up'!$C$37,IF(TRIM(_xlpm.a&amp;"")="","",IF(ABS(IF(ISNUMBER(_xlpm.a),_xlpm.a,VALUE(_xlpm.a&amp;""))-Key!$C$18)&lt;=1E-9*MAX(1,ABS(Key!$C$18)),"✔ CLEAR","✘ TRY AGAIN"))),"✘ TRY AGAIN")</f>
        <v/>
      </c>
      <c r="E37" s="22"/>
      <c r="F37" s="23" cm="1" t="str">
        <f t="array" ref="F37">IF(E37="Show hint",Key!$B$18,"")</f>
        <v/>
      </c>
      <c r="G37" s="24" cm="1">
        <f t="array" ref="G37">IF(LEFT(D37,1)="✔",IF(E37="Show hint",5,10),0)</f>
        <v>0</v>
      </c>
    </row>
  </sheetData>
  <sheetProtection sheet="1" objects="1" scenarios="1" formatColumns="0" formatRows="0"/>
  <conditionalFormatting sqref="D14:D37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1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2">
      <formula1>Key!$E$7:$H$7</formula1>
    </dataValidation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3">
      <formula1>Key!$E$8:$H$8</formula1>
    </dataValidation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4">
      <formula1>Key!$E$9:$H$9</formula1>
    </dataValidation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Key!$E$10:$H$10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what you found" prompt="Do the move in the arena, then type the word or number you found here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</dataValidations>
  <hyperlinks>
    <hyperlink ref="B28" location="'F1-1 Arena'!A1" display="▶ Open F1-1 Arena (or press Ctrl+PgDn)"/>
    <hyperlink ref="C34" location="'F1-1 Arena'!F6" tooltip="Go to F1-1 Arena, cell F6" display="▶ ARENA C5 (cell F6)"/>
    <hyperlink ref="C35" location="'F1-1 Arena'!F7" tooltip="Go to F1-1 Arena, cell F7" display="▶ ARENA C6 (cell F7)"/>
    <hyperlink ref="C36" location="'F1-1 Arena'!F8" tooltip="Go to F1-1 Arena, cell F8" display="▶ ARENA C7 (cell F8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4.7109375" customWidth="1"/>
    <col min="2" max="4" width="13.7109375" customWidth="1"/>
    <col min="5" max="5" width="26.7109375" customWidth="1"/>
    <col min="6" max="26" width="13.7109375" customWidth="1"/>
  </cols>
  <sheetData>
    <row r="1" spans="1:6">
      <c r="A1" s="1" t="s">
        <v>4</v>
      </c>
    </row>
    <row r="2" spans="1:6">
      <c r="A2" s="3" t="s">
        <v>5</v>
      </c>
    </row>
    <row r="3" spans="1:6">
      <c r="A3" s="25" t="s">
        <v>6</v>
      </c>
      <c r="B3" s="26" t="s">
        <v>7</v>
      </c>
      <c r="D3" s="11" t="s">
        <v>8</v>
      </c>
    </row>
    <row r="5" spans="1:6">
      <c r="B5" s="27" t="s">
        <v>9</v>
      </c>
      <c r="C5" s="27" t="s">
        <v>10</v>
      </c>
      <c r="D5" s="27" t="s">
        <v>11</v>
      </c>
      <c r="E5" s="7" t="s">
        <v>16</v>
      </c>
    </row>
    <row r="6" spans="1:6">
      <c r="B6" s="5" t="s">
        <v>12</v>
      </c>
      <c r="C6" s="5">
        <v>2.5</v>
      </c>
      <c r="D6" s="5">
        <v>4</v>
      </c>
      <c r="E6" s="5" t="s">
        <v>17</v>
      </c>
      <c r="F6" s="28"/>
    </row>
    <row r="7" spans="1:6">
      <c r="B7" s="5" t="s">
        <v>13</v>
      </c>
      <c r="C7" s="5">
        <v>3</v>
      </c>
      <c r="D7" s="5">
        <v>6</v>
      </c>
      <c r="E7" s="5" t="s">
        <v>18</v>
      </c>
      <c r="F7" s="28"/>
    </row>
    <row r="8" spans="1:6">
      <c r="B8" s="5" t="s">
        <v>14</v>
      </c>
      <c r="C8" s="5">
        <v>1.75</v>
      </c>
      <c r="D8" s="5">
        <v>8</v>
      </c>
      <c r="E8" s="5" t="s">
        <v>19</v>
      </c>
      <c r="F8" s="28"/>
    </row>
    <row r="9" spans="1:6">
      <c r="B9" s="5" t="s">
        <v>15</v>
      </c>
      <c r="C9" s="5">
        <v>0.5</v>
      </c>
      <c r="D9" s="5">
        <v>20</v>
      </c>
      <c r="E9" s="5" t="s">
        <v>20</v>
      </c>
      <c r="F9" s="28"/>
    </row>
  </sheetData>
  <hyperlinks>
    <hyperlink ref="D3" location="'F1-1 Power Up'!A1" display="◀ Back to F1-1 Power Up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5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313</v>
      </c>
      <c r="B1" s="2"/>
      <c r="C1" s="2"/>
      <c r="D1" s="2"/>
      <c r="E1" s="2"/>
      <c r="F1" s="2"/>
      <c r="G1" s="2"/>
    </row>
    <row r="2" spans="1:7">
      <c r="A2" s="3" t="s">
        <v>314</v>
      </c>
    </row>
    <row r="3" spans="1:7" ht="26" customHeight="1">
      <c r="A3" s="14" cm="1" t="str">
        <f t="array" ref="A3">"SCORE "&amp;TEXT(SUM($G$17:$G$51),"0000")&amp;" / 0280"</f>
        <v>SCORE 0000 / 0280</v>
      </c>
      <c r="C3" s="15" cm="1" t="str">
        <f t="array" ref="C3">IF(SUM($G$17:$G$51)&gt;=280,"★★★",IF(SUM($G$17:$G$51)&gt;=280*0.8,"★★☆",IF(SUM($G$17:$G$51)&gt;=280*0.5,"★☆☆","☆☆☆")))</f>
        <v>☆☆☆</v>
      </c>
      <c r="D3" s="16" cm="1" t="str">
        <f t="array" ref="D3">REPT("█",ROUND(10*SUM($G$17:$G$51)/280,0))&amp;REPT("░",10-ROUND(10*SUM($G$17:$G$51)/280,0))&amp;"  "&amp;TEXT(SUM($G$17:$G$51)/280,"0%")</f>
        <v>░░░░░░░░░░  0%</v>
      </c>
      <c r="F3" s="17" cm="1" t="str">
        <f t="array" ref="F3">IF(SUM($G$17:$G$51)&gt;=280*0.5,"STAGE CLEAR! ▶ Next: F1-3 Anchors","")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35.5" customHeight="1">
      <c r="A7" s="18" t="s">
        <v>25</v>
      </c>
      <c r="B7" s="8" t="s">
        <v>156</v>
      </c>
      <c r="C7" s="19" t="s">
        <v>157</v>
      </c>
    </row>
    <row r="8" spans="1:7" ht="51.25" customHeight="1">
      <c r="A8" s="18" t="s">
        <v>28</v>
      </c>
      <c r="B8" s="8" t="s">
        <v>158</v>
      </c>
      <c r="C8" s="19" t="s">
        <v>159</v>
      </c>
    </row>
    <row r="9" spans="1:7" ht="35.5" customHeight="1">
      <c r="A9" s="18" t="s">
        <v>31</v>
      </c>
      <c r="B9" s="8" t="s">
        <v>160</v>
      </c>
      <c r="C9" s="19" t="s">
        <v>161</v>
      </c>
    </row>
    <row r="10" spans="1:7" ht="35.5" customHeight="1">
      <c r="A10" s="18" t="s">
        <v>34</v>
      </c>
      <c r="B10" s="8" t="s">
        <v>162</v>
      </c>
      <c r="C10" s="19" t="s">
        <v>163</v>
      </c>
    </row>
    <row r="11" spans="1:7" ht="51.25" customHeight="1">
      <c r="A11" s="18" t="s">
        <v>164</v>
      </c>
      <c r="B11" s="8" t="s">
        <v>165</v>
      </c>
      <c r="C11" s="19" t="s">
        <v>166</v>
      </c>
    </row>
    <row r="12" spans="1:7" ht="51.25" customHeight="1">
      <c r="A12" s="18" t="s">
        <v>167</v>
      </c>
      <c r="B12" s="8" t="s">
        <v>168</v>
      </c>
      <c r="C12" s="19" t="s">
        <v>169</v>
      </c>
    </row>
    <row r="13" spans="1:7" ht="67" customHeight="1">
      <c r="A13" s="18" t="s">
        <v>170</v>
      </c>
      <c r="B13" s="8" t="s">
        <v>171</v>
      </c>
      <c r="C13" s="19" t="s">
        <v>172</v>
      </c>
    </row>
    <row r="15" spans="1:7" ht="22" customHeight="1">
      <c r="A15" s="4" t="s">
        <v>37</v>
      </c>
      <c r="B15" s="4"/>
      <c r="C15" s="4"/>
      <c r="D15" s="4"/>
      <c r="E15" s="4"/>
      <c r="F15" s="4"/>
      <c r="G15" s="4"/>
    </row>
    <row r="16" spans="1:7">
      <c r="A16" s="6" t="s">
        <v>22</v>
      </c>
      <c r="B16" s="6" t="s">
        <v>38</v>
      </c>
      <c r="C16" s="6" t="s">
        <v>39</v>
      </c>
      <c r="D16" s="6" t="s">
        <v>40</v>
      </c>
      <c r="E16" s="6" t="s">
        <v>41</v>
      </c>
      <c r="F16" s="6" t="s">
        <v>1</v>
      </c>
      <c r="G16" s="6" t="s">
        <v>42</v>
      </c>
    </row>
    <row r="17" spans="1:7" ht="35.5" customHeight="1">
      <c r="A17" s="18" t="s">
        <v>47</v>
      </c>
      <c r="B17" s="8" t="s">
        <v>174</v>
      </c>
      <c r="C17" s="20"/>
      <c r="D17" s="21" cm="1" t="str">
        <f t="array" ref="D17">IFERROR(_xlfn.LET(_xlpm.a,'F1-2 Big Six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H$19),"✔ CLEAR","✘ TRY AGAIN"))),"✘ TRY AGAIN")</f>
        <v/>
      </c>
      <c r="E17" s="22"/>
      <c r="F17" s="23" cm="1" t="str">
        <f t="array" ref="F17">IF(E17="Show hint",Key!$B$19,"")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52</v>
      </c>
      <c r="B18" s="8" t="s">
        <v>176</v>
      </c>
      <c r="C18" s="20"/>
      <c r="D18" s="21" cm="1" t="str">
        <f t="array" ref="D18">IFERROR(_xlfn.LET(_xlpm.a,'F1-2 Big Six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F$20),"✔ CLEAR","✘ TRY AGAIN"))),"✘ TRY AGAIN")</f>
        <v/>
      </c>
      <c r="E18" s="22"/>
      <c r="F18" s="23" cm="1" t="str">
        <f t="array" ref="F18">IF(E18="Show hint",Key!$B$20,"")</f>
        <v/>
      </c>
      <c r="G18" s="24" cm="1">
        <f t="array" ref="G18">IF(LEFT(D18,1)="✔",IF(E18="Show hint",5,10),0)</f>
        <v>0</v>
      </c>
    </row>
    <row r="19" spans="1:7" ht="19.75" customHeight="1">
      <c r="A19" s="18" t="s">
        <v>57</v>
      </c>
      <c r="B19" s="8" t="s">
        <v>178</v>
      </c>
      <c r="C19" s="20"/>
      <c r="D19" s="21" cm="1" t="str">
        <f t="array" ref="D19">IFERROR(_xlfn.LET(_xlpm.a,'F1-2 Big Six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E$21),"✔ CLEAR","✘ TRY AGAIN"))),"✘ TRY AGAIN")</f>
        <v/>
      </c>
      <c r="E19" s="22"/>
      <c r="F19" s="23" cm="1" t="str">
        <f t="array" ref="F19">IF(E19="Show hint",Key!$B$21,"")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62</v>
      </c>
      <c r="B20" s="8" t="s">
        <v>180</v>
      </c>
      <c r="C20" s="20"/>
      <c r="D20" s="21" cm="1" t="str">
        <f t="array" ref="D20">IFERROR(_xlfn.LET(_xlpm.a,'F1-2 Big Six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H$22),"✔ CLEAR","✘ TRY AGAIN"))),"✘ TRY AGAIN")</f>
        <v/>
      </c>
      <c r="E20" s="22"/>
      <c r="F20" s="23" cm="1" t="str">
        <f t="array" ref="F20">IF(E20="Show hint",Key!$B$22,"")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67</v>
      </c>
      <c r="B21" s="8" t="s">
        <v>188</v>
      </c>
      <c r="C21" s="20"/>
      <c r="D21" s="21" cm="1" t="str">
        <f t="array" ref="D21">IFERROR(_xlfn.LET(_xlpm.a,'F1-2 Big Six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I$23),"✔ CLEAR","✘ TRY AGAIN"))),"✘ TRY AGAIN")</f>
        <v/>
      </c>
      <c r="E21" s="22"/>
      <c r="F21" s="23" cm="1" t="str">
        <f t="array" ref="F21">IF(E21="Show hint",Key!$B$23,"")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201</v>
      </c>
      <c r="B22" s="8" t="s">
        <v>202</v>
      </c>
      <c r="C22" s="20"/>
      <c r="D22" s="21" cm="1" t="str">
        <f t="array" ref="D22">IFERROR(_xlfn.LET(_xlpm.a,'F1-2 Big Six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N$24),"✔ CLEAR","✘ TRY AGAIN"))),"✘ TRY AGAIN")</f>
        <v/>
      </c>
      <c r="E22" s="22"/>
      <c r="F22" s="23" cm="1" t="str">
        <f t="array" ref="F22">IF(E22="Show hint",Key!$B$24,"")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207</v>
      </c>
      <c r="B23" s="8" t="s">
        <v>208</v>
      </c>
      <c r="C23" s="20"/>
      <c r="D23" s="21" cm="1" t="str">
        <f t="array" ref="D23">IFERROR(_xlfn.LET(_xlpm.a,'F1-2 Big Six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F$25),"✔ CLEAR","✘ TRY AGAIN"))),"✘ TRY AGAIN")</f>
        <v/>
      </c>
      <c r="E23" s="22"/>
      <c r="F23" s="23" cm="1" t="str">
        <f t="array" ref="F23">IF(E23="Show hint",Key!$B$25,"")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213</v>
      </c>
      <c r="B24" s="8" t="s">
        <v>214</v>
      </c>
      <c r="C24" s="20"/>
      <c r="D24" s="21" cm="1" t="str">
        <f t="array" ref="D24">IFERROR(_xlfn.LET(_xlpm.a,'F1-2 Big Six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F$26),"✔ CLEAR","✘ TRY AGAIN"))),"✘ TRY AGAIN")</f>
        <v/>
      </c>
      <c r="E24" s="22"/>
      <c r="F24" s="23" cm="1" t="str">
        <f t="array" ref="F24">IF(E24="Show hint",Key!$B$26,"")</f>
        <v/>
      </c>
      <c r="G24" s="24" cm="1">
        <f t="array" ref="G24">IF(LEFT(D24,1)="✔",IF(E24="Show hint",5,10),0)</f>
        <v>0</v>
      </c>
    </row>
    <row r="26" spans="1:7" ht="22" customHeight="1">
      <c r="A26" s="4" t="s">
        <v>69</v>
      </c>
      <c r="B26" s="4"/>
      <c r="C26" s="4"/>
      <c r="D26" s="4"/>
      <c r="E26" s="4"/>
      <c r="F26" s="4"/>
      <c r="G26" s="4"/>
    </row>
    <row r="27" spans="1:7">
      <c r="A27" s="6" t="s">
        <v>22</v>
      </c>
      <c r="B27" s="6" t="s">
        <v>38</v>
      </c>
      <c r="C27" s="6" t="s">
        <v>39</v>
      </c>
      <c r="D27" s="6" t="s">
        <v>40</v>
      </c>
      <c r="E27" s="6" t="s">
        <v>41</v>
      </c>
      <c r="F27" s="6" t="s">
        <v>1</v>
      </c>
      <c r="G27" s="6" t="s">
        <v>42</v>
      </c>
    </row>
    <row r="28" spans="1:7" ht="19.75" customHeight="1">
      <c r="A28" s="18" t="s">
        <v>73</v>
      </c>
      <c r="B28" s="8" t="s">
        <v>218</v>
      </c>
      <c r="C28" s="20"/>
      <c r="D28" s="21" cm="1" t="str">
        <f t="array" ref="D28">IFERROR(IF('F1-2 Big Six'!$C$28&amp;""="","",IF('F1-2 Big Six'!$C$28&amp;""=Key!$C$27&amp;"","✔ CLEAR","✘ TRY AGAIN")),"✘ TRY AGAIN")</f>
        <v/>
      </c>
      <c r="E28" s="22"/>
      <c r="F28" s="23" cm="1" t="str">
        <f t="array" ref="F28">IF(E28="Show hint",Key!$B$27,"")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78</v>
      </c>
      <c r="B29" s="8" t="s">
        <v>221</v>
      </c>
      <c r="C29" s="20"/>
      <c r="D29" s="21" cm="1" t="str">
        <f t="array" ref="D29">IFERROR(IF('F1-2 Big Six'!$C$29&amp;""="","",IF('F1-2 Big Six'!$C$29&amp;""=Key!$C$28&amp;"","✔ CLEAR","✘ TRY AGAIN")),"✘ TRY AGAIN")</f>
        <v/>
      </c>
      <c r="E29" s="22"/>
      <c r="F29" s="23" cm="1" t="str">
        <f t="array" ref="F29">IF(E29="Show hint",Key!$B$28,"")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82</v>
      </c>
      <c r="B30" s="8" t="s">
        <v>225</v>
      </c>
      <c r="C30" s="20"/>
      <c r="D30" s="21" cm="1" t="str">
        <f t="array" ref="D30">IFERROR(IF('F1-2 Big Six'!$C$30&amp;""="","",IF('F1-2 Big Six'!$C$30&amp;""=Key!$C$29&amp;"","✔ CLEAR","✘ TRY AGAIN")),"✘ TRY AGAIN")</f>
        <v/>
      </c>
      <c r="E30" s="22"/>
      <c r="F30" s="23" cm="1" t="str">
        <f t="array" ref="F30">IF(E30="Show hint",Key!$B$29,"")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86</v>
      </c>
      <c r="B31" s="8" t="s">
        <v>228</v>
      </c>
      <c r="C31" s="20"/>
      <c r="D31" s="21" cm="1" t="str">
        <f t="array" ref="D31">IFERROR(IF('F1-2 Big Six'!$C$31&amp;""="","",IF('F1-2 Big Six'!$C$31&amp;""=Key!$C$30&amp;"","✔ CLEAR","✘ TRY AGAIN")),"✘ TRY AGAIN")</f>
        <v/>
      </c>
      <c r="E31" s="22"/>
      <c r="F31" s="23" cm="1" t="str">
        <f t="array" ref="F31">IF(E31="Show hint",Key!$B$30,"")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231</v>
      </c>
      <c r="B32" s="8" t="s">
        <v>232</v>
      </c>
      <c r="C32" s="20"/>
      <c r="D32" s="21" cm="1" t="str">
        <f t="array" ref="D32">IFERROR(IF('F1-2 Big Six'!$C$32&amp;""="","",IF('F1-2 Big Six'!$C$32&amp;""=Key!$C$31&amp;"","✔ CLEAR","✘ TRY AGAIN")),"✘ TRY AGAIN")</f>
        <v/>
      </c>
      <c r="E32" s="22"/>
      <c r="F32" s="23" cm="1" t="str">
        <f t="array" ref="F32">IF(E32="Show hint",Key!$B$31,"")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236</v>
      </c>
      <c r="B33" s="8" t="s">
        <v>237</v>
      </c>
      <c r="C33" s="20"/>
      <c r="D33" s="21" cm="1" t="str">
        <f t="array" ref="D33">IFERROR(IF('F1-2 Big Six'!$C$33&amp;""="","",IF('F1-2 Big Six'!$C$33&amp;""=Key!$C$32&amp;"","✔ CLEAR","✘ TRY AGAIN")),"✘ TRY AGAIN")</f>
        <v/>
      </c>
      <c r="E33" s="22"/>
      <c r="F33" s="23" cm="1" t="str">
        <f t="array" ref="F33">IF(E33="Show hint",Key!$B$32,"")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243</v>
      </c>
      <c r="B34" s="8" t="s">
        <v>244</v>
      </c>
      <c r="C34" s="20"/>
      <c r="D34" s="21" cm="1" t="str">
        <f t="array" ref="D34">IFERROR(IF('F1-2 Big Six'!$C$34&amp;""="","",IF('F1-2 Big Six'!$C$34&amp;""=Key!$C$33&amp;"","✔ CLEAR","✘ TRY AGAIN")),"✘ TRY AGAIN")</f>
        <v/>
      </c>
      <c r="E34" s="22"/>
      <c r="F34" s="23" cm="1" t="str">
        <f t="array" ref="F34">IF(E34="Show hint",Key!$B$33,"")</f>
        <v/>
      </c>
      <c r="G34" s="24" cm="1">
        <f t="array" ref="G34">IF(LEFT(D34,1)="✔",IF(E34="Show hint",5,10),0)</f>
        <v>0</v>
      </c>
    </row>
    <row r="36" spans="1:7" ht="22" customHeight="1">
      <c r="A36" s="4" t="s">
        <v>88</v>
      </c>
      <c r="B36" s="4"/>
      <c r="C36" s="4"/>
      <c r="D36" s="4"/>
      <c r="E36" s="4"/>
      <c r="F36" s="4"/>
      <c r="G36" s="4"/>
    </row>
    <row r="37" spans="1:7">
      <c r="B37" s="11" t="s">
        <v>245</v>
      </c>
    </row>
    <row r="38" spans="1:7">
      <c r="A38" s="6" t="s">
        <v>22</v>
      </c>
      <c r="B38" s="6" t="s">
        <v>38</v>
      </c>
      <c r="C38" s="6" t="s">
        <v>39</v>
      </c>
      <c r="D38" s="6" t="s">
        <v>40</v>
      </c>
      <c r="E38" s="6" t="s">
        <v>41</v>
      </c>
      <c r="F38" s="6" t="s">
        <v>1</v>
      </c>
      <c r="G38" s="6" t="s">
        <v>42</v>
      </c>
    </row>
    <row r="39" spans="1:7" ht="19.75" customHeight="1">
      <c r="A39" s="18" t="s">
        <v>94</v>
      </c>
      <c r="B39" s="8" t="s">
        <v>218</v>
      </c>
      <c r="C39" s="20"/>
      <c r="D39" s="21" cm="1" t="str">
        <f t="array" ref="D39">IFERROR(_xlfn.LET(_xlpm.a,'F1-2 Big Six'!$C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E39" s="22"/>
      <c r="F39" s="23" cm="1" t="str">
        <f t="array" ref="F39">IF(E39="Show hint",Key!$B$34,"")</f>
        <v/>
      </c>
      <c r="G39" s="24" cm="1">
        <f t="array" ref="G39">IF(LEFT(D39,1)="✔",IF(E39="Show hint",5,10),0)</f>
        <v>0</v>
      </c>
    </row>
    <row r="40" spans="1:7" ht="19.75" customHeight="1">
      <c r="A40" s="18" t="s">
        <v>98</v>
      </c>
      <c r="B40" s="8" t="s">
        <v>221</v>
      </c>
      <c r="C40" s="20"/>
      <c r="D40" s="21" cm="1" t="str">
        <f t="array" ref="D40">IFERROR(_xlfn.LET(_xlpm.a,'F1-2 Big Six'!$C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E40" s="22"/>
      <c r="F40" s="23" cm="1" t="str">
        <f t="array" ref="F40">IF(E40="Show hint",Key!$B$35,"")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102</v>
      </c>
      <c r="B41" s="8" t="s">
        <v>225</v>
      </c>
      <c r="C41" s="20"/>
      <c r="D41" s="21" cm="1" t="str">
        <f t="array" ref="D41">IFERROR(_xlfn.LET(_xlpm.a,'F1-2 Big Six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J$36),"✔ CLEAR","✘ TRY AGAIN"))),"✘ TRY AGAIN")</f>
        <v/>
      </c>
      <c r="E41" s="22"/>
      <c r="F41" s="23" cm="1" t="str">
        <f t="array" ref="F41">IF(E41="Show hint",Key!$B$36,"")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108</v>
      </c>
      <c r="B42" s="8" t="s">
        <v>228</v>
      </c>
      <c r="C42" s="20"/>
      <c r="D42" s="21" cm="1" t="str">
        <f t="array" ref="D42">IFERROR(_xlfn.LET(_xlpm.a,'F1-2 Big Six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J$37),"✔ CLEAR","✘ TRY AGAIN"))),"✘ TRY AGAIN")</f>
        <v/>
      </c>
      <c r="E42" s="22"/>
      <c r="F42" s="23" cm="1" t="str">
        <f t="array" ref="F42">IF(E42="Show hint",Key!$B$37,"")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112</v>
      </c>
      <c r="B43" s="8" t="s">
        <v>232</v>
      </c>
      <c r="C43" s="20"/>
      <c r="D43" s="21" cm="1" t="str">
        <f t="array" ref="D43">IFERROR(_xlfn.LET(_xlpm.a,'F1-2 Big Six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J$38),"✔ CLEAR","✘ TRY AGAIN"))),"✘ TRY AGAIN")</f>
        <v/>
      </c>
      <c r="E43" s="22"/>
      <c r="F43" s="23" cm="1" t="str">
        <f t="array" ref="F43">IF(E43="Show hint",Key!$B$38,"")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117</v>
      </c>
      <c r="B44" s="8" t="s">
        <v>237</v>
      </c>
      <c r="C44" s="20"/>
      <c r="D44" s="21" cm="1" t="str">
        <f t="array" ref="D44">IFERROR(_xlfn.LET(_xlpm.a,'F1-2 Big Six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J$39),"✔ CLEAR","✘ TRY AGAIN"))),"✘ TRY AGAIN")</f>
        <v/>
      </c>
      <c r="E44" s="22"/>
      <c r="F44" s="23" cm="1" t="str">
        <f t="array" ref="F44">IF(E44="Show hint",Key!$B$39,"")</f>
        <v/>
      </c>
      <c r="G44" s="24" cm="1">
        <f t="array" ref="G44">IF(LEFT(D44,1)="✔",IF(E44="Show hint",5,10),0)</f>
        <v>0</v>
      </c>
    </row>
    <row r="45" spans="1:7" ht="19.75" customHeight="1">
      <c r="A45" s="18" t="s">
        <v>122</v>
      </c>
      <c r="B45" s="8" t="s">
        <v>244</v>
      </c>
      <c r="C45" s="20"/>
      <c r="D45" s="21" cm="1" t="str">
        <f t="array" ref="D45">IFERROR(_xlfn.LET(_xlpm.a,'F1-2 Big Six'!$C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E$40),"✔ CLEAR","✘ TRY AGAIN"))),"✘ TRY AGAIN")</f>
        <v/>
      </c>
      <c r="E45" s="22"/>
      <c r="F45" s="23" cm="1" t="str">
        <f t="array" ref="F45">IF(E45="Show hint",Key!$B$40,"")</f>
        <v/>
      </c>
      <c r="G45" s="24" cm="1">
        <f t="array" ref="G45">IF(LEFT(D45,1)="✔",IF(E45="Show hint",5,10),0)</f>
        <v>0</v>
      </c>
    </row>
    <row r="46" spans="1:7" ht="51.25" customHeight="1">
      <c r="A46" s="18" t="s">
        <v>127</v>
      </c>
      <c r="B46" s="8" t="s">
        <v>286</v>
      </c>
      <c r="C46" s="11" t="s">
        <v>287</v>
      </c>
      <c r="D46" s="21" cm="1" t="str">
        <f t="array" ref="D46">IF(ISBLANK('F1-2 Arena'!$C$18),"",IF(NOT(_xlfn.ISFORMULA('F1-2 Arena'!$C$18)),"✘ That's a typed value · enter a formula",IF(ISERROR('F1-2 Arena'!$C$18),"✘ Your formula returns "&amp;IFERROR(CHOOSE(ERROR.TYPE('F1-2 Arena'!$C$18),"#NULL!","#DIV/0!","#VALUE!","#REF!","#NAME?","#NUM!","#N/A","#GETTING_DATA","#SPILL!","#CONNECT!","#BLOCKED!","#UNKNOWN!","#FIELD!","#CALC!"),"an error"),IF(NOT(AND(IFERROR(AND(ISNUMBER('F1-2 Arena'!$C$18),ABS('F1-2 Arena'!$C$18-Key!$C$41)&lt;=1E-9*MAX(1,ABS(Key!$C$41))),FALSE))),"✘ TRY AGAIN",IF(AND(OR(ISNUMBER(FIND({"=","(",",","+","-","*","/","&amp;"," ","&lt;","&gt;",":","@","^"}&amp;"SUM"&amp;"(",UPPER(_xlfn.FORMULATEXT('F1-2 Arena'!$C$18)))))),"✔ CLEAR","✘ CLOSE · right value, but use SUM")))))</f>
        <v/>
      </c>
      <c r="E46" s="22"/>
      <c r="F46" s="23" cm="1" t="str">
        <f t="array" ref="F46">IF(E46="Show hint",Key!$B$41,"")</f>
        <v/>
      </c>
      <c r="G46" s="24" cm="1">
        <f t="array" ref="G46">IF(LEFT(D46,1)="✔",IF(E46="Show hint",5,10),0)</f>
        <v>0</v>
      </c>
    </row>
    <row r="47" spans="1:7" ht="35.5" customHeight="1">
      <c r="A47" s="18" t="s">
        <v>290</v>
      </c>
      <c r="B47" s="8" t="s">
        <v>291</v>
      </c>
      <c r="C47" s="11" t="s">
        <v>292</v>
      </c>
      <c r="D47" s="21" cm="1" t="str">
        <f t="array" ref="D47">IF(ISBLANK('F1-2 Arena'!$G$6),"",IF(NOT(_xlfn.ISFORMULA('F1-2 Arena'!$G$6)),"✘ That's a typed value · enter a formula",IF(ISERROR('F1-2 Arena'!$G$6),"✘ Your formula returns "&amp;IFERROR(CHOOSE(ERROR.TYPE('F1-2 Arena'!$G$6),"#NULL!","#DIV/0!","#VALUE!","#REF!","#NAME?","#NUM!","#N/A","#GETTING_DATA","#SPILL!","#CONNECT!","#BLOCKED!","#UNKNOWN!","#FIELD!","#CALC!"),"an error"),IF(NOT(AND(IFERROR(AND(ISNUMBER('F1-2 Arena'!$G$6),ABS('F1-2 Arena'!$G$6-Key!$C$42)&lt;=1E-9*MAX(1,ABS(Key!$C$42))),FALSE))),"✘ TRY AGAIN",IF(AND(OR(ISNUMBER(FIND({"=","(",",","+","-","*","/","&amp;"," ","&lt;","&gt;",":","@","^"}&amp;"AVERAGE"&amp;"(",UPPER(_xlfn.FORMULATEXT('F1-2 Arena'!$G$6)))))),"✔ CLEAR","✘ CLOSE · right value, but use AVERAGE")))))</f>
        <v/>
      </c>
      <c r="E47" s="22"/>
      <c r="F47" s="23" cm="1" t="str">
        <f t="array" ref="F47">IF(E47="Show hint",Key!$B$42,"")</f>
        <v/>
      </c>
      <c r="G47" s="24" cm="1">
        <f t="array" ref="G47">IF(LEFT(D47,1)="✔",IF(E47="Show hint",5,10),0)</f>
        <v>0</v>
      </c>
    </row>
    <row r="48" spans="1:7" ht="19.75" customHeight="1">
      <c r="A48" s="18" t="s">
        <v>295</v>
      </c>
      <c r="B48" s="8" t="s">
        <v>296</v>
      </c>
      <c r="C48" s="11" t="s">
        <v>297</v>
      </c>
      <c r="D48" s="21" cm="1" t="str">
        <f t="array" ref="D48">IF(ISBLANK('F1-2 Arena'!$G$7),"",IF(NOT(_xlfn.ISFORMULA('F1-2 Arena'!$G$7)),"✘ That's a typed value · enter a formula",IF(ISERROR('F1-2 Arena'!$G$7),"✘ Your formula returns "&amp;IFERROR(CHOOSE(ERROR.TYPE('F1-2 Arena'!$G$7),"#NULL!","#DIV/0!","#VALUE!","#REF!","#NAME?","#NUM!","#N/A","#GETTING_DATA","#SPILL!","#CONNECT!","#BLOCKED!","#UNKNOWN!","#FIELD!","#CALC!"),"an error"),IF(NOT(AND(IFERROR(AND(ISNUMBER('F1-2 Arena'!$G$7),ABS('F1-2 Arena'!$G$7-Key!$C$43)&lt;=1E-9*MAX(1,ABS(Key!$C$43))),FALSE))),"✘ TRY AGAIN",IF(AND(OR(ISNUMBER(FIND({"=","(",",","+","-","*","/","&amp;"," ","&lt;","&gt;",":","@","^"}&amp;"MAX"&amp;"(",UPPER(_xlfn.FORMULATEXT('F1-2 Arena'!$G$7)))))),"✔ CLEAR","✘ CLOSE · right value, but use MAX")))))</f>
        <v/>
      </c>
      <c r="E48" s="22"/>
      <c r="F48" s="23" cm="1" t="str">
        <f t="array" ref="F48">IF(E48="Show hint",Key!$B$43,"")</f>
        <v/>
      </c>
      <c r="G48" s="24" cm="1">
        <f t="array" ref="G48">IF(LEFT(D48,1)="✔",IF(E48="Show hint",5,10),0)</f>
        <v>0</v>
      </c>
    </row>
    <row r="49" spans="1:7" ht="19.75" customHeight="1">
      <c r="A49" s="18" t="s">
        <v>300</v>
      </c>
      <c r="B49" s="8" t="s">
        <v>301</v>
      </c>
      <c r="C49" s="11" t="s">
        <v>302</v>
      </c>
      <c r="D49" s="21" cm="1" t="str">
        <f t="array" ref="D49">IF(ISBLANK('F1-2 Arena'!$G$8),"",IF(NOT(_xlfn.ISFORMULA('F1-2 Arena'!$G$8)),"✘ That's a typed value · enter a formula",IF(ISERROR('F1-2 Arena'!$G$8),"✘ Your formula returns "&amp;IFERROR(CHOOSE(ERROR.TYPE('F1-2 Arena'!$G$8),"#NULL!","#DIV/0!","#VALUE!","#REF!","#NAME?","#NUM!","#N/A","#GETTING_DATA","#SPILL!","#CONNECT!","#BLOCKED!","#UNKNOWN!","#FIELD!","#CALC!"),"an error"),IF(NOT(AND(IFERROR(AND(ISNUMBER('F1-2 Arena'!$G$8),ABS('F1-2 Arena'!$G$8-Key!$C$44)&lt;=1E-9*MAX(1,ABS(Key!$C$44))),FALSE))),"✘ TRY AGAIN",IF(AND(OR(ISNUMBER(FIND({"=","(",",","+","-","*","/","&amp;"," ","&lt;","&gt;",":","@","^"}&amp;"MIN"&amp;"(",UPPER(_xlfn.FORMULATEXT('F1-2 Arena'!$G$8)))))),"✔ CLEAR","✘ CLOSE · right value, but use MIN")))))</f>
        <v/>
      </c>
      <c r="E49" s="22"/>
      <c r="F49" s="23" cm="1" t="str">
        <f t="array" ref="F49">IF(E49="Show hint",Key!$B$44,"")</f>
        <v/>
      </c>
      <c r="G49" s="24" cm="1">
        <f t="array" ref="G49">IF(LEFT(D49,1)="✔",IF(E49="Show hint",5,10),0)</f>
        <v>0</v>
      </c>
    </row>
    <row r="50" spans="1:7" ht="35.5" customHeight="1">
      <c r="A50" s="18" t="s">
        <v>305</v>
      </c>
      <c r="B50" s="8" t="s">
        <v>306</v>
      </c>
      <c r="C50" s="11" t="s">
        <v>307</v>
      </c>
      <c r="D50" s="21" cm="1" t="str">
        <f t="array" ref="D50">IF(ISBLANK('F1-2 Arena'!$G$9),"",IF(NOT(_xlfn.ISFORMULA('F1-2 Arena'!$G$9)),"✘ That's a typed value · enter a formula",IF(ISERROR('F1-2 Arena'!$G$9),"✘ Your formula returns "&amp;IFERROR(CHOOSE(ERROR.TYPE('F1-2 Arena'!$G$9),"#NULL!","#DIV/0!","#VALUE!","#REF!","#NAME?","#NUM!","#N/A","#GETTING_DATA","#SPILL!","#CONNECT!","#BLOCKED!","#UNKNOWN!","#FIELD!","#CALC!"),"an error"),IF(NOT(AND(IFERROR(AND(ISNUMBER('F1-2 Arena'!$G$9),ABS('F1-2 Arena'!$G$9-Key!$C$45)&lt;=1E-9*MAX(1,ABS(Key!$C$45))),FALSE))),"✘ TRY AGAIN",IF(AND(OR(ISNUMBER(FIND({"=","(",",","+","-","*","/","&amp;"," ","&lt;","&gt;",":","@","^"}&amp;"COUNT"&amp;"(",UPPER(_xlfn.FORMULATEXT('F1-2 Arena'!$G$9)))))),"✔ CLEAR","✘ CLOSE · right value, but use COUNT")))))</f>
        <v/>
      </c>
      <c r="E50" s="22"/>
      <c r="F50" s="23" cm="1" t="str">
        <f t="array" ref="F50">IF(E50="Show hint",Key!$B$45,"")</f>
        <v/>
      </c>
      <c r="G50" s="24" cm="1">
        <f t="array" ref="G50">IF(LEFT(D50,1)="✔",IF(E50="Show hint",5,10),0)</f>
        <v>0</v>
      </c>
    </row>
    <row r="51" spans="1:7" ht="35.5" customHeight="1">
      <c r="A51" s="18" t="s">
        <v>310</v>
      </c>
      <c r="B51" s="8" t="s">
        <v>311</v>
      </c>
      <c r="C51" s="11" t="s">
        <v>312</v>
      </c>
      <c r="D51" s="21" cm="1" t="str">
        <f t="array" ref="D51">IF(ISBLANK('F1-2 Arena'!$G$10),"",IF(NOT(_xlfn.ISFORMULA('F1-2 Arena'!$G$10)),"✘ That's a typed value · enter a formula",IF(ISERROR('F1-2 Arena'!$G$10),"✘ Your formula returns "&amp;IFERROR(CHOOSE(ERROR.TYPE('F1-2 Arena'!$G$10),"#NULL!","#DIV/0!","#VALUE!","#REF!","#NAME?","#NUM!","#N/A","#GETTING_DATA","#SPILL!","#CONNECT!","#BLOCKED!","#UNKNOWN!","#FIELD!","#CALC!"),"an error"),IF(NOT(AND(IFERROR(AND(ISNUMBER('F1-2 Arena'!$G$10),ABS('F1-2 Arena'!$G$10-Key!$C$46)&lt;=1E-9*MAX(1,ABS(Key!$C$46))),FALSE))),"✘ TRY AGAIN",IF(AND(OR(ISNUMBER(FIND({"=","(",",","+","-","*","/","&amp;"," ","&lt;","&gt;",":","@","^"}&amp;"COUNTA"&amp;"(",UPPER(_xlfn.FORMULATEXT('F1-2 Arena'!$G$10)))))),"✔ CLEAR","✘ CLOSE · right value, but use COUNTA")))))</f>
        <v/>
      </c>
      <c r="E51" s="22"/>
      <c r="F51" s="23" cm="1" t="str">
        <f t="array" ref="F51">IF(E51="Show hint",Key!$B$46,"")</f>
        <v/>
      </c>
      <c r="G51" s="24" cm="1">
        <f t="array" ref="G51">IF(LEFT(D51,1)="✔",IF(E51="Show hint",5,10),0)</f>
        <v>0</v>
      </c>
    </row>
  </sheetData>
  <sheetProtection sheet="1" objects="1" scenarios="1" formatColumns="0" formatRows="0"/>
  <conditionalFormatting sqref="D17:D51">
    <cfRule type="expression" dxfId="0" priority="1">
      <formula>LEFT($D17,1)="✔"</formula>
    </cfRule>
    <cfRule type="expression" dxfId="1" priority="2">
      <formula>LEFT($D17,1)="✘"</formula>
    </cfRule>
    <cfRule type="expression" dxfId="2" priority="3">
      <formula>$D17="LOCKED"</formula>
    </cfRule>
  </conditionalFormatting>
  <dataValidations count="50"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Key!$E$27:$H$27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Key!$E$28:$H$28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Key!$E$29:$H$29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Key!$E$30:$H$30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Key!$E$31:$H$31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Key!$E$32:$H$32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Key!$E$33:$H$33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5"/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  <dataValidation type="list" allowBlank="1" showInputMessage="1" showErrorMessage="1" promptTitle="Need a hint?" prompt="Pick 'Show hint' (Alt+Down). This question then gives 5 XP instead of 10." sqref="E51">
      <formula1>"Show hint"</formula1>
    </dataValidation>
  </dataValidations>
  <hyperlinks>
    <hyperlink ref="B37" location="'F1-2 Arena'!A1" display="▶ Open F1-2 Arena (or press Ctrl+PgDn)"/>
    <hyperlink ref="C46" location="'F1-2 Arena'!C18" tooltip="Go to F1-2 Arena, cell C18" display="▶ ARENA C8 (cell C18)"/>
    <hyperlink ref="C47" location="'F1-2 Arena'!G6" tooltip="Go to F1-2 Arena, cell G6" display="▶ ARENA C9 (cell G6)"/>
    <hyperlink ref="C48" location="'F1-2 Arena'!G7" tooltip="Go to F1-2 Arena, cell G7" display="▶ ARENA C10 (cell G7)"/>
    <hyperlink ref="C49" location="'F1-2 Arena'!G8" tooltip="Go to F1-2 Arena, cell G8" display="▶ ARENA C11 (cell G8)"/>
    <hyperlink ref="C50" location="'F1-2 Arena'!G9" tooltip="Go to F1-2 Arena, cell G9" display="▶ ARENA C12 (cell G9)"/>
    <hyperlink ref="C51" location="'F1-2 Arena'!G10" tooltip="Go to F1-2 Arena, cell G10" display="▶ ARENA C13 (cell G10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14.7109375" customWidth="1"/>
    <col min="2" max="5" width="13.7109375" customWidth="1"/>
    <col min="6" max="6" width="26.7109375" customWidth="1"/>
    <col min="7" max="26" width="13.7109375" customWidth="1"/>
  </cols>
  <sheetData>
    <row r="1" spans="1:7">
      <c r="A1" s="1" t="s">
        <v>131</v>
      </c>
    </row>
    <row r="2" spans="1:7">
      <c r="A2" s="3" t="s">
        <v>5</v>
      </c>
    </row>
    <row r="3" spans="1:7">
      <c r="A3" s="25" t="s">
        <v>6</v>
      </c>
      <c r="B3" s="26" t="s">
        <v>132</v>
      </c>
      <c r="D3" s="11" t="s">
        <v>133</v>
      </c>
    </row>
    <row r="5" spans="1:7">
      <c r="B5" s="27" t="s">
        <v>134</v>
      </c>
      <c r="C5" s="27" t="s">
        <v>135</v>
      </c>
      <c r="D5" s="27" t="s">
        <v>136</v>
      </c>
      <c r="F5" s="7" t="s">
        <v>16</v>
      </c>
    </row>
    <row r="6" spans="1:7">
      <c r="B6" s="5" t="s">
        <v>137</v>
      </c>
      <c r="C6" s="5">
        <v>420</v>
      </c>
      <c r="D6" s="5">
        <v>3</v>
      </c>
      <c r="F6" s="5" t="s">
        <v>151</v>
      </c>
      <c r="G6" s="28"/>
    </row>
    <row r="7" spans="1:7">
      <c r="B7" s="5" t="s">
        <v>138</v>
      </c>
      <c r="C7" s="5">
        <v>515</v>
      </c>
      <c r="D7" s="5">
        <v>5</v>
      </c>
      <c r="F7" s="5" t="s">
        <v>152</v>
      </c>
      <c r="G7" s="28"/>
    </row>
    <row r="8" spans="1:7">
      <c r="B8" s="5" t="s">
        <v>139</v>
      </c>
      <c r="C8" s="5">
        <v>380</v>
      </c>
      <c r="D8" s="5" t="s">
        <v>140</v>
      </c>
      <c r="F8" s="5" t="s">
        <v>153</v>
      </c>
      <c r="G8" s="28"/>
    </row>
    <row r="9" spans="1:7">
      <c r="B9" s="5" t="s">
        <v>141</v>
      </c>
      <c r="C9" s="5">
        <v>610</v>
      </c>
      <c r="D9" s="5">
        <v>2</v>
      </c>
      <c r="F9" s="5" t="s">
        <v>154</v>
      </c>
      <c r="G9" s="28"/>
    </row>
    <row r="10" spans="1:7">
      <c r="B10" s="5" t="s">
        <v>142</v>
      </c>
      <c r="C10" s="5">
        <v>450</v>
      </c>
      <c r="D10" s="5">
        <v>4</v>
      </c>
      <c r="F10" s="5" t="s">
        <v>155</v>
      </c>
      <c r="G10" s="28"/>
    </row>
    <row r="11" spans="1:7">
      <c r="B11" s="5" t="s">
        <v>143</v>
      </c>
      <c r="C11" s="5">
        <v>555</v>
      </c>
      <c r="D11" s="5">
        <v>6</v>
      </c>
    </row>
    <row r="12" spans="1:7">
      <c r="B12" s="5" t="s">
        <v>144</v>
      </c>
      <c r="C12" s="5">
        <v>700</v>
      </c>
      <c r="D12" s="5" t="s">
        <v>140</v>
      </c>
    </row>
    <row r="13" spans="1:7">
      <c r="B13" s="5" t="s">
        <v>145</v>
      </c>
      <c r="C13" s="5">
        <v>640</v>
      </c>
      <c r="D13" s="5">
        <v>1</v>
      </c>
    </row>
    <row r="14" spans="1:7">
      <c r="B14" s="5" t="s">
        <v>146</v>
      </c>
      <c r="C14" s="5">
        <v>480</v>
      </c>
      <c r="D14" s="5">
        <v>0</v>
      </c>
    </row>
    <row r="15" spans="1:7">
      <c r="B15" s="5" t="s">
        <v>147</v>
      </c>
      <c r="C15" s="5">
        <v>530</v>
      </c>
      <c r="D15" s="5">
        <v>2</v>
      </c>
    </row>
    <row r="16" spans="1:7">
      <c r="B16" s="5" t="s">
        <v>148</v>
      </c>
      <c r="C16" s="5">
        <v>690</v>
      </c>
      <c r="D16" s="5">
        <v>3</v>
      </c>
    </row>
    <row r="17" spans="2:4">
      <c r="B17" s="5" t="s">
        <v>149</v>
      </c>
      <c r="C17" s="5">
        <v>720</v>
      </c>
      <c r="D17" s="5">
        <v>5</v>
      </c>
    </row>
    <row r="18" spans="2:4">
      <c r="B18" s="7" t="s">
        <v>150</v>
      </c>
      <c r="C18" s="28"/>
    </row>
  </sheetData>
  <hyperlinks>
    <hyperlink ref="D3" location="'F1-2 Big Six'!A1" display="◀ Back to F1-2 Big Six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389</v>
      </c>
      <c r="B1" s="2"/>
      <c r="C1" s="2"/>
      <c r="D1" s="2"/>
      <c r="E1" s="2"/>
      <c r="F1" s="2"/>
      <c r="G1" s="2"/>
    </row>
    <row r="2" spans="1:7">
      <c r="A2" s="3" t="s">
        <v>390</v>
      </c>
    </row>
    <row r="3" spans="1:7" ht="26" customHeight="1">
      <c r="A3" s="14" cm="1" t="str">
        <f t="array" ref="A3">"SCORE "&amp;TEXT(SUM($G$14:$G$40),"0000")&amp;" / 0200"</f>
        <v>SCORE 0000 / 0200</v>
      </c>
      <c r="C3" s="15" cm="1" t="str">
        <f t="array" ref="C3">IF(SUM($G$14:$G$40)&gt;=200,"★★★",IF(SUM($G$14:$G$40)&gt;=200*0.8,"★★☆",IF(SUM($G$14:$G$40)&gt;=200*0.5,"★☆☆","☆☆☆")))</f>
        <v>☆☆☆</v>
      </c>
      <c r="D3" s="16" cm="1" t="str">
        <f t="array" ref="D3">REPT("█",ROUND(10*SUM($G$14:$G$40)/200,0))&amp;REPT("░",10-ROUND(10*SUM($G$14:$G$40)/200,0))&amp;"  "&amp;TEXT(SUM($G$14:$G$40)/200,"0%")</f>
        <v>░░░░░░░░░░  0%</v>
      </c>
      <c r="F3" s="17" cm="1" t="str">
        <f t="array" ref="F3">IF(SUM($G$14:$G$40)&gt;=200*0.5,"STAGE CLEAR! ▶ Next: F1-4 Precision","")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67" customHeight="1">
      <c r="A7" s="18" t="s">
        <v>25</v>
      </c>
      <c r="B7" s="8" t="s">
        <v>321</v>
      </c>
      <c r="C7" s="19" t="s">
        <v>72</v>
      </c>
    </row>
    <row r="8" spans="1:7" ht="67" customHeight="1">
      <c r="A8" s="18" t="s">
        <v>28</v>
      </c>
      <c r="B8" s="8" t="s">
        <v>322</v>
      </c>
      <c r="C8" s="19" t="s">
        <v>77</v>
      </c>
    </row>
    <row r="9" spans="1:7" ht="67" customHeight="1">
      <c r="A9" s="18" t="s">
        <v>31</v>
      </c>
      <c r="B9" s="8" t="s">
        <v>323</v>
      </c>
      <c r="C9" s="19" t="s">
        <v>324</v>
      </c>
    </row>
    <row r="10" spans="1:7" ht="67" customHeight="1">
      <c r="A10" s="18" t="s">
        <v>34</v>
      </c>
      <c r="B10" s="8" t="s">
        <v>325</v>
      </c>
      <c r="C10" s="19" t="s">
        <v>326</v>
      </c>
    </row>
    <row r="12" spans="1:7" ht="22" customHeight="1">
      <c r="A12" s="4" t="s">
        <v>37</v>
      </c>
      <c r="B12" s="4"/>
      <c r="C12" s="4"/>
      <c r="D12" s="4"/>
      <c r="E12" s="4"/>
      <c r="F12" s="4"/>
      <c r="G12" s="4"/>
    </row>
    <row r="13" spans="1:7">
      <c r="A13" s="6" t="s">
        <v>22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1</v>
      </c>
      <c r="G13" s="6" t="s">
        <v>42</v>
      </c>
    </row>
    <row r="14" spans="1:7" ht="35.5" customHeight="1">
      <c r="A14" s="18" t="s">
        <v>47</v>
      </c>
      <c r="B14" s="8" t="s">
        <v>328</v>
      </c>
      <c r="C14" s="20"/>
      <c r="D14" s="21" cm="1" t="str">
        <f t="array" ref="D14">IFERROR(_xlfn.LET(_xlpm.a,'F1-3 Anchor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J$47),"✔ CLEAR","✘ TRY AGAIN"))),"✘ TRY AGAIN")</f>
        <v/>
      </c>
      <c r="E14" s="22"/>
      <c r="F14" s="23" cm="1" t="str">
        <f t="array" ref="F14">IF(E14="Show hint",Key!$B$47,"")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52</v>
      </c>
      <c r="B15" s="8" t="s">
        <v>330</v>
      </c>
      <c r="C15" s="20"/>
      <c r="D15" s="21" cm="1" t="str">
        <f t="array" ref="D15">IFERROR(_xlfn.LET(_xlpm.a,'F1-3 Anchor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J$48),"✔ CLEAR","✘ TRY AGAIN"))),"✘ TRY AGAIN")</f>
        <v/>
      </c>
      <c r="E15" s="22"/>
      <c r="F15" s="23" cm="1" t="str">
        <f t="array" ref="F15">IF(E15="Show hint",Key!$B$48,"")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57</v>
      </c>
      <c r="B16" s="8" t="s">
        <v>332</v>
      </c>
      <c r="C16" s="20"/>
      <c r="D16" s="21" cm="1" t="str">
        <f t="array" ref="D16">IFERROR(_xlfn.LET(_xlpm.a,'F1-3 Anchor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J$49),"✔ CLEAR","✘ TRY AGAIN"))),"✘ TRY AGAIN")</f>
        <v/>
      </c>
      <c r="E16" s="22"/>
      <c r="F16" s="23" cm="1" t="str">
        <f t="array" ref="F16">IF(E16="Show hint",Key!$B$49,"")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62</v>
      </c>
      <c r="B17" s="8" t="s">
        <v>334</v>
      </c>
      <c r="C17" s="20"/>
      <c r="D17" s="21" cm="1" t="str">
        <f t="array" ref="D17">IFERROR(_xlfn.LET(_xlpm.a,'F1-3 Anchor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J$50),"✔ CLEAR","✘ TRY AGAIN"))),"✘ TRY AGAIN")</f>
        <v/>
      </c>
      <c r="E17" s="22"/>
      <c r="F17" s="23" cm="1" t="str">
        <f t="array" ref="F17">IF(E17="Show hint",Key!$B$50,"")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67</v>
      </c>
      <c r="B18" s="8" t="s">
        <v>336</v>
      </c>
      <c r="C18" s="20"/>
      <c r="D18" s="21" cm="1" t="str">
        <f t="array" ref="D18">IFERROR(_xlfn.LET(_xlpm.a,'F1-3 Anchor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J$51),"✔ CLEAR","✘ TRY AGAIN"))),"✘ TRY AGAIN")</f>
        <v/>
      </c>
      <c r="E18" s="22"/>
      <c r="F18" s="23" cm="1" t="str">
        <f t="array" ref="F18">IF(E18="Show hint",Key!$B$51,"")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201</v>
      </c>
      <c r="B19" s="8" t="s">
        <v>338</v>
      </c>
      <c r="C19" s="20"/>
      <c r="D19" s="21" cm="1" t="str">
        <f t="array" ref="D19">IFERROR(_xlfn.LET(_xlpm.a,'F1-3 Anchor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J$52),"✔ CLEAR","✘ TRY AGAIN"))),"✘ TRY AGAIN")</f>
        <v/>
      </c>
      <c r="E19" s="22"/>
      <c r="F19" s="23" cm="1" t="str">
        <f t="array" ref="F19">IF(E19="Show hint",Key!$B$52,"")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207</v>
      </c>
      <c r="B20" s="8" t="s">
        <v>340</v>
      </c>
      <c r="C20" s="20"/>
      <c r="D20" s="21" cm="1" t="str">
        <f t="array" ref="D20">IFERROR(_xlfn.LET(_xlpm.a,'F1-3 Anchor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E$53),"✔ CLEAR","✘ TRY AGAIN"))),"✘ TRY AGAIN")</f>
        <v/>
      </c>
      <c r="E20" s="22"/>
      <c r="F20" s="23" cm="1" t="str">
        <f t="array" ref="F20">IF(E20="Show hint",Key!$B$53,"")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213</v>
      </c>
      <c r="B21" s="8" t="s">
        <v>344</v>
      </c>
      <c r="C21" s="20"/>
      <c r="D21" s="21" cm="1" t="str">
        <f t="array" ref="D21">IFERROR(_xlfn.LET(_xlpm.a,'F1-3 Anchor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E$54),"✔ CLEAR","✘ TRY AGAIN"))),"✘ TRY AGAIN")</f>
        <v/>
      </c>
      <c r="E21" s="22"/>
      <c r="F21" s="23" cm="1" t="str">
        <f t="array" ref="F21">IF(E21="Show hint",Key!$B$54,"")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348</v>
      </c>
      <c r="B22" s="8" t="s">
        <v>349</v>
      </c>
      <c r="C22" s="20"/>
      <c r="D22" s="21" cm="1" t="str">
        <f t="array" ref="D22">IFERROR(_xlfn.LET(_xlpm.a,'F1-3 Anchor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E$55),"✔ CLEAR","✘ TRY AGAIN"))),"✘ TRY AGAIN")</f>
        <v/>
      </c>
      <c r="E22" s="22"/>
      <c r="F22" s="23" cm="1" t="str">
        <f t="array" ref="F22">IF(E22="Show hint",Key!$B$55,"")</f>
        <v/>
      </c>
      <c r="G22" s="24" cm="1">
        <f t="array" ref="G22">IF(LEFT(D22,1)="✔",IF(E22="Show hint",5,10),0)</f>
        <v>0</v>
      </c>
    </row>
    <row r="23" spans="1:7" ht="51.25" customHeight="1">
      <c r="A23" s="18" t="s">
        <v>355</v>
      </c>
      <c r="B23" s="8" t="s">
        <v>356</v>
      </c>
      <c r="C23" s="20"/>
      <c r="D23" s="21" cm="1" t="str">
        <f t="array" ref="D23">IFERROR(_xlfn.LET(_xlpm.a,'F1-3 Anchors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G$56),"✔ CLEAR","✘ TRY AGAIN"))),"✘ TRY AGAIN")</f>
        <v/>
      </c>
      <c r="E23" s="22"/>
      <c r="F23" s="23" cm="1" t="str">
        <f t="array" ref="F23">IF(E23="Show hint",Key!$B$56,"")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69</v>
      </c>
      <c r="B25" s="4"/>
      <c r="C25" s="4"/>
      <c r="D25" s="4"/>
      <c r="E25" s="4"/>
      <c r="F25" s="4"/>
      <c r="G25" s="4"/>
    </row>
    <row r="26" spans="1:7">
      <c r="A26" s="6" t="s">
        <v>22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1</v>
      </c>
      <c r="G26" s="6" t="s">
        <v>42</v>
      </c>
    </row>
    <row r="27" spans="1:7" ht="35.5" customHeight="1">
      <c r="A27" s="18" t="s">
        <v>73</v>
      </c>
      <c r="B27" s="8" t="s">
        <v>359</v>
      </c>
      <c r="C27" s="20"/>
      <c r="D27" s="21" cm="1" t="str">
        <f t="array" ref="D27">IFERROR(IF('F1-3 Anchors'!$C$27&amp;""="","",IF('F1-3 Anchors'!$C$27&amp;""=Key!$C$57&amp;"","✔ CLEAR","✘ TRY AGAIN")),"✘ TRY AGAIN")</f>
        <v/>
      </c>
      <c r="E27" s="22"/>
      <c r="F27" s="23" cm="1" t="str">
        <f t="array" ref="F27">IF(E27="Show hint",Key!$B$57,"")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78</v>
      </c>
      <c r="B28" s="8" t="s">
        <v>362</v>
      </c>
      <c r="C28" s="20"/>
      <c r="D28" s="21" cm="1" t="str">
        <f t="array" ref="D28">IFERROR(IF('F1-3 Anchors'!$C$28&amp;""="","",IF('F1-3 Anchors'!$C$28&amp;""=Key!$C$58&amp;"","✔ CLEAR","✘ TRY AGAIN")),"✘ TRY AGAIN")</f>
        <v/>
      </c>
      <c r="E28" s="22"/>
      <c r="F28" s="23" cm="1" t="str">
        <f t="array" ref="F28">IF(E28="Show hint",Key!$B$58,"")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82</v>
      </c>
      <c r="B29" s="8" t="s">
        <v>366</v>
      </c>
      <c r="C29" s="20"/>
      <c r="D29" s="21" cm="1" t="str">
        <f t="array" ref="D29">IFERROR(IF('F1-3 Anchors'!$C$29&amp;""="","",IF('F1-3 Anchors'!$C$29&amp;""=Key!$C$59&amp;"","✔ CLEAR","✘ TRY AGAIN")),"✘ TRY AGAIN")</f>
        <v/>
      </c>
      <c r="E29" s="22"/>
      <c r="F29" s="23" cm="1" t="str">
        <f t="array" ref="F29">IF(E29="Show hint",Key!$B$59,"")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86</v>
      </c>
      <c r="B30" s="8" t="s">
        <v>370</v>
      </c>
      <c r="C30" s="20"/>
      <c r="D30" s="21" cm="1" t="str">
        <f t="array" ref="D30">IFERROR(IF('F1-3 Anchors'!$C$30&amp;""="","",IF('F1-3 Anchors'!$C$30&amp;""=Key!$C$60&amp;"","✔ CLEAR","✘ TRY AGAIN")),"✘ TRY AGAIN")</f>
        <v/>
      </c>
      <c r="E30" s="22"/>
      <c r="F30" s="23" cm="1" t="str">
        <f t="array" ref="F30">IF(E30="Show hint",Key!$B$60,"")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88</v>
      </c>
      <c r="B32" s="4"/>
      <c r="C32" s="4"/>
      <c r="D32" s="4"/>
      <c r="E32" s="4"/>
      <c r="F32" s="4"/>
      <c r="G32" s="4"/>
    </row>
    <row r="33" spans="1:7">
      <c r="B33" s="11" t="s">
        <v>371</v>
      </c>
    </row>
    <row r="34" spans="1:7">
      <c r="A34" s="6" t="s">
        <v>22</v>
      </c>
      <c r="B34" s="6" t="s">
        <v>38</v>
      </c>
      <c r="C34" s="6" t="s">
        <v>39</v>
      </c>
      <c r="D34" s="6" t="s">
        <v>40</v>
      </c>
      <c r="E34" s="6" t="s">
        <v>41</v>
      </c>
      <c r="F34" s="6" t="s">
        <v>1</v>
      </c>
      <c r="G34" s="6" t="s">
        <v>42</v>
      </c>
    </row>
    <row r="35" spans="1:7" ht="35.5" customHeight="1">
      <c r="A35" s="18" t="s">
        <v>94</v>
      </c>
      <c r="B35" s="8" t="s">
        <v>374</v>
      </c>
      <c r="C35" s="20"/>
      <c r="D35" s="21" cm="1" t="str">
        <f t="array" ref="D35">IFERROR(_xlfn.LET(_xlpm.a,'F1-3 Anchors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E$61),"✔ CLEAR","✘ TRY AGAIN"))),"✘ TRY AGAIN")</f>
        <v/>
      </c>
      <c r="E35" s="22"/>
      <c r="F35" s="23" cm="1" t="str">
        <f t="array" ref="F35">IF(E35="Show hint",Key!$B$61,"")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98</v>
      </c>
      <c r="B36" s="8" t="s">
        <v>377</v>
      </c>
      <c r="C36" s="20"/>
      <c r="D36" s="21" cm="1" t="str">
        <f t="array" ref="D36">IFERROR(_xlfn.LET(_xlpm.a,'F1-3 Anchors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E$62),"✔ CLEAR","✘ TRY AGAIN"))),"✘ TRY AGAIN")</f>
        <v/>
      </c>
      <c r="E36" s="22"/>
      <c r="F36" s="23" cm="1" t="str">
        <f t="array" ref="F36">IF(E36="Show hint",Key!$B$62,"")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102</v>
      </c>
      <c r="B37" s="8" t="s">
        <v>366</v>
      </c>
      <c r="C37" s="20"/>
      <c r="D37" s="21" cm="1" t="str">
        <f t="array" ref="D37">IFERROR(_xlfn.LET(_xlpm.a,'F1-3 Anchors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E$63),"✔ CLEAR","✘ TRY AGAIN"))),"✘ TRY AGAIN")</f>
        <v/>
      </c>
      <c r="E37" s="22"/>
      <c r="F37" s="23" cm="1" t="str">
        <f t="array" ref="F37">IF(E37="Show hint",Key!$B$63,"")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108</v>
      </c>
      <c r="B38" s="8" t="s">
        <v>370</v>
      </c>
      <c r="C38" s="20"/>
      <c r="D38" s="21" cm="1" t="str">
        <f t="array" ref="D38">IFERROR(_xlfn.LET(_xlpm.a,'F1-3 Anchors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E$64),"✔ CLEAR","✘ TRY AGAIN"))),"✘ TRY AGAIN")</f>
        <v/>
      </c>
      <c r="E38" s="22"/>
      <c r="F38" s="23" cm="1" t="str">
        <f t="array" ref="F38">IF(E38="Show hint",Key!$B$64,"")</f>
        <v/>
      </c>
      <c r="G38" s="24" cm="1">
        <f t="array" ref="G38">IF(LEFT(D38,1)="✔",IF(E38="Show hint",5,10),0)</f>
        <v>0</v>
      </c>
    </row>
    <row r="39" spans="1:7" ht="51.25" customHeight="1">
      <c r="A39" s="18" t="s">
        <v>112</v>
      </c>
      <c r="B39" s="8" t="s">
        <v>383</v>
      </c>
      <c r="C39" s="11" t="s">
        <v>384</v>
      </c>
      <c r="D39" s="21" cm="1" t="str">
        <f t="array" ref="D39">IF(COUNTA('F1-3 Arena'!$C$6,'F1-3 Arena'!$C$7,'F1-3 Arena'!$C$8,'F1-3 Arena'!$C$9,'F1-3 Arena'!$C$10,'F1-3 Arena'!$C$11,'F1-3 Arena'!$C$12,'F1-3 Arena'!$C$13)=0,"",IF(OR(NOT(_xlfn.ISFORMULA('F1-3 Arena'!$C$6)),NOT(_xlfn.ISFORMULA('F1-3 Arena'!$C$7)),NOT(_xlfn.ISFORMULA('F1-3 Arena'!$C$8)),NOT(_xlfn.ISFORMULA('F1-3 Arena'!$C$9)),NOT(_xlfn.ISFORMULA('F1-3 Arena'!$C$10)),NOT(_xlfn.ISFORMULA('F1-3 Arena'!$C$11)),NOT(_xlfn.ISFORMULA('F1-3 Arena'!$C$12)),NOT(_xlfn.ISFORMULA('F1-3 Arena'!$C$13))),"✘ Some cells aren't formulas yet",IF(OR(ISERROR('F1-3 Arena'!$C$6),ISERROR('F1-3 Arena'!$C$7),ISERROR('F1-3 Arena'!$C$8),ISERROR('F1-3 Arena'!$C$9),ISERROR('F1-3 Arena'!$C$10),ISERROR('F1-3 Arena'!$C$11),ISERROR('F1-3 Arena'!$C$12),ISERROR('F1-3 Arena'!$C$13)),"✘ Some cells show an error",IF(NOT(AND(IFERROR(AND(ISNUMBER('F1-3 Arena'!$C$6),ABS('F1-3 Arena'!$C$6-Key!$E$65)&lt;=1E-9*MAX(1,ABS(Key!$E$65))),FALSE),IFERROR(AND(ISNUMBER('F1-3 Arena'!$C$7),ABS('F1-3 Arena'!$C$7-Key!$F$65)&lt;=1E-9*MAX(1,ABS(Key!$F$65))),FALSE),IFERROR(AND(ISNUMBER('F1-3 Arena'!$C$8),ABS('F1-3 Arena'!$C$8-Key!$G$65)&lt;=1E-9*MAX(1,ABS(Key!$G$65))),FALSE),IFERROR(AND(ISNUMBER('F1-3 Arena'!$C$9),ABS('F1-3 Arena'!$C$9-Key!$H$65)&lt;=1E-9*MAX(1,ABS(Key!$H$65))),FALSE),IFERROR(AND(ISNUMBER('F1-3 Arena'!$C$10),ABS('F1-3 Arena'!$C$10-Key!$I$65)&lt;=1E-9*MAX(1,ABS(Key!$I$65))),FALSE),IFERROR(AND(ISNUMBER('F1-3 Arena'!$C$11),ABS('F1-3 Arena'!$C$11-Key!$J$65)&lt;=1E-9*MAX(1,ABS(Key!$J$65))),FALSE),IFERROR(AND(ISNUMBER('F1-3 Arena'!$C$12),ABS('F1-3 Arena'!$C$12-Key!$K$65)&lt;=1E-9*MAX(1,ABS(Key!$K$65))),FALSE),IFERROR(AND(ISNUMBER('F1-3 Arena'!$C$13),ABS('F1-3 Arena'!$C$13-Key!$L$65)&lt;=1E-9*MAX(1,ABS(Key!$L$65))),FALSE))),"✘ TRY AGAIN",IF(ISNUMBER(FIND("$",_xlfn.FORMULATEXT('F1-3 Arena'!$C$6))),"✔ CLEAR","✘ CLOSE · add $ so it fills correctly (F4)")))))</f>
        <v/>
      </c>
      <c r="E39" s="22"/>
      <c r="F39" s="23" cm="1" t="str">
        <f t="array" ref="F39">IF(E39="Show hint",Key!$B$65,"")</f>
        <v/>
      </c>
      <c r="G39" s="24" cm="1">
        <f t="array" ref="G39">IF(LEFT(D39,1)="✔",IF(E39="Show hint",5,10),0)</f>
        <v>0</v>
      </c>
    </row>
    <row r="40" spans="1:7" ht="51.25" customHeight="1">
      <c r="A40" s="18" t="s">
        <v>117</v>
      </c>
      <c r="B40" s="8" t="s">
        <v>387</v>
      </c>
      <c r="C40" s="11" t="s">
        <v>388</v>
      </c>
      <c r="D40" s="21" cm="1" t="str">
        <f t="array" ref="D40">IF(COUNTA('F1-3 Arena'!$C$17,'F1-3 Arena'!$C$18,'F1-3 Arena'!$C$19,'F1-3 Arena'!$C$20,'F1-3 Arena'!$C$21)=0,"",IF(OR(NOT(_xlfn.ISFORMULA('F1-3 Arena'!$C$17)),NOT(_xlfn.ISFORMULA('F1-3 Arena'!$C$18)),NOT(_xlfn.ISFORMULA('F1-3 Arena'!$C$19)),NOT(_xlfn.ISFORMULA('F1-3 Arena'!$C$20)),NOT(_xlfn.ISFORMULA('F1-3 Arena'!$C$21))),"✘ Some cells aren't formulas yet",IF(OR(ISERROR('F1-3 Arena'!$C$17),ISERROR('F1-3 Arena'!$C$18),ISERROR('F1-3 Arena'!$C$19),ISERROR('F1-3 Arena'!$C$20),ISERROR('F1-3 Arena'!$C$21)),"✘ Some cells show an error",IF(NOT(AND(IFERROR(AND(ISNUMBER('F1-3 Arena'!$C$17),ABS('F1-3 Arena'!$C$17-Key!$E$66)&lt;=1E-9*MAX(1,ABS(Key!$E$66))),FALSE),IFERROR(AND(ISNUMBER('F1-3 Arena'!$C$18),ABS('F1-3 Arena'!$C$18-Key!$F$66)&lt;=1E-9*MAX(1,ABS(Key!$F$66))),FALSE),IFERROR(AND(ISNUMBER('F1-3 Arena'!$C$19),ABS('F1-3 Arena'!$C$19-Key!$G$66)&lt;=1E-9*MAX(1,ABS(Key!$G$66))),FALSE),IFERROR(AND(ISNUMBER('F1-3 Arena'!$C$20),ABS('F1-3 Arena'!$C$20-Key!$H$66)&lt;=1E-9*MAX(1,ABS(Key!$H$66))),FALSE),IFERROR(AND(ISNUMBER('F1-3 Arena'!$C$21),ABS('F1-3 Arena'!$C$21-Key!$I$66)&lt;=1E-9*MAX(1,ABS(Key!$I$66))),FALSE))),"✘ TRY AGAIN",IF(ISNUMBER(FIND("$",_xlfn.FORMULATEXT('F1-3 Arena'!$C$17))),"✔ CLEAR","✘ CLOSE · add $ so it fills correctly (F4)")))))</f>
        <v/>
      </c>
      <c r="E40" s="22"/>
      <c r="F40" s="23" cm="1" t="str">
        <f t="array" ref="F40">IF(E40="Show hint",Key!$B$66,"")</f>
        <v/>
      </c>
      <c r="G40" s="24" cm="1">
        <f t="array" ref="G40">IF(LEFT(D40,1)="✔",IF(E40="Show hint",5,10),0)</f>
        <v>0</v>
      </c>
    </row>
  </sheetData>
  <sheetProtection sheet="1" objects="1" scenarios="1" formatColumns="0" formatRows="0"/>
  <conditionalFormatting sqref="D14:D40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8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Key!$E$57:$H$57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Key!$E$58:$H$58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Key!$E$59:$H$59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Key!$E$60:$H$60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</dataValidations>
  <hyperlinks>
    <hyperlink ref="B33" location="'F1-3 Arena'!A1" display="▶ Open F1-3 Arena (or press Ctrl+PgDn)"/>
    <hyperlink ref="C39" location="'F1-3 Arena'!C6" tooltip="Go to F1-3 Arena, cell C6" display="▶ ARENA C5 (cell C6)"/>
    <hyperlink ref="C40" location="'F1-3 Arena'!C17" tooltip="Go to F1-3 Arena, cell C17" display="▶ ARENA C6 (cell C17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14.7109375" customWidth="1"/>
    <col min="2" max="2" width="20.7109375" customWidth="1"/>
    <col min="3" max="26" width="13.7109375" customWidth="1"/>
  </cols>
  <sheetData>
    <row r="1" spans="1:5">
      <c r="A1" s="1" t="s">
        <v>315</v>
      </c>
    </row>
    <row r="2" spans="1:5">
      <c r="A2" s="3" t="s">
        <v>5</v>
      </c>
    </row>
    <row r="3" spans="1:5">
      <c r="A3" s="25" t="s">
        <v>6</v>
      </c>
      <c r="B3" s="26" t="s">
        <v>316</v>
      </c>
      <c r="D3" s="11" t="s">
        <v>317</v>
      </c>
    </row>
    <row r="5" spans="1:5">
      <c r="B5" s="27" t="s">
        <v>10</v>
      </c>
      <c r="C5" s="27" t="s">
        <v>318</v>
      </c>
      <c r="E5" s="7" t="s">
        <v>319</v>
      </c>
    </row>
    <row r="6" spans="1:5">
      <c r="B6" s="5">
        <v>20</v>
      </c>
      <c r="C6" s="28"/>
      <c r="E6" s="29">
        <v>0.08</v>
      </c>
    </row>
    <row r="7" spans="1:5">
      <c r="B7" s="5">
        <v>35</v>
      </c>
      <c r="C7" s="28"/>
    </row>
    <row r="8" spans="1:5">
      <c r="B8" s="5">
        <v>12.5</v>
      </c>
      <c r="C8" s="28"/>
    </row>
    <row r="9" spans="1:5">
      <c r="B9" s="5">
        <v>80</v>
      </c>
      <c r="C9" s="28"/>
    </row>
    <row r="10" spans="1:5">
      <c r="B10" s="5">
        <v>46</v>
      </c>
      <c r="C10" s="28"/>
    </row>
    <row r="11" spans="1:5">
      <c r="B11" s="5">
        <v>9.99</v>
      </c>
      <c r="C11" s="28"/>
    </row>
    <row r="12" spans="1:5">
      <c r="B12" s="5">
        <v>150</v>
      </c>
      <c r="C12" s="28"/>
    </row>
    <row r="13" spans="1:5">
      <c r="B13" s="5">
        <v>64</v>
      </c>
      <c r="C13" s="28"/>
    </row>
    <row r="16" spans="1:5">
      <c r="B16" s="7" t="s">
        <v>320</v>
      </c>
      <c r="C16" s="29">
        <v>0.1</v>
      </c>
      <c r="D16" s="29">
        <v>0.2</v>
      </c>
      <c r="E16" s="29">
        <v>0.3</v>
      </c>
    </row>
    <row r="17" spans="2:3">
      <c r="B17" s="5">
        <v>40</v>
      </c>
      <c r="C17" s="28"/>
    </row>
    <row r="18" spans="2:3">
      <c r="B18" s="5">
        <v>25</v>
      </c>
      <c r="C18" s="28"/>
    </row>
    <row r="19" spans="2:3">
      <c r="B19" s="5">
        <v>60</v>
      </c>
      <c r="C19" s="28"/>
    </row>
    <row r="20" spans="2:3">
      <c r="B20" s="5">
        <v>15</v>
      </c>
      <c r="C20" s="28"/>
    </row>
    <row r="21" spans="2:3">
      <c r="B21" s="5">
        <v>90</v>
      </c>
      <c r="C21" s="28"/>
    </row>
  </sheetData>
  <hyperlinks>
    <hyperlink ref="D3" location="'F1-3 Anchors'!A1" display="◀ Back to F1-3 Anchor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455</v>
      </c>
      <c r="B1" s="2"/>
      <c r="C1" s="2"/>
      <c r="D1" s="2"/>
      <c r="E1" s="2"/>
      <c r="F1" s="2"/>
      <c r="G1" s="2"/>
    </row>
    <row r="2" spans="1:7">
      <c r="A2" s="3" t="s">
        <v>456</v>
      </c>
    </row>
    <row r="3" spans="1:7" ht="26" customHeight="1">
      <c r="A3" s="14" cm="1" t="str">
        <f t="array" ref="A3">"SCORE "&amp;TEXT(SUM($G$13:$G$33),"0000")&amp;" / 0140"</f>
        <v>SCORE 0000 / 0140</v>
      </c>
      <c r="C3" s="15" cm="1" t="str">
        <f t="array" ref="C3">IF(SUM($G$13:$G$33)&gt;=140,"★★★",IF(SUM($G$13:$G$33)&gt;=140*0.8,"★★☆",IF(SUM($G$13:$G$33)&gt;=140*0.5,"★☆☆","☆☆☆")))</f>
        <v>☆☆☆</v>
      </c>
      <c r="D3" s="16" cm="1" t="str">
        <f t="array" ref="D3">REPT("█",ROUND(10*SUM($G$13:$G$33)/140,0))&amp;REPT("░",10-ROUND(10*SUM($G$13:$G$33)/140,0))&amp;"  "&amp;TEXT(SUM($G$13:$G$33)/140,"0%")</f>
        <v>░░░░░░░░░░  0%</v>
      </c>
      <c r="F3" s="17" cm="1" t="str">
        <f t="array" ref="F3">IF(SUM($G$13:$G$33)&gt;=140*0.5,"STAGE CLEAR! ▶ Next: F1-5 X-Ray","")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67" customHeight="1">
      <c r="A7" s="18" t="s">
        <v>25</v>
      </c>
      <c r="B7" s="8" t="s">
        <v>400</v>
      </c>
      <c r="C7" s="19" t="s">
        <v>224</v>
      </c>
    </row>
    <row r="8" spans="1:7" ht="51.25" customHeight="1">
      <c r="A8" s="18" t="s">
        <v>28</v>
      </c>
      <c r="B8" s="8" t="s">
        <v>401</v>
      </c>
      <c r="C8" s="19" t="s">
        <v>217</v>
      </c>
    </row>
    <row r="9" spans="1:7" ht="51.25" customHeight="1">
      <c r="A9" s="18" t="s">
        <v>31</v>
      </c>
      <c r="B9" s="8" t="s">
        <v>402</v>
      </c>
      <c r="C9" s="19" t="s">
        <v>235</v>
      </c>
    </row>
    <row r="11" spans="1:7" ht="22" customHeight="1">
      <c r="A11" s="4" t="s">
        <v>37</v>
      </c>
      <c r="B11" s="4"/>
      <c r="C11" s="4"/>
      <c r="D11" s="4"/>
      <c r="E11" s="4"/>
      <c r="F11" s="4"/>
      <c r="G11" s="4"/>
    </row>
    <row r="12" spans="1:7">
      <c r="A12" s="6" t="s">
        <v>22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1</v>
      </c>
      <c r="G12" s="6" t="s">
        <v>42</v>
      </c>
    </row>
    <row r="13" spans="1:7" ht="35.5" customHeight="1">
      <c r="A13" s="18" t="s">
        <v>47</v>
      </c>
      <c r="B13" s="8" t="s">
        <v>404</v>
      </c>
      <c r="C13" s="20"/>
      <c r="D13" s="21" cm="1" t="str">
        <f t="array" ref="D13">IFERROR(_xlfn.LET(_xlpm.a,'F1-4 Precision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E$67),"✔ CLEAR","✘ TRY AGAIN"))),"✘ TRY AGAIN")</f>
        <v/>
      </c>
      <c r="E13" s="22"/>
      <c r="F13" s="23" cm="1" t="str">
        <f t="array" ref="F13">IF(E13="Show hint",Key!$B$67,"")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52</v>
      </c>
      <c r="B14" s="8" t="s">
        <v>406</v>
      </c>
      <c r="C14" s="20"/>
      <c r="D14" s="21" cm="1" t="str">
        <f t="array" ref="D14">IFERROR(_xlfn.LET(_xlpm.a,'F1-4 Precision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E$68),"✔ CLEAR","✘ TRY AGAIN"))),"✘ TRY AGAIN")</f>
        <v/>
      </c>
      <c r="E14" s="22"/>
      <c r="F14" s="23" cm="1" t="str">
        <f t="array" ref="F14">IF(E14="Show hint",Key!$B$68,"")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57</v>
      </c>
      <c r="B15" s="8" t="s">
        <v>408</v>
      </c>
      <c r="C15" s="20"/>
      <c r="D15" s="21" cm="1" t="str">
        <f t="array" ref="D15">IFERROR(_xlfn.LET(_xlpm.a,'F1-4 Precision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E$69),"✔ CLEAR","✘ TRY AGAIN"))),"✘ TRY AGAIN")</f>
        <v/>
      </c>
      <c r="E15" s="22"/>
      <c r="F15" s="23" cm="1" t="str">
        <f t="array" ref="F15">IF(E15="Show hint",Key!$B$69,"")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62</v>
      </c>
      <c r="B16" s="8" t="s">
        <v>410</v>
      </c>
      <c r="C16" s="20"/>
      <c r="D16" s="21" cm="1" t="str">
        <f t="array" ref="D16">IFERROR(_xlfn.LET(_xlpm.a,'F1-4 Precision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E$70),"✔ CLEAR","✘ TRY AGAIN"))),"✘ TRY AGAIN")</f>
        <v/>
      </c>
      <c r="E16" s="22"/>
      <c r="F16" s="23" cm="1" t="str">
        <f t="array" ref="F16">IF(E16="Show hint",Key!$B$70,"")</f>
        <v/>
      </c>
      <c r="G16" s="24" cm="1">
        <f t="array" ref="G16">IF(LEFT(D16,1)="✔",IF(E16="Show hint",5,10),0)</f>
        <v>0</v>
      </c>
    </row>
    <row r="18" spans="1:7" ht="22" customHeight="1">
      <c r="A18" s="4" t="s">
        <v>69</v>
      </c>
      <c r="B18" s="4"/>
      <c r="C18" s="4"/>
      <c r="D18" s="4"/>
      <c r="E18" s="4"/>
      <c r="F18" s="4"/>
      <c r="G18" s="4"/>
    </row>
    <row r="19" spans="1:7">
      <c r="A19" s="6" t="s">
        <v>22</v>
      </c>
      <c r="B19" s="6" t="s">
        <v>38</v>
      </c>
      <c r="C19" s="6" t="s">
        <v>39</v>
      </c>
      <c r="D19" s="6" t="s">
        <v>40</v>
      </c>
      <c r="E19" s="6" t="s">
        <v>41</v>
      </c>
      <c r="F19" s="6" t="s">
        <v>1</v>
      </c>
      <c r="G19" s="6" t="s">
        <v>42</v>
      </c>
    </row>
    <row r="20" spans="1:7" ht="35.5" customHeight="1">
      <c r="A20" s="18" t="s">
        <v>73</v>
      </c>
      <c r="B20" s="8" t="s">
        <v>413</v>
      </c>
      <c r="C20" s="20"/>
      <c r="D20" s="21" cm="1" t="str">
        <f t="array" ref="D20">IFERROR(IF('F1-4 Precision'!$C$20&amp;""="","",IF('F1-4 Precision'!$C$20&amp;""=Key!$C$71&amp;"","✔ CLEAR","✘ TRY AGAIN")),"✘ TRY AGAIN")</f>
        <v/>
      </c>
      <c r="E20" s="22"/>
      <c r="F20" s="23" cm="1" t="str">
        <f t="array" ref="F20">IF(E20="Show hint",Key!$B$71,"")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78</v>
      </c>
      <c r="B21" s="8" t="s">
        <v>416</v>
      </c>
      <c r="C21" s="20"/>
      <c r="D21" s="21" cm="1" t="str">
        <f t="array" ref="D21">IFERROR(IF('F1-4 Precision'!$C$21&amp;""="","",IF('F1-4 Precision'!$C$21&amp;""=Key!$C$72&amp;"","✔ CLEAR","✘ TRY AGAIN")),"✘ TRY AGAIN")</f>
        <v/>
      </c>
      <c r="E21" s="22"/>
      <c r="F21" s="23" cm="1" t="str">
        <f t="array" ref="F21">IF(E21="Show hint",Key!$B$72,"")</f>
        <v/>
      </c>
      <c r="G21" s="24" cm="1">
        <f t="array" ref="G21">IF(LEFT(D21,1)="✔",IF(E21="Show hint",5,10),0)</f>
        <v>0</v>
      </c>
    </row>
    <row r="22" spans="1:7" ht="19.75" customHeight="1">
      <c r="A22" s="18" t="s">
        <v>82</v>
      </c>
      <c r="B22" s="8" t="s">
        <v>419</v>
      </c>
      <c r="C22" s="20"/>
      <c r="D22" s="21" cm="1" t="str">
        <f t="array" ref="D22">IFERROR(IF('F1-4 Precision'!$C$22&amp;""="","",IF('F1-4 Precision'!$C$22&amp;""=Key!$C$73&amp;"","✔ CLEAR","✘ TRY AGAIN")),"✘ TRY AGAIN")</f>
        <v/>
      </c>
      <c r="E22" s="22"/>
      <c r="F22" s="23" cm="1" t="str">
        <f t="array" ref="F22">IF(E22="Show hint",Key!$B$73,"")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88</v>
      </c>
      <c r="B24" s="4"/>
      <c r="C24" s="4"/>
      <c r="D24" s="4"/>
      <c r="E24" s="4"/>
      <c r="F24" s="4"/>
      <c r="G24" s="4"/>
    </row>
    <row r="25" spans="1:7">
      <c r="B25" s="11" t="s">
        <v>420</v>
      </c>
    </row>
    <row r="26" spans="1:7">
      <c r="A26" s="6" t="s">
        <v>22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1</v>
      </c>
      <c r="G26" s="6" t="s">
        <v>42</v>
      </c>
    </row>
    <row r="27" spans="1:7" ht="35.5" customHeight="1">
      <c r="A27" s="18" t="s">
        <v>94</v>
      </c>
      <c r="B27" s="8" t="s">
        <v>413</v>
      </c>
      <c r="C27" s="20"/>
      <c r="D27" s="21" cm="1" t="str">
        <f t="array" ref="D27">IFERROR(_xlfn.LET(_xlpm.a,'F1-4 Precision'!$C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J$74),"✔ CLEAR","✘ TRY AGAIN"))),"✘ TRY AGAIN")</f>
        <v/>
      </c>
      <c r="E27" s="22"/>
      <c r="F27" s="23" cm="1" t="str">
        <f t="array" ref="F27">IF(E27="Show hint",Key!$B$74,"")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98</v>
      </c>
      <c r="B28" s="8" t="s">
        <v>416</v>
      </c>
      <c r="C28" s="20"/>
      <c r="D28" s="21" cm="1" t="str">
        <f t="array" ref="D28">IFERROR(_xlfn.LET(_xlpm.a,'F1-4 Precision'!$C$28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J$75),"✔ CLEAR","✘ TRY AGAIN"))),"✘ TRY AGAIN")</f>
        <v/>
      </c>
      <c r="E28" s="22"/>
      <c r="F28" s="23" cm="1" t="str">
        <f t="array" ref="F28">IF(E28="Show hint",Key!$B$75,"")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102</v>
      </c>
      <c r="B29" s="8" t="s">
        <v>419</v>
      </c>
      <c r="C29" s="20"/>
      <c r="D29" s="21" cm="1" t="str">
        <f t="array" ref="D29">IFERROR(_xlfn.LET(_xlpm.a,'F1-4 Precision'!$C$29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J$76),"✔ CLEAR","✘ TRY AGAIN"))),"✘ TRY AGAIN")</f>
        <v/>
      </c>
      <c r="E29" s="22"/>
      <c r="F29" s="23" cm="1" t="str">
        <f t="array" ref="F29">IF(E29="Show hint",Key!$B$76,"")</f>
        <v/>
      </c>
      <c r="G29" s="24" cm="1">
        <f t="array" ref="G29">IF(LEFT(D29,1)="✔",IF(E29="Show hint",5,10),0)</f>
        <v>0</v>
      </c>
    </row>
    <row r="30" spans="1:7" ht="19.75" customHeight="1">
      <c r="A30" s="18" t="s">
        <v>108</v>
      </c>
      <c r="B30" s="8" t="s">
        <v>441</v>
      </c>
      <c r="C30" s="11" t="s">
        <v>442</v>
      </c>
      <c r="D30" s="21" cm="1" t="str">
        <f t="array" ref="D30">IF(ISBLANK('F1-4 Arena'!$D$6),"",IF(NOT(_xlfn.ISFORMULA('F1-4 Arena'!$D$6)),"✘ That's a typed value · enter a formula",IF(ISERROR('F1-4 Arena'!$D$6),"✘ Your formula returns "&amp;IFERROR(CHOOSE(ERROR.TYPE('F1-4 Arena'!$D$6),"#NULL!","#DIV/0!","#VALUE!","#REF!","#NAME?","#NUM!","#N/A","#GETTING_DATA","#SPILL!","#CONNECT!","#BLOCKED!","#UNKNOWN!","#FIELD!","#CALC!"),"an error"),IF(NOT(AND(IFERROR(AND(ISNUMBER('F1-4 Arena'!$D$6),ABS('F1-4 Arena'!$D$6-Key!$C$77)&lt;=1E-9*MAX(1,ABS(Key!$C$77))),FALSE))),"✘ TRY AGAIN",IF(AND(OR(ISNUMBER(FIND({"=","(",",","+","-","*","/","&amp;"," ","&lt;","&gt;",":","@","^"}&amp;"ROUND"&amp;"(",UPPER(_xlfn.FORMULATEXT('F1-4 Arena'!$D$6)))))),"✔ CLEAR","✘ CLOSE · right value, but use ROUND")))))</f>
        <v/>
      </c>
      <c r="E30" s="22"/>
      <c r="F30" s="23" cm="1" t="str">
        <f t="array" ref="F30">IF(E30="Show hint",Key!$B$77,"")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112</v>
      </c>
      <c r="B31" s="8" t="s">
        <v>445</v>
      </c>
      <c r="C31" s="11" t="s">
        <v>446</v>
      </c>
      <c r="D31" s="21" cm="1" t="str">
        <f t="array" ref="D31">IF(ISBLANK('F1-4 Arena'!$D$7),"",IF(NOT(_xlfn.ISFORMULA('F1-4 Arena'!$D$7)),"✘ That's a typed value · enter a formula",IF(ISERROR('F1-4 Arena'!$D$7),"✘ Your formula returns "&amp;IFERROR(CHOOSE(ERROR.TYPE('F1-4 Arena'!$D$7),"#NULL!","#DIV/0!","#VALUE!","#REF!","#NAME?","#NUM!","#N/A","#GETTING_DATA","#SPILL!","#CONNECT!","#BLOCKED!","#UNKNOWN!","#FIELD!","#CALC!"),"an error"),IF(NOT(AND(IFERROR(AND(ISNUMBER('F1-4 Arena'!$D$7),ABS('F1-4 Arena'!$D$7-Key!$C$78)&lt;=1E-9*MAX(1,ABS(Key!$C$78))),FALSE))),"✘ TRY AGAIN",IF(AND(OR(ISNUMBER(FIND({"=","(",",","+","-","*","/","&amp;"," ","&lt;","&gt;",":","@","^"}&amp;"ROUNDUP"&amp;"(",UPPER(_xlfn.FORMULATEXT('F1-4 Arena'!$D$7)))))),"✔ CLEAR","✘ CLOSE · right value, but use ROUNDUP")))))</f>
        <v/>
      </c>
      <c r="E31" s="22"/>
      <c r="F31" s="23" cm="1" t="str">
        <f t="array" ref="F31">IF(E31="Show hint",Key!$B$78,"")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117</v>
      </c>
      <c r="B32" s="8" t="s">
        <v>449</v>
      </c>
      <c r="C32" s="11" t="s">
        <v>450</v>
      </c>
      <c r="D32" s="21" cm="1" t="str">
        <f t="array" ref="D32">IF(ISBLANK('F1-4 Arena'!$D$8),"",IF(NOT(_xlfn.ISFORMULA('F1-4 Arena'!$D$8)),"✘ That's a typed value · enter a formula",IF(ISERROR('F1-4 Arena'!$D$8),"✘ Your formula returns "&amp;IFERROR(CHOOSE(ERROR.TYPE('F1-4 Arena'!$D$8),"#NULL!","#DIV/0!","#VALUE!","#REF!","#NAME?","#NUM!","#N/A","#GETTING_DATA","#SPILL!","#CONNECT!","#BLOCKED!","#UNKNOWN!","#FIELD!","#CALC!"),"an error"),IF(NOT(AND(IFERROR(AND(ISNUMBER('F1-4 Arena'!$D$8),ABS('F1-4 Arena'!$D$8-Key!$C$79)&lt;=1E-9*MAX(1,ABS(Key!$C$79))),FALSE))),"✘ TRY AGAIN",IF(AND(OR(ISNUMBER(FIND({"=","(",",","+","-","*","/","&amp;"," ","&lt;","&gt;",":","@","^"}&amp;"ROUNDDOWN"&amp;"(",UPPER(_xlfn.FORMULATEXT('F1-4 Arena'!$D$8)))))),"✔ CLEAR","✘ CLOSE · right value, but use ROUNDDOWN")))))</f>
        <v/>
      </c>
      <c r="E32" s="22"/>
      <c r="F32" s="23" cm="1" t="str">
        <f t="array" ref="F32">IF(E32="Show hint",Key!$B$79,"")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122</v>
      </c>
      <c r="B33" s="8" t="s">
        <v>453</v>
      </c>
      <c r="C33" s="11" t="s">
        <v>454</v>
      </c>
      <c r="D33" s="21" cm="1" t="str">
        <f t="array" ref="D33">IF(ISBLANK('F1-4 Arena'!$D$9),"",IF(NOT(_xlfn.ISFORMULA('F1-4 Arena'!$D$9)),"✘ That's a typed value · enter a formula",IF(ISERROR('F1-4 Arena'!$D$9),"✘ Your formula returns "&amp;IFERROR(CHOOSE(ERROR.TYPE('F1-4 Arena'!$D$9),"#NULL!","#DIV/0!","#VALUE!","#REF!","#NAME?","#NUM!","#N/A","#GETTING_DATA","#SPILL!","#CONNECT!","#BLOCKED!","#UNKNOWN!","#FIELD!","#CALC!"),"an error"),IF(NOT(AND(IFERROR(AND(ISNUMBER('F1-4 Arena'!$D$9),ABS('F1-4 Arena'!$D$9-Key!$C$80)&lt;=1E-9*MAX(1,ABS(Key!$C$80))),FALSE))),"✘ TRY AGAIN",IF(AND(OR(ISNUMBER(FIND({"=","(",",","+","-","*","/","&amp;"," ","&lt;","&gt;",":","@","^"}&amp;"ROUND"&amp;"(",UPPER(_xlfn.FORMULATEXT('F1-4 Arena'!$D$9)))))),"✔ CLEAR","✘ CLOSE · right value, but use ROUND")))))</f>
        <v/>
      </c>
      <c r="E33" s="22"/>
      <c r="F33" s="23" cm="1" t="str">
        <f t="array" ref="F33">IF(E33="Show hint",Key!$B$80,"")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3:D33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24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0">
      <formula1>Key!$E$71:$H$71</formula1>
    </dataValidation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type="list" allowBlank="1" showInputMessage="1" showErrorMessage="1" promptTitle="Pick an answer" prompt="Press Alt+Down to open the list, choose with the arrow keys, then press Enter." sqref="C21">
      <formula1>Key!$E$72:$H$72</formula1>
    </dataValidation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2">
      <formula1>Key!$E$73:$H$73</formula1>
    </dataValidation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9"/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5" location="'F1-4 Arena'!A1" display="▶ Open F1-4 Arena (or press Ctrl+PgDn)"/>
    <hyperlink ref="C30" location="'F1-4 Arena'!D6" tooltip="Go to F1-4 Arena, cell D6" display="▶ ARENA C4 (cell D6)"/>
    <hyperlink ref="C31" location="'F1-4 Arena'!D7" tooltip="Go to F1-4 Arena, cell D7" display="▶ ARENA C5 (cell D7)"/>
    <hyperlink ref="C32" location="'F1-4 Arena'!D8" tooltip="Go to F1-4 Arena, cell D8" display="▶ ARENA C6 (cell D8)"/>
    <hyperlink ref="C33" location="'F1-4 Arena'!D9" tooltip="Go to F1-4 Arena, cell D9" display="▶ ARENA C7 (cell D9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4.7109375" customWidth="1"/>
    <col min="2" max="2" width="13.7109375" customWidth="1"/>
    <col min="3" max="3" width="24.7109375" customWidth="1"/>
    <col min="4" max="26" width="13.7109375" customWidth="1"/>
  </cols>
  <sheetData>
    <row r="1" spans="1:4">
      <c r="A1" s="1" t="s">
        <v>391</v>
      </c>
    </row>
    <row r="2" spans="1:4">
      <c r="A2" s="3" t="s">
        <v>5</v>
      </c>
    </row>
    <row r="3" spans="1:4">
      <c r="A3" s="25" t="s">
        <v>6</v>
      </c>
      <c r="B3" s="26" t="s">
        <v>392</v>
      </c>
      <c r="D3" s="11" t="s">
        <v>393</v>
      </c>
    </row>
    <row r="5" spans="1:4">
      <c r="B5" s="27" t="s">
        <v>394</v>
      </c>
      <c r="C5" s="27" t="s">
        <v>395</v>
      </c>
    </row>
    <row r="6" spans="1:4">
      <c r="B6" s="5">
        <v>3.14159</v>
      </c>
      <c r="C6" s="5" t="s">
        <v>396</v>
      </c>
      <c r="D6" s="28"/>
    </row>
    <row r="7" spans="1:4">
      <c r="B7" s="5">
        <v>2.4</v>
      </c>
      <c r="C7" s="5" t="s">
        <v>397</v>
      </c>
      <c r="D7" s="28"/>
    </row>
    <row r="8" spans="1:4">
      <c r="B8" s="5">
        <v>7.86</v>
      </c>
      <c r="C8" s="5" t="s">
        <v>398</v>
      </c>
      <c r="D8" s="28"/>
    </row>
    <row r="9" spans="1:4">
      <c r="B9" s="5">
        <v>1234.5</v>
      </c>
      <c r="C9" s="5" t="s">
        <v>399</v>
      </c>
      <c r="D9" s="28"/>
    </row>
  </sheetData>
  <hyperlinks>
    <hyperlink ref="D3" location="'F1-4 Precision'!A1" display="◀ Back to F1-4 Precision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525</v>
      </c>
      <c r="B1" s="2"/>
      <c r="C1" s="2"/>
      <c r="D1" s="2"/>
      <c r="E1" s="2"/>
      <c r="F1" s="2"/>
      <c r="G1" s="2"/>
    </row>
    <row r="2" spans="1:7">
      <c r="A2" s="3" t="s">
        <v>526</v>
      </c>
    </row>
    <row r="3" spans="1:7" ht="26" customHeight="1">
      <c r="A3" s="14" cm="1" t="str">
        <f t="array" ref="A3">"SCORE "&amp;TEXT(SUM($G$15:$G$42),"0000")&amp;" / 0210"</f>
        <v>SCORE 0000 / 0210</v>
      </c>
      <c r="C3" s="15" cm="1" t="str">
        <f t="array" ref="C3">IF(SUM($G$15:$G$42)&gt;=210,"★★★",IF(SUM($G$15:$G$42)&gt;=210*0.8,"★★☆",IF(SUM($G$15:$G$42)&gt;=210*0.5,"★☆☆","☆☆☆")))</f>
        <v>☆☆☆</v>
      </c>
      <c r="D3" s="16" cm="1" t="str">
        <f t="array" ref="D3">REPT("█",ROUND(10*SUM($G$15:$G$42)/210,0))&amp;REPT("░",10-ROUND(10*SUM($G$15:$G$42)/210,0))&amp;"  "&amp;TEXT(SUM($G$15:$G$42)/210,"0%")</f>
        <v>░░░░░░░░░░  0%</v>
      </c>
      <c r="F3" s="17" cm="1" t="str">
        <f t="array" ref="F3">IF(SUM($G$15:$G$42)&gt;=210*0.5,"STAGE CLEAR! ▶ Next: Boss","")</f>
        <v/>
      </c>
    </row>
    <row r="5" spans="1:7" ht="22" customHeight="1">
      <c r="A5" s="4" t="s">
        <v>21</v>
      </c>
      <c r="B5" s="4"/>
      <c r="C5" s="4"/>
      <c r="D5" s="4"/>
      <c r="E5" s="4"/>
      <c r="F5" s="4"/>
      <c r="G5" s="4"/>
    </row>
    <row r="6" spans="1:7">
      <c r="A6" s="6" t="s">
        <v>22</v>
      </c>
      <c r="B6" s="6" t="s">
        <v>23</v>
      </c>
      <c r="C6" s="6" t="s">
        <v>24</v>
      </c>
      <c r="D6" s="6"/>
      <c r="E6" s="6"/>
      <c r="F6" s="6"/>
      <c r="G6" s="6"/>
    </row>
    <row r="7" spans="1:7" ht="67" customHeight="1">
      <c r="A7" s="18" t="s">
        <v>25</v>
      </c>
      <c r="B7" s="8" t="s">
        <v>466</v>
      </c>
      <c r="C7" s="19" t="s">
        <v>241</v>
      </c>
    </row>
    <row r="8" spans="1:7" ht="67" customHeight="1">
      <c r="A8" s="18" t="s">
        <v>28</v>
      </c>
      <c r="B8" s="8" t="s">
        <v>467</v>
      </c>
      <c r="C8" s="19" t="s">
        <v>369</v>
      </c>
    </row>
    <row r="9" spans="1:7" ht="67" customHeight="1">
      <c r="A9" s="18" t="s">
        <v>31</v>
      </c>
      <c r="B9" s="8" t="s">
        <v>468</v>
      </c>
      <c r="C9" s="19" t="s">
        <v>242</v>
      </c>
    </row>
    <row r="10" spans="1:7" ht="67" customHeight="1">
      <c r="A10" s="18" t="s">
        <v>34</v>
      </c>
      <c r="B10" s="8" t="s">
        <v>469</v>
      </c>
      <c r="C10" s="19" t="s">
        <v>365</v>
      </c>
    </row>
    <row r="11" spans="1:7" ht="51.25" customHeight="1">
      <c r="A11" s="18" t="s">
        <v>164</v>
      </c>
      <c r="B11" s="8" t="s">
        <v>470</v>
      </c>
      <c r="C11" s="19" t="s">
        <v>240</v>
      </c>
    </row>
    <row r="13" spans="1:7" ht="22" customHeight="1">
      <c r="A13" s="4" t="s">
        <v>37</v>
      </c>
      <c r="B13" s="4"/>
      <c r="C13" s="4"/>
      <c r="D13" s="4"/>
      <c r="E13" s="4"/>
      <c r="F13" s="4"/>
      <c r="G13" s="4"/>
    </row>
    <row r="14" spans="1:7">
      <c r="A14" s="6" t="s">
        <v>22</v>
      </c>
      <c r="B14" s="6" t="s">
        <v>38</v>
      </c>
      <c r="C14" s="6" t="s">
        <v>39</v>
      </c>
      <c r="D14" s="6" t="s">
        <v>40</v>
      </c>
      <c r="E14" s="6" t="s">
        <v>41</v>
      </c>
      <c r="F14" s="6" t="s">
        <v>1</v>
      </c>
      <c r="G14" s="6" t="s">
        <v>42</v>
      </c>
    </row>
    <row r="15" spans="1:7" ht="35.5" customHeight="1">
      <c r="A15" s="18" t="s">
        <v>47</v>
      </c>
      <c r="B15" s="8" t="s">
        <v>472</v>
      </c>
      <c r="C15" s="20"/>
      <c r="D15" s="21" cm="1" t="str">
        <f t="array" ref="D15">IFERROR(_xlfn.LET(_xlpm.a,'F1-5 X-Ray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J$81),"✔ CLEAR","✘ TRY AGAIN"))),"✘ TRY AGAIN")</f>
        <v/>
      </c>
      <c r="E15" s="22"/>
      <c r="F15" s="23" cm="1" t="str">
        <f t="array" ref="F15">IF(E15="Show hint",Key!$B$81,"")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52</v>
      </c>
      <c r="B16" s="8" t="s">
        <v>474</v>
      </c>
      <c r="C16" s="20"/>
      <c r="D16" s="21" cm="1" t="str">
        <f t="array" ref="D16">IFERROR(_xlfn.LET(_xlpm.a,'F1-5 X-Ray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J$82),"✔ CLEAR","✘ TRY AGAIN"))),"✘ TRY AGAIN")</f>
        <v/>
      </c>
      <c r="E16" s="22"/>
      <c r="F16" s="23" cm="1" t="str">
        <f t="array" ref="F16">IF(E16="Show hint",Key!$B$82,"")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57</v>
      </c>
      <c r="B17" s="8" t="s">
        <v>476</v>
      </c>
      <c r="C17" s="20"/>
      <c r="D17" s="21" cm="1" t="str">
        <f t="array" ref="D17">IFERROR(_xlfn.LET(_xlpm.a,'F1-5 X-Ray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J$83),"✔ CLEAR","✘ TRY AGAIN"))),"✘ TRY AGAIN")</f>
        <v/>
      </c>
      <c r="E17" s="22"/>
      <c r="F17" s="23" cm="1" t="str">
        <f t="array" ref="F17">IF(E17="Show hint",Key!$B$83,"")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62</v>
      </c>
      <c r="B18" s="8" t="s">
        <v>174</v>
      </c>
      <c r="C18" s="20"/>
      <c r="D18" s="21" cm="1" t="str">
        <f t="array" ref="D18">IFERROR(_xlfn.LET(_xlpm.a,'F1-5 X-Ray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H$84),"✔ CLEAR","✘ TRY AGAIN"))),"✘ TRY AGAIN")</f>
        <v/>
      </c>
      <c r="E18" s="22"/>
      <c r="F18" s="23" cm="1" t="str">
        <f t="array" ref="F18">IF(E18="Show hint",Key!$B$84,"")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67</v>
      </c>
      <c r="B19" s="8" t="s">
        <v>176</v>
      </c>
      <c r="C19" s="20"/>
      <c r="D19" s="21" cm="1" t="str">
        <f t="array" ref="D19">IFERROR(_xlfn.LET(_xlpm.a,'F1-5 X-Ray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F$85),"✔ CLEAR","✘ TRY AGAIN"))),"✘ TRY AGAIN")</f>
        <v/>
      </c>
      <c r="E19" s="22"/>
      <c r="F19" s="23" cm="1" t="str">
        <f t="array" ref="F19">IF(E19="Show hint",Key!$B$85,"")</f>
        <v/>
      </c>
      <c r="G19" s="24" cm="1">
        <f t="array" ref="G19">IF(LEFT(D19,1)="✔",IF(E19="Show hint",5,10),0)</f>
        <v>0</v>
      </c>
    </row>
    <row r="20" spans="1:7" ht="19.75" customHeight="1">
      <c r="A20" s="18" t="s">
        <v>201</v>
      </c>
      <c r="B20" s="8" t="s">
        <v>178</v>
      </c>
      <c r="C20" s="20"/>
      <c r="D20" s="21" cm="1" t="str">
        <f t="array" ref="D20">IFERROR(_xlfn.LET(_xlpm.a,'F1-5 X-Ray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E$86),"✔ CLEAR","✘ TRY AGAIN"))),"✘ TRY AGAIN")</f>
        <v/>
      </c>
      <c r="E20" s="22"/>
      <c r="F20" s="23" cm="1" t="str">
        <f t="array" ref="F20">IF(E20="Show hint",Key!$B$86,"")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207</v>
      </c>
      <c r="B21" s="8" t="s">
        <v>180</v>
      </c>
      <c r="C21" s="20"/>
      <c r="D21" s="21" cm="1" t="str">
        <f t="array" ref="D21">IFERROR(_xlfn.LET(_xlpm.a,'F1-5 X-Ray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H$87),"✔ CLEAR","✘ TRY AGAIN"))),"✘ TRY AGAIN")</f>
        <v/>
      </c>
      <c r="E21" s="22"/>
      <c r="F21" s="23" cm="1" t="str">
        <f t="array" ref="F21">IF(E21="Show hint",Key!$B$87,"")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69</v>
      </c>
      <c r="B23" s="4"/>
      <c r="C23" s="4"/>
      <c r="D23" s="4"/>
      <c r="E23" s="4"/>
      <c r="F23" s="4"/>
      <c r="G23" s="4"/>
    </row>
    <row r="24" spans="1:7">
      <c r="A24" s="6" t="s">
        <v>22</v>
      </c>
      <c r="B24" s="6" t="s">
        <v>38</v>
      </c>
      <c r="C24" s="6" t="s">
        <v>39</v>
      </c>
      <c r="D24" s="6" t="s">
        <v>40</v>
      </c>
      <c r="E24" s="6" t="s">
        <v>41</v>
      </c>
      <c r="F24" s="6" t="s">
        <v>1</v>
      </c>
      <c r="G24" s="6" t="s">
        <v>42</v>
      </c>
    </row>
    <row r="25" spans="1:7" ht="35.5" customHeight="1">
      <c r="A25" s="18" t="s">
        <v>73</v>
      </c>
      <c r="B25" s="8" t="s">
        <v>483</v>
      </c>
      <c r="C25" s="20"/>
      <c r="D25" s="21" cm="1" t="str">
        <f t="array" ref="D25">IFERROR(IF('F1-5 X-Ray'!$C$25&amp;""="","",IF('F1-5 X-Ray'!$C$25&amp;""=Key!$C$88&amp;"","✔ CLEAR","✘ TRY AGAIN")),"✘ TRY AGAIN")</f>
        <v/>
      </c>
      <c r="E25" s="22"/>
      <c r="F25" s="23" cm="1" t="str">
        <f t="array" ref="F25">IF(E25="Show hint",Key!$B$88,"")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78</v>
      </c>
      <c r="B26" s="8" t="s">
        <v>486</v>
      </c>
      <c r="C26" s="20"/>
      <c r="D26" s="21" cm="1" t="str">
        <f t="array" ref="D26">IFERROR(IF('F1-5 X-Ray'!$C$26&amp;""="","",IF('F1-5 X-Ray'!$C$26&amp;""=Key!$C$89&amp;"","✔ CLEAR","✘ TRY AGAIN")),"✘ TRY AGAIN")</f>
        <v/>
      </c>
      <c r="E26" s="22"/>
      <c r="F26" s="23" cm="1" t="str">
        <f t="array" ref="F26">IF(E26="Show hint",Key!$B$89,"")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82</v>
      </c>
      <c r="B27" s="8" t="s">
        <v>489</v>
      </c>
      <c r="C27" s="20"/>
      <c r="D27" s="21" cm="1" t="str">
        <f t="array" ref="D27">IFERROR(IF('F1-5 X-Ray'!$C$27&amp;""="","",IF('F1-5 X-Ray'!$C$27&amp;""=Key!$C$90&amp;"","✔ CLEAR","✘ TRY AGAIN")),"✘ TRY AGAIN")</f>
        <v/>
      </c>
      <c r="E27" s="22"/>
      <c r="F27" s="23" cm="1" t="str">
        <f t="array" ref="F27">IF(E27="Show hint",Key!$B$90,"")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86</v>
      </c>
      <c r="B28" s="8" t="s">
        <v>492</v>
      </c>
      <c r="C28" s="20"/>
      <c r="D28" s="21" cm="1" t="str">
        <f t="array" ref="D28">IFERROR(IF('F1-5 X-Ray'!$C$28&amp;""="","",IF('F1-5 X-Ray'!$C$28&amp;""=Key!$C$91&amp;"","✔ CLEAR","✘ TRY AGAIN")),"✘ TRY AGAIN")</f>
        <v/>
      </c>
      <c r="E28" s="22"/>
      <c r="F28" s="23" cm="1" t="str">
        <f t="array" ref="F28">IF(E28="Show hint",Key!$B$91,"")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231</v>
      </c>
      <c r="B29" s="8" t="s">
        <v>495</v>
      </c>
      <c r="C29" s="20"/>
      <c r="D29" s="21" cm="1" t="str">
        <f t="array" ref="D29">IFERROR(IF('F1-5 X-Ray'!$C$29&amp;""="","",IF('F1-5 X-Ray'!$C$29&amp;""=Key!$C$92&amp;"","✔ CLEAR","✘ TRY AGAIN")),"✘ TRY AGAIN")</f>
        <v/>
      </c>
      <c r="E29" s="22"/>
      <c r="F29" s="23" cm="1" t="str">
        <f t="array" ref="F29">IF(E29="Show hint",Key!$B$92,"")</f>
        <v/>
      </c>
      <c r="G29" s="24" cm="1">
        <f t="array" ref="G29">IF(LEFT(D29,1)="✔",IF(E29="Show hint",5,10),0)</f>
        <v>0</v>
      </c>
    </row>
    <row r="31" spans="1:7" ht="22" customHeight="1">
      <c r="A31" s="4" t="s">
        <v>88</v>
      </c>
      <c r="B31" s="4"/>
      <c r="C31" s="4"/>
      <c r="D31" s="4"/>
      <c r="E31" s="4"/>
      <c r="F31" s="4"/>
      <c r="G31" s="4"/>
    </row>
    <row r="32" spans="1:7">
      <c r="B32" s="11" t="s">
        <v>496</v>
      </c>
    </row>
    <row r="33" spans="1:7">
      <c r="A33" s="6" t="s">
        <v>22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1</v>
      </c>
      <c r="G33" s="6" t="s">
        <v>42</v>
      </c>
    </row>
    <row r="34" spans="1:7" ht="35.5" customHeight="1">
      <c r="A34" s="18" t="s">
        <v>94</v>
      </c>
      <c r="B34" s="8" t="s">
        <v>483</v>
      </c>
      <c r="C34" s="20"/>
      <c r="D34" s="21" cm="1" t="str">
        <f t="array" ref="D34">IFERROR(_xlfn.LET(_xlpm.a,'F1-5 X-Ray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$93:$H$93),"✔ CLEAR","✘ TRY AGAIN"))),"✘ TRY AGAIN")</f>
        <v/>
      </c>
      <c r="E34" s="22"/>
      <c r="F34" s="23" cm="1" t="str">
        <f t="array" ref="F34">IF(E34="Show hint",Key!$B$93,"")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98</v>
      </c>
      <c r="B35" s="8" t="s">
        <v>486</v>
      </c>
      <c r="C35" s="20"/>
      <c r="D35" s="21" cm="1" t="str">
        <f t="array" ref="D35">IFERROR(_xlfn.LET(_xlpm.a,'F1-5 X-Ray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$94:$E$94),"✔ CLEAR","✘ TRY AGAIN"))),"✘ TRY AGAIN")</f>
        <v/>
      </c>
      <c r="E35" s="22"/>
      <c r="F35" s="23" cm="1" t="str">
        <f t="array" ref="F35">IF(E35="Show hint",Key!$B$94,"")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102</v>
      </c>
      <c r="B36" s="8" t="s">
        <v>489</v>
      </c>
      <c r="C36" s="20"/>
      <c r="D36" s="21" cm="1" t="str">
        <f t="array" ref="D36">IFERROR(_xlfn.LET(_xlpm.a,'F1-5 X-Ray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E$95),"✔ CLEAR","✘ TRY AGAIN"))),"✘ TRY AGAIN")</f>
        <v/>
      </c>
      <c r="E36" s="22"/>
      <c r="F36" s="23" cm="1" t="str">
        <f t="array" ref="F36">IF(E36="Show hint",Key!$B$95,"")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108</v>
      </c>
      <c r="B37" s="8" t="s">
        <v>492</v>
      </c>
      <c r="C37" s="20"/>
      <c r="D37" s="21" cm="1" t="str">
        <f t="array" ref="D37">IFERROR(_xlfn.LET(_xlpm.a,'F1-5 X-Ray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$96:$F$96),"✔ CLEAR","✘ TRY AGAIN"))),"✘ TRY AGAIN")</f>
        <v/>
      </c>
      <c r="E37" s="22"/>
      <c r="F37" s="23" cm="1" t="str">
        <f t="array" ref="F37">IF(E37="Show hint",Key!$B$96,"")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112</v>
      </c>
      <c r="B38" s="8" t="s">
        <v>495</v>
      </c>
      <c r="C38" s="20"/>
      <c r="D38" s="21" cm="1" t="str">
        <f t="array" ref="D38">IFERROR(_xlfn.LET(_xlpm.a,'F1-5 X-Ray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$97:$E$97),"✔ CLEAR","✘ TRY AGAIN"))),"✘ TRY AGAIN")</f>
        <v/>
      </c>
      <c r="E38" s="22"/>
      <c r="F38" s="23" cm="1" t="str">
        <f t="array" ref="F38">IF(E38="Show hint",Key!$B$97,"")</f>
        <v/>
      </c>
      <c r="G38" s="24" cm="1">
        <f t="array" ref="G38">IF(LEFT(D38,1)="✔",IF(E38="Show hint",5,10),0)</f>
        <v>0</v>
      </c>
    </row>
    <row r="39" spans="1:7" ht="67" customHeight="1">
      <c r="A39" s="18" t="s">
        <v>117</v>
      </c>
      <c r="B39" s="8" t="s">
        <v>512</v>
      </c>
      <c r="C39" s="20"/>
      <c r="D39" s="21" cm="1" t="str">
        <f t="array" ref="D39">IFERROR(_xlfn.LET(_xlpm.a,'F1-5 X-Ray'!$C$39,IF(TRIM(_xlpm.a&amp;"")="","",IF(SUBSTITUTE(SUBSTITUTE(UPPER(_xlpm.a&amp;"")," ",""),"$","")=Key!$C$98,"✔ CLEAR","✘ TRY AGAIN"))),"✘ TRY AGAIN")</f>
        <v/>
      </c>
      <c r="E39" s="22"/>
      <c r="F39" s="23" cm="1" t="str">
        <f t="array" ref="F39">IF(E39="Show hint",Key!$B$98,"")</f>
        <v/>
      </c>
      <c r="G39" s="24" cm="1">
        <f t="array" ref="G39">IF(LEFT(D39,1)="✔",IF(E39="Show hint",5,10),0)</f>
        <v>0</v>
      </c>
    </row>
    <row r="40" spans="1:7" ht="67" customHeight="1">
      <c r="A40" s="18" t="s">
        <v>122</v>
      </c>
      <c r="B40" s="8" t="s">
        <v>516</v>
      </c>
      <c r="C40" s="20"/>
      <c r="D40" s="21" cm="1" t="str">
        <f t="array" ref="D40">IFERROR(_xlfn.LET(_xlpm.a,'F1-5 X-Ray'!$C$40,IF(TRIM(_xlpm.a&amp;"")="","",IF(SUBSTITUTE(SUBSTITUTE(UPPER(_xlpm.a&amp;"")," ",""),"$","")=Key!$C$99,"✔ CLEAR","✘ TRY AGAIN"))),"✘ TRY AGAIN")</f>
        <v/>
      </c>
      <c r="E40" s="22"/>
      <c r="F40" s="23" cm="1" t="str">
        <f t="array" ref="F40">IF(E40="Show hint",Key!$B$99,"")</f>
        <v/>
      </c>
      <c r="G40" s="24" cm="1">
        <f t="array" ref="G40">IF(LEFT(D40,1)="✔",IF(E40="Show hint",5,10),0)</f>
        <v>0</v>
      </c>
    </row>
    <row r="41" spans="1:7" ht="51.25" customHeight="1">
      <c r="A41" s="18" t="s">
        <v>127</v>
      </c>
      <c r="B41" s="8" t="s">
        <v>519</v>
      </c>
      <c r="C41" s="11" t="s">
        <v>520</v>
      </c>
      <c r="D41" s="21" cm="1" t="str">
        <f t="array" ref="D41">IF(ISBLANK('F1-5 Arena'!$G$8),"",IF(NOT(_xlfn.ISFORMULA('F1-5 Arena'!$G$8)),"✘ That's a typed value · enter a formula",IF(ISERROR('F1-5 Arena'!$G$8),"✘ Your formula returns "&amp;IFERROR(CHOOSE(ERROR.TYPE('F1-5 Arena'!$G$8),"#NULL!","#DIV/0!","#VALUE!","#REF!","#NAME?","#NUM!","#N/A","#GETTING_DATA","#SPILL!","#CONNECT!","#BLOCKED!","#UNKNOWN!","#FIELD!","#CALC!"),"an error"),IF(NOT(AND(IFERROR(AND(ISNUMBER('F1-5 Arena'!$G$8),ABS('F1-5 Arena'!$G$8-Key!$C$100)&lt;=1E-9*MAX(1,ABS(Key!$C$100))),FALSE))),"✘ TRY AGAIN",IF(AND(OR(ISNUMBER(FIND({"=","(",",","+","-","*","/","&amp;"," ","&lt;","&gt;",":","@","^"}&amp;"AVERAGE"&amp;"(",UPPER(_xlfn.FORMULATEXT('F1-5 Arena'!$G$8)))))),"✔ CLEAR","✘ CLOSE · right value, but use AVERAGE")))))</f>
        <v/>
      </c>
      <c r="E41" s="22"/>
      <c r="F41" s="23" cm="1" t="str">
        <f t="array" ref="F41">IF(E41="Show hint",Key!$B$100,"")</f>
        <v/>
      </c>
      <c r="G41" s="24" cm="1">
        <f t="array" ref="G41">IF(LEFT(D41,1)="✔",IF(E41="Show hint",5,10),0)</f>
        <v>0</v>
      </c>
    </row>
    <row r="42" spans="1:7" ht="67" customHeight="1">
      <c r="A42" s="18" t="s">
        <v>290</v>
      </c>
      <c r="B42" s="8" t="s">
        <v>523</v>
      </c>
      <c r="C42" s="11" t="s">
        <v>524</v>
      </c>
      <c r="D42" s="21" cm="1" t="str">
        <f t="array" ref="D42">IF(ISBLANK('F1-5 Arena'!$G$9),"",IF(NOT(_xlfn.ISFORMULA('F1-5 Arena'!$G$9)),"✘ That's a typed value · enter a formula",IF(ISERROR('F1-5 Arena'!$G$9),"✘ Your formula returns "&amp;IFERROR(CHOOSE(ERROR.TYPE('F1-5 Arena'!$G$9),"#NULL!","#DIV/0!","#VALUE!","#REF!","#NAME?","#NUM!","#N/A","#GETTING_DATA","#SPILL!","#CONNECT!","#BLOCKED!","#UNKNOWN!","#FIELD!","#CALC!"),"an error"),IF(NOT(AND(IFERROR(AND(ISNUMBER('F1-5 Arena'!$G$9),ABS('F1-5 Arena'!$G$9-Key!$C$101)&lt;=1E-9*MAX(1,ABS(Key!$C$101))),FALSE))),"✘ TRY AGAIN",IF(AND(OR(ISNUMBER(FIND({"=","(",",","+","-","*","/","&amp;"," ","&lt;","&gt;",":","@","^"}&amp;"ROUND"&amp;"(",UPPER(_xlfn.FORMULATEXT('F1-5 Arena'!$G$9)))))),"✔ CLEAR","✘ CLOSE · right value, but use ROUND")))))</f>
        <v/>
      </c>
      <c r="E42" s="22"/>
      <c r="F42" s="23" cm="1" t="str">
        <f t="array" ref="F42">IF(E42="Show hint",Key!$B$101,"")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5:D42">
    <cfRule type="expression" dxfId="0" priority="1">
      <formula>LEFT($D15,1)="✔"</formula>
    </cfRule>
    <cfRule type="expression" dxfId="1" priority="2">
      <formula>LEFT($D15,1)="✘"</formula>
    </cfRule>
    <cfRule type="expression" dxfId="2" priority="3">
      <formula>$D15="LOCKED"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Key!$E$88:$H$88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Key!$E$89:$H$89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Key!$E$90:$H$90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Key!$E$91:$H$91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Key!$E$92:$H$92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what you found" prompt="Do the move in the arena, then type the word or number you found here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allowBlank="1" showInputMessage="1" showErrorMessage="1" promptTitle="Type what you found" prompt="Do the move in the arena, then type the word or number you found here." sqref="C40"/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2" location="'F1-5 Arena'!A1" display="▶ Open F1-5 Arena (or press Ctrl+PgDn)"/>
    <hyperlink ref="C41" location="'F1-5 Arena'!G8" tooltip="Go to F1-5 Arena, cell G8" display="▶ ARENA C8 (cell G8)"/>
    <hyperlink ref="C42" location="'F1-5 Arena'!G9" tooltip="Go to F1-5 Arena, cell G9" display="▶ ARENA C9 (cell G9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4.7109375" customWidth="1"/>
    <col min="2" max="5" width="13.7109375" customWidth="1"/>
    <col min="6" max="6" width="22.7109375" customWidth="1"/>
    <col min="7" max="26" width="13.7109375" customWidth="1"/>
  </cols>
  <sheetData>
    <row r="1" spans="1:7">
      <c r="A1" s="1" t="s">
        <v>457</v>
      </c>
    </row>
    <row r="2" spans="1:7">
      <c r="A2" s="3" t="s">
        <v>5</v>
      </c>
    </row>
    <row r="3" spans="1:7">
      <c r="A3" s="25" t="s">
        <v>6</v>
      </c>
      <c r="B3" s="26" t="s">
        <v>458</v>
      </c>
      <c r="D3" s="11" t="s">
        <v>459</v>
      </c>
    </row>
    <row r="5" spans="1:7">
      <c r="B5" s="27" t="s">
        <v>460</v>
      </c>
      <c r="C5" s="27" t="s">
        <v>461</v>
      </c>
      <c r="E5" s="27" t="s">
        <v>462</v>
      </c>
    </row>
    <row r="6" spans="1:7">
      <c r="B6" s="5">
        <v>1</v>
      </c>
      <c r="C6" s="5" cm="1">
        <f t="array" ref="C6">B6*10+5</f>
        <v>15</v>
      </c>
      <c r="E6" s="5" cm="1">
        <f t="array" ref="E6">SUM(C6:C15)+H20</f>
        <v>650</v>
      </c>
    </row>
    <row r="7" spans="1:7">
      <c r="B7" s="5">
        <v>2</v>
      </c>
      <c r="C7" s="5" cm="1">
        <f t="array" ref="C7">B7*10+5</f>
        <v>25</v>
      </c>
    </row>
    <row r="8" spans="1:7">
      <c r="B8" s="5">
        <v>3</v>
      </c>
      <c r="C8" s="5" cm="1">
        <f t="array" ref="C8">B8*10+5</f>
        <v>35</v>
      </c>
      <c r="F8" s="5" t="s">
        <v>464</v>
      </c>
      <c r="G8" s="28"/>
    </row>
    <row r="9" spans="1:7">
      <c r="B9" s="5">
        <v>4</v>
      </c>
      <c r="C9" s="5" cm="1">
        <f t="array" ref="C9">B9*10+5</f>
        <v>45</v>
      </c>
      <c r="F9" s="5" t="s">
        <v>465</v>
      </c>
      <c r="G9" s="28"/>
    </row>
    <row r="10" spans="1:7">
      <c r="B10" s="5">
        <v>5</v>
      </c>
      <c r="C10" s="5" cm="1">
        <f t="array" ref="C10">B10*10+5</f>
        <v>55</v>
      </c>
    </row>
    <row r="11" spans="1:7">
      <c r="B11" s="5">
        <v>6</v>
      </c>
      <c r="C11" s="5" cm="1">
        <f t="array" ref="C11">B11*10+5</f>
        <v>65</v>
      </c>
    </row>
    <row r="12" spans="1:7">
      <c r="B12" s="5">
        <v>7</v>
      </c>
      <c r="C12" s="5">
        <v>75</v>
      </c>
    </row>
    <row r="13" spans="1:7">
      <c r="B13" s="5">
        <v>8</v>
      </c>
      <c r="C13" s="5" cm="1">
        <f t="array" ref="C13">B13*10+5</f>
        <v>85</v>
      </c>
    </row>
    <row r="14" spans="1:7">
      <c r="B14" s="5">
        <v>9</v>
      </c>
      <c r="C14" s="5" cm="1">
        <f t="array" ref="C14">B14*10+5</f>
        <v>95</v>
      </c>
    </row>
    <row r="15" spans="1:7">
      <c r="B15" s="5">
        <v>10</v>
      </c>
      <c r="C15" s="5" cm="1">
        <f t="array" ref="C15">B15*10+5</f>
        <v>105</v>
      </c>
    </row>
    <row r="19" spans="8:8">
      <c r="H19" s="7" t="s">
        <v>463</v>
      </c>
    </row>
    <row r="20" spans="8:8">
      <c r="H20" s="5">
        <v>50</v>
      </c>
    </row>
  </sheetData>
  <hyperlinks>
    <hyperlink ref="D3" location="'F1-5 X-Ray'!A1" display="◀ Back to F1-5 X-Ray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604</v>
      </c>
      <c r="B1" s="2"/>
      <c r="C1" s="2"/>
      <c r="D1" s="2"/>
      <c r="E1" s="2"/>
      <c r="F1" s="2"/>
      <c r="G1" s="2"/>
    </row>
    <row r="2" spans="1:7">
      <c r="A2" s="3" t="s">
        <v>605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550</v>
      </c>
      <c r="B5" s="4"/>
      <c r="C5" s="4"/>
      <c r="D5" s="4"/>
      <c r="E5" s="4"/>
      <c r="F5" s="4"/>
      <c r="G5" s="4"/>
    </row>
    <row r="6" spans="1:7">
      <c r="B6" s="7" t="s">
        <v>551</v>
      </c>
      <c r="C6" s="30"/>
    </row>
    <row r="7" spans="1:7">
      <c r="B7" s="7" t="s">
        <v>552</v>
      </c>
      <c r="C7" s="30"/>
    </row>
    <row r="8" spans="1:7">
      <c r="B8" s="7" t="s">
        <v>553</v>
      </c>
      <c r="C8" s="31" cm="1" t="str">
        <f t="array" ref="C8">IF(OR(C6="",C7=""),"",ROUND(MOD(C7-C6,1)*1440,0))</f>
        <v/>
      </c>
    </row>
    <row r="9" spans="1:7">
      <c r="B9" s="7" t="s">
        <v>554</v>
      </c>
      <c r="C9" s="31">
        <v>15</v>
      </c>
    </row>
    <row r="10" spans="1:7">
      <c r="B10" s="7" t="s">
        <v>555</v>
      </c>
      <c r="C10" s="12" cm="1" t="str">
        <f t="array" ref="C10">IF(AND(SUM('F1-1 Power Up'!$G$14:$G$37)&gt;=170*0.5,SUM('F1-2 Big Six'!$G$17:$G$51)&gt;=280*0.5,SUM('F1-3 Anchors'!$G$14:$G$40)&gt;=200*0.5,SUM('F1-4 Precision'!$G$13:$G$33)&gt;=140*0.5,SUM('F1-5 X-Ray'!$G$15:$G$42)&gt;=210*0.5),"OPEN","LOCKED")</f>
        <v>LOCKED</v>
      </c>
      <c r="D10" s="32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556</v>
      </c>
      <c r="B12" s="4"/>
      <c r="C12" s="4"/>
      <c r="D12" s="4"/>
      <c r="E12" s="4"/>
      <c r="F12" s="4"/>
      <c r="G12" s="4"/>
    </row>
    <row r="13" spans="1:7">
      <c r="A13" s="6" t="s">
        <v>22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1</v>
      </c>
      <c r="G13" s="6" t="s">
        <v>42</v>
      </c>
    </row>
    <row r="14" spans="1:7" ht="35.5" customHeight="1">
      <c r="A14" s="18" t="s">
        <v>558</v>
      </c>
      <c r="B14" s="32" cm="1" t="str">
        <f t="array" ref="B14">IF($C$10="OPEN","Which keys switch between showing results and showing formulas?  (from F1-5 X-Ray)","LOCKED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$102:$H$102),"✔ CLEAR","✘ TRY AGAIN"))),"✘ TRY AGAIN"),"LOCKED")</f>
        <v>LOCKED</v>
      </c>
      <c r="E14" s="22"/>
      <c r="F14" s="23" cm="1" t="str">
        <f t="array" ref="F14">IF(E14="Show hint",Key!$B$102,"")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369</v>
      </c>
      <c r="B15" s="32" cm="1" t="str">
        <f t="array" ref="B15">IF($C$10="OPEN","Which key edits the active cell and color-codes its references?  (from F1-5 X-Ray)","LOCKED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$103:$E$103),"✔ CLEAR","✘ TRY AGAIN"))),"✘ TRY AGAIN"),"LOCKED")</f>
        <v>LOCKED</v>
      </c>
      <c r="E15" s="22"/>
      <c r="F15" s="23" cm="1" t="str">
        <f t="array" ref="F15">IF(E15="Show hint",Key!$B$103,"")</f>
        <v/>
      </c>
      <c r="G15" s="24" cm="1">
        <f t="array" ref="G15">IF(LEFT(D15,1)="✔",IF(E15="Show hint",5,10),0)</f>
        <v>0</v>
      </c>
    </row>
    <row r="16" spans="1:7" ht="51.25" customHeight="1">
      <c r="A16" s="18" t="s">
        <v>561</v>
      </c>
      <c r="B16" s="32" cm="1" t="str">
        <f t="array" ref="B16">IF($C$10="OPEN","While typing a function name, which key inserts the highlighted AutoComplete suggestion?  (from F1-5 X-Ray)","LOCKED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$104:$E$104),"✔ CLEAR","✘ TRY AGAIN"))),"✘ TRY AGAIN"),"LOCKED")</f>
        <v>LOCKED</v>
      </c>
      <c r="E16" s="22"/>
      <c r="F16" s="23" cm="1" t="str">
        <f t="array" ref="F16">IF(E16="Show hint",Key!$B$104,"")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324</v>
      </c>
      <c r="B17" s="32" cm="1" t="str">
        <f t="array" ref="B17">IF($C$10="OPEN","Which keys insert a function's argument names after you type its name?  (from F1-5 X-Ray)","LOCKED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$105:$F$105),"✔ CLEAR","✘ TRY AGAIN"))),"✘ TRY AGAIN"),"LOCKED")</f>
        <v>LOCKED</v>
      </c>
      <c r="E17" s="22"/>
      <c r="F17" s="23" cm="1" t="str">
        <f t="array" ref="F17">IF(E17="Show hint",Key!$B$105,"")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46</v>
      </c>
      <c r="B18" s="32" cm="1" t="str">
        <f t="array" ref="B18">IF($C$10="OPEN","Which keys open the Insert Function dialog?  (from F1-5 X-Ray)","LOCKED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$106:$E$106),"✔ CLEAR","✘ TRY AGAIN"))),"✘ TRY AGAIN"),"LOCKED")</f>
        <v>LOCKED</v>
      </c>
      <c r="E18" s="22"/>
      <c r="F18" s="23" cm="1" t="str">
        <f t="array" ref="F18">IF(E18="Show hint",Key!$B$106,"")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565</v>
      </c>
      <c r="B19" s="32" cm="1" t="str">
        <f t="array" ref="B19">IF($C$10="OPEN","Which function adds up a range of numbers?  (from F1-2 Big Six)","LOCKED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$107:$J$107),"✔ CLEAR","✘ TRY AGAIN"))),"✘ TRY AGAIN"),"LOCKED")</f>
        <v>LOCKED</v>
      </c>
      <c r="E19" s="22"/>
      <c r="F19" s="23" cm="1" t="str">
        <f t="array" ref="F19">IF(E19="Show hint",Key!$B$107,"")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567</v>
      </c>
      <c r="B20" s="32" cm="1" t="str">
        <f t="array" ref="B20">IF($C$10="OPEN","Which function returns the mean of a range?  (from F1-2 Big Six)","LOCKED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$108:$J$108),"✔ CLEAR","✘ TRY AGAIN"))),"✘ TRY AGAIN"),"LOCKED")</f>
        <v>LOCKED</v>
      </c>
      <c r="E20" s="22"/>
      <c r="F20" s="23" cm="1" t="str">
        <f t="array" ref="F20">IF(E20="Show hint",Key!$B$108,"")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569</v>
      </c>
      <c r="B21" s="32" cm="1" t="str">
        <f t="array" ref="B21">IF($C$10="OPEN","Which function returns the largest number in a range?  (from F1-2 Big Six)","LOCKED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$109:$J$109),"✔ CLEAR","✘ TRY AGAIN"))),"✘ TRY AGAIN"),"LOCKED")</f>
        <v>LOCKED</v>
      </c>
      <c r="E21" s="22"/>
      <c r="F21" s="23" cm="1" t="str">
        <f t="array" ref="F21">IF(E21="Show hint",Key!$B$109,"")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570</v>
      </c>
      <c r="B23" s="4"/>
      <c r="C23" s="4"/>
      <c r="D23" s="4"/>
      <c r="E23" s="4"/>
      <c r="F23" s="4"/>
      <c r="G23" s="4"/>
    </row>
    <row r="24" spans="1:7">
      <c r="B24" s="11" t="s">
        <v>571</v>
      </c>
    </row>
    <row r="25" spans="1:7">
      <c r="A25" s="6" t="s">
        <v>22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1</v>
      </c>
      <c r="G25" s="6" t="s">
        <v>42</v>
      </c>
    </row>
    <row r="26" spans="1:7" ht="35.5" customHeight="1">
      <c r="A26" s="18" t="s">
        <v>574</v>
      </c>
      <c r="B26" s="32" cm="1" t="str">
        <f t="array" ref="B26">IF($C$10="OPEN","In J8, total the Qty column (E6:E15) with SUM.","LOCKED · earn ★ on every stage to open the Boss gate")</f>
        <v>LOCKED · earn ★ on every stage to open the Boss gate</v>
      </c>
      <c r="C26" s="11" t="s">
        <v>575</v>
      </c>
      <c r="D26" s="21" cm="1" t="str">
        <f t="array" ref="D26">IF($C$10="OPEN",IF(ISBLANK('Boss Arena'!$J$8),"",IF(NOT(_xlfn.ISFORMULA('Boss Arena'!$J$8)),"✘ That's a typed value · enter a formula",IF(ISERROR('Boss Arena'!$J$8),"✘ Your formula returns "&amp;IFERROR(CHOOSE(ERROR.TYPE('Boss Arena'!$J$8),"#NULL!","#DIV/0!","#VALUE!","#REF!","#NAME?","#NUM!","#N/A","#GETTING_DATA","#SPILL!","#CONNECT!","#BLOCKED!","#UNKNOWN!","#FIELD!","#CALC!"),"an error"),IF(NOT(AND(IFERROR(AND(ISNUMBER('Boss Arena'!$J$8),ABS('Boss Arena'!$J$8-Key!$C$110)&lt;=1E-9*MAX(1,ABS(Key!$C$110))),FALSE))),"✘ TRY AGAIN",IF(AND(OR(ISNUMBER(FIND({"=","(",",","+","-","*","/","&amp;"," ","&lt;","&gt;",":","@","^"}&amp;"SUM"&amp;"(",UPPER(_xlfn.FORMULATEXT('Boss Arena'!$J$8)))))),"✔ CLEAR","✘ CLOSE · right value, but use SUM"))))),"LOCKED")</f>
        <v>LOCKED</v>
      </c>
      <c r="E26" s="22"/>
      <c r="F26" s="23" cm="1" t="str">
        <f t="array" ref="F26">IF(E26="Show hint",Key!$B$110,"")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578</v>
      </c>
      <c r="B27" s="32" cm="1" t="str">
        <f t="array" ref="B27">IF($C$10="OPEN","In J9, average the Price column with AVERAGE.","LOCKED · earn ★ on every stage to open the Boss gate")</f>
        <v>LOCKED · earn ★ on every stage to open the Boss gate</v>
      </c>
      <c r="C27" s="11" t="s">
        <v>579</v>
      </c>
      <c r="D27" s="21" cm="1" t="str">
        <f t="array" ref="D27">IF($C$10="OPEN",IF(ISBLANK('Boss Arena'!$J$9),"",IF(NOT(_xlfn.ISFORMULA('Boss Arena'!$J$9)),"✘ That's a typed value · enter a formula",IF(ISERROR('Boss Arena'!$J$9),"✘ Your formula returns "&amp;IFERROR(CHOOSE(ERROR.TYPE('Boss Arena'!$J$9),"#NULL!","#DIV/0!","#VALUE!","#REF!","#NAME?","#NUM!","#N/A","#GETTING_DATA","#SPILL!","#CONNECT!","#BLOCKED!","#UNKNOWN!","#FIELD!","#CALC!"),"an error"),IF(NOT(AND(IFERROR(AND(ISNUMBER('Boss Arena'!$J$9),ABS('Boss Arena'!$J$9-Key!$C$111)&lt;=1E-9*MAX(1,ABS(Key!$C$111))),FALSE))),"✘ TRY AGAIN",IF(AND(OR(ISNUMBER(FIND({"=","(",",","+","-","*","/","&amp;"," ","&lt;","&gt;",":","@","^"}&amp;"AVERAGE"&amp;"(",UPPER(_xlfn.FORMULATEXT('Boss Arena'!$J$9)))))),"✔ CLEAR","✘ CLOSE · right value, but use AVERAGE"))))),"LOCKED")</f>
        <v>LOCKED</v>
      </c>
      <c r="E27" s="22"/>
      <c r="F27" s="23" cm="1" t="str">
        <f t="array" ref="F27">IF(E27="Show hint",Key!$B$111,"")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582</v>
      </c>
      <c r="B28" s="32" cm="1" t="str">
        <f t="array" ref="B28">IF($C$10="OPEN","In J10, find the largest Qty with MAX.","LOCKED · earn ★ on every stage to open the Boss gate")</f>
        <v>LOCKED · earn ★ on every stage to open the Boss gate</v>
      </c>
      <c r="C28" s="11" t="s">
        <v>583</v>
      </c>
      <c r="D28" s="21" cm="1" t="str">
        <f t="array" ref="D28">IF($C$10="OPEN",IF(ISBLANK('Boss Arena'!$J$10),"",IF(NOT(_xlfn.ISFORMULA('Boss Arena'!$J$10)),"✘ That's a typed value · enter a formula",IF(ISERROR('Boss Arena'!$J$10),"✘ Your formula returns "&amp;IFERROR(CHOOSE(ERROR.TYPE('Boss Arena'!$J$10),"#NULL!","#DIV/0!","#VALUE!","#REF!","#NAME?","#NUM!","#N/A","#GETTING_DATA","#SPILL!","#CONNECT!","#BLOCKED!","#UNKNOWN!","#FIELD!","#CALC!"),"an error"),IF(NOT(AND(IFERROR(AND(ISNUMBER('Boss Arena'!$J$10),ABS('Boss Arena'!$J$10-Key!$C$112)&lt;=1E-9*MAX(1,ABS(Key!$C$112))),FALSE))),"✘ TRY AGAIN",IF(AND(OR(ISNUMBER(FIND({"=","(",",","+","-","*","/","&amp;"," ","&lt;","&gt;",":","@","^"}&amp;"MAX"&amp;"(",UPPER(_xlfn.FORMULATEXT('Boss Arena'!$J$10)))))),"✔ CLEAR","✘ CLOSE · right value, but use MAX"))))),"LOCKED")</f>
        <v>LOCKED</v>
      </c>
      <c r="E28" s="22"/>
      <c r="F28" s="23" cm="1" t="str">
        <f t="array" ref="F28">IF(E28="Show hint",Key!$B$112,"")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586</v>
      </c>
      <c r="B29" s="32" cm="1" t="str">
        <f t="array" ref="B29">IF($C$10="OPEN","In J11, count the Ratings that are numbers (F6:F15).","LOCKED · earn ★ on every stage to open the Boss gate")</f>
        <v>LOCKED · earn ★ on every stage to open the Boss gate</v>
      </c>
      <c r="C29" s="11" t="s">
        <v>587</v>
      </c>
      <c r="D29" s="21" cm="1" t="str">
        <f t="array" ref="D29">IF($C$10="OPEN",IF(ISBLANK('Boss Arena'!$J$11),"",IF(NOT(_xlfn.ISFORMULA('Boss Arena'!$J$11)),"✘ That's a typed value · enter a formula",IF(ISERROR('Boss Arena'!$J$11),"✘ Your formula returns "&amp;IFERROR(CHOOSE(ERROR.TYPE('Boss Arena'!$J$11),"#NULL!","#DIV/0!","#VALUE!","#REF!","#NAME?","#NUM!","#N/A","#GETTING_DATA","#SPILL!","#CONNECT!","#BLOCKED!","#UNKNOWN!","#FIELD!","#CALC!"),"an error"),IF(NOT(AND(IFERROR(AND(ISNUMBER('Boss Arena'!$J$11),ABS('Boss Arena'!$J$11-Key!$C$113)&lt;=1E-9*MAX(1,ABS(Key!$C$113))),FALSE))),"✘ TRY AGAIN",IF(AND(OR(ISNUMBER(FIND({"=","(",",","+","-","*","/","&amp;"," ","&lt;","&gt;",":","@","^"}&amp;"COUNT"&amp;"(",UPPER(_xlfn.FORMULATEXT('Boss Arena'!$J$11)))))),"✔ CLEAR","✘ CLOSE · right value, but use COUNT"))))),"LOCKED")</f>
        <v>LOCKED</v>
      </c>
      <c r="E29" s="22"/>
      <c r="F29" s="23" cm="1" t="str">
        <f t="array" ref="F29">IF(E29="Show hint",Key!$B$113,"")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590</v>
      </c>
      <c r="B30" s="32" cm="1" t="str">
        <f t="array" ref="B30">IF($C$10="OPEN","In G6 calculate the profit: (Price - Cost) × Qty. Fill it down to G15 with Ctrl+D.","LOCKED · earn ★ on every stage to open the Boss gate")</f>
        <v>LOCKED · earn ★ on every stage to open the Boss gate</v>
      </c>
      <c r="C30" s="11" t="s">
        <v>591</v>
      </c>
      <c r="D30" s="21" cm="1" t="str">
        <f t="array" ref="D30">IF($C$10="OPEN",IF(COUNTA('Boss Arena'!$G$6,'Boss Arena'!$G$7,'Boss Arena'!$G$8,'Boss Arena'!$G$9,'Boss Arena'!$G$10,'Boss Arena'!$G$11,'Boss Arena'!$G$12,'Boss Arena'!$G$13,'Boss Arena'!$G$14,'Boss Arena'!$G$15)=0,"",IF(OR(NOT(_xlfn.ISFORMULA('Boss Arena'!$G$6)),NOT(_xlfn.ISFORMULA('Boss Arena'!$G$7)),NOT(_xlfn.ISFORMULA('Boss Arena'!$G$8)),NOT(_xlfn.ISFORMULA('Boss Arena'!$G$9)),NOT(_xlfn.ISFORMULA('Boss Arena'!$G$10)),NOT(_xlfn.ISFORMULA('Boss Arena'!$G$11)),NOT(_xlfn.ISFORMULA('Boss Arena'!$G$12)),NOT(_xlfn.ISFORMULA('Boss Arena'!$G$13)),NOT(_xlfn.ISFORMULA('Boss Arena'!$G$14)),NOT(_xlfn.ISFORMULA('Boss Arena'!$G$15))),"✘ Some cells aren't formulas yet",IF(OR(ISERROR('Boss Arena'!$G$6),ISERROR('Boss Arena'!$G$7),ISERROR('Boss Arena'!$G$8),ISERROR('Boss Arena'!$G$9),ISERROR('Boss Arena'!$G$10),ISERROR('Boss Arena'!$G$11),ISERROR('Boss Arena'!$G$12),ISERROR('Boss Arena'!$G$13),ISERROR('Boss Arena'!$G$14),ISERROR('Boss Arena'!$G$15)),"✘ Some cells show an error",IF(NOT(AND(IFERROR(AND(ISNUMBER('Boss Arena'!$G$6),ABS('Boss Arena'!$G$6-Key!$E$114)&lt;=1E-9*MAX(1,ABS(Key!$E$114))),FALSE),IFERROR(AND(ISNUMBER('Boss Arena'!$G$7),ABS('Boss Arena'!$G$7-Key!$F$114)&lt;=1E-9*MAX(1,ABS(Key!$F$114))),FALSE),IFERROR(AND(ISNUMBER('Boss Arena'!$G$8),ABS('Boss Arena'!$G$8-Key!$G$114)&lt;=1E-9*MAX(1,ABS(Key!$G$114))),FALSE),IFERROR(AND(ISNUMBER('Boss Arena'!$G$9),ABS('Boss Arena'!$G$9-Key!$H$114)&lt;=1E-9*MAX(1,ABS(Key!$H$114))),FALSE),IFERROR(AND(ISNUMBER('Boss Arena'!$G$10),ABS('Boss Arena'!$G$10-Key!$I$114)&lt;=1E-9*MAX(1,ABS(Key!$I$114))),FALSE),IFERROR(AND(ISNUMBER('Boss Arena'!$G$11),ABS('Boss Arena'!$G$11-Key!$J$114)&lt;=1E-9*MAX(1,ABS(Key!$J$114))),FALSE),IFERROR(AND(ISNUMBER('Boss Arena'!$G$12),ABS('Boss Arena'!$G$12-Key!$K$114)&lt;=1E-9*MAX(1,ABS(Key!$K$114))),FALSE),IFERROR(AND(ISNUMBER('Boss Arena'!$G$13),ABS('Boss Arena'!$G$13-Key!$L$114)&lt;=1E-9*MAX(1,ABS(Key!$L$114))),FALSE),IFERROR(AND(ISNUMBER('Boss Arena'!$G$14),ABS('Boss Arena'!$G$14-Key!$M$114)&lt;=1E-9*MAX(1,ABS(Key!$M$114))),FALSE),IFERROR(AND(ISNUMBER('Boss Arena'!$G$15),ABS('Boss Arena'!$G$15-Key!$N$114)&lt;=1E-9*MAX(1,ABS(Key!$N$114))),FALSE))),"✘ TRY AGAIN","✔ CLEAR")))),"LOCKED")</f>
        <v>LOCKED</v>
      </c>
      <c r="E30" s="22"/>
      <c r="F30" s="23" cm="1" t="str">
        <f t="array" ref="F30">IF(E30="Show hint",Key!$B$114,"")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594</v>
      </c>
      <c r="B31" s="32" cm="1" t="str">
        <f t="array" ref="B31">IF($C$10="OPEN","In H6 calculate the tax: Price × the rate in K6. Lock K6 with F4, then fill down to H15.","LOCKED · earn ★ on every stage to open the Boss gate")</f>
        <v>LOCKED · earn ★ on every stage to open the Boss gate</v>
      </c>
      <c r="C31" s="11" t="s">
        <v>595</v>
      </c>
      <c r="D31" s="21" cm="1" t="str">
        <f t="array" ref="D31">IF($C$10="OPEN",IF(COUNTA('Boss Arena'!$H$6,'Boss Arena'!$H$7,'Boss Arena'!$H$8,'Boss Arena'!$H$9,'Boss Arena'!$H$10,'Boss Arena'!$H$11,'Boss Arena'!$H$12,'Boss Arena'!$H$13,'Boss Arena'!$H$14,'Boss Arena'!$H$15)=0,"",IF(OR(NOT(_xlfn.ISFORMULA('Boss Arena'!$H$6)),NOT(_xlfn.ISFORMULA('Boss Arena'!$H$7)),NOT(_xlfn.ISFORMULA('Boss Arena'!$H$8)),NOT(_xlfn.ISFORMULA('Boss Arena'!$H$9)),NOT(_xlfn.ISFORMULA('Boss Arena'!$H$10)),NOT(_xlfn.ISFORMULA('Boss Arena'!$H$11)),NOT(_xlfn.ISFORMULA('Boss Arena'!$H$12)),NOT(_xlfn.ISFORMULA('Boss Arena'!$H$13)),NOT(_xlfn.ISFORMULA('Boss Arena'!$H$14)),NOT(_xlfn.ISFORMULA('Boss Arena'!$H$15))),"✘ Some cells aren't formulas yet",IF(OR(ISERROR('Boss Arena'!$H$6),ISERROR('Boss Arena'!$H$7),ISERROR('Boss Arena'!$H$8),ISERROR('Boss Arena'!$H$9),ISERROR('Boss Arena'!$H$10),ISERROR('Boss Arena'!$H$11),ISERROR('Boss Arena'!$H$12),ISERROR('Boss Arena'!$H$13),ISERROR('Boss Arena'!$H$14),ISERROR('Boss Arena'!$H$15)),"✘ Some cells show an error",IF(NOT(AND(IFERROR(AND(ISNUMBER('Boss Arena'!$H$6),ABS('Boss Arena'!$H$6-Key!$E$115)&lt;=1E-9*MAX(1,ABS(Key!$E$115))),FALSE),IFERROR(AND(ISNUMBER('Boss Arena'!$H$7),ABS('Boss Arena'!$H$7-Key!$F$115)&lt;=1E-9*MAX(1,ABS(Key!$F$115))),FALSE),IFERROR(AND(ISNUMBER('Boss Arena'!$H$8),ABS('Boss Arena'!$H$8-Key!$G$115)&lt;=1E-9*MAX(1,ABS(Key!$G$115))),FALSE),IFERROR(AND(ISNUMBER('Boss Arena'!$H$9),ABS('Boss Arena'!$H$9-Key!$H$115)&lt;=1E-9*MAX(1,ABS(Key!$H$115))),FALSE),IFERROR(AND(ISNUMBER('Boss Arena'!$H$10),ABS('Boss Arena'!$H$10-Key!$I$115)&lt;=1E-9*MAX(1,ABS(Key!$I$115))),FALSE),IFERROR(AND(ISNUMBER('Boss Arena'!$H$11),ABS('Boss Arena'!$H$11-Key!$J$115)&lt;=1E-9*MAX(1,ABS(Key!$J$115))),FALSE),IFERROR(AND(ISNUMBER('Boss Arena'!$H$12),ABS('Boss Arena'!$H$12-Key!$K$115)&lt;=1E-9*MAX(1,ABS(Key!$K$115))),FALSE),IFERROR(AND(ISNUMBER('Boss Arena'!$H$13),ABS('Boss Arena'!$H$13-Key!$L$115)&lt;=1E-9*MAX(1,ABS(Key!$L$115))),FALSE),IFERROR(AND(ISNUMBER('Boss Arena'!$H$14),ABS('Boss Arena'!$H$14-Key!$M$115)&lt;=1E-9*MAX(1,ABS(Key!$M$115))),FALSE),IFERROR(AND(ISNUMBER('Boss Arena'!$H$15),ABS('Boss Arena'!$H$15-Key!$N$115)&lt;=1E-9*MAX(1,ABS(Key!$N$115))),FALSE))),"✘ TRY AGAIN",IF(ISNUMBER(FIND("$",_xlfn.FORMULATEXT('Boss Arena'!$H$6))),"✔ CLEAR","✘ CLOSE · add $ so it fills correctly (F4)"))))),"LOCKED")</f>
        <v>LOCKED</v>
      </c>
      <c r="E31" s="22"/>
      <c r="F31" s="23" cm="1" t="str">
        <f t="array" ref="F31">IF(E31="Show hint",Key!$B$115,"")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598</v>
      </c>
      <c r="B32" s="32" cm="1" t="str">
        <f t="array" ref="B32">IF($C$10="OPEN","In J12, average the Price column and round to 1 decimal in one formula.","LOCKED · earn ★ on every stage to open the Boss gate")</f>
        <v>LOCKED · earn ★ on every stage to open the Boss gate</v>
      </c>
      <c r="C32" s="11" t="s">
        <v>599</v>
      </c>
      <c r="D32" s="21" cm="1" t="str">
        <f t="array" ref="D32">IF($C$10="OPEN",IF(ISBLANK('Boss Arena'!$J$12),"",IF(NOT(_xlfn.ISFORMULA('Boss Arena'!$J$12)),"✘ That's a typed value · enter a formula",IF(ISERROR('Boss Arena'!$J$12),"✘ Your formula returns "&amp;IFERROR(CHOOSE(ERROR.TYPE('Boss Arena'!$J$12),"#NULL!","#DIV/0!","#VALUE!","#REF!","#NAME?","#NUM!","#N/A","#GETTING_DATA","#SPILL!","#CONNECT!","#BLOCKED!","#UNKNOWN!","#FIELD!","#CALC!"),"an error"),IF(NOT(AND(IFERROR(AND(ISNUMBER('Boss Arena'!$J$12),ABS('Boss Arena'!$J$12-Key!$C$116)&lt;=1E-9*MAX(1,ABS(Key!$C$116))),FALSE))),"✘ TRY AGAIN",IF(AND(OR(ISNUMBER(FIND({"=","(",",","+","-","*","/","&amp;"," ","&lt;","&gt;",":","@","^"}&amp;"ROUND"&amp;"(",UPPER(_xlfn.FORMULATEXT('Boss Arena'!$J$12))))),OR(ISNUMBER(FIND({"=","(",",","+","-","*","/","&amp;"," ","&lt;","&gt;",":","@","^"}&amp;"AVERAGE"&amp;"(",UPPER(_xlfn.FORMULATEXT('Boss Arena'!$J$12)))))),"✔ CLEAR","✘ CLOSE · right value, but use ROUND and AVERAGE"))))),"LOCKED")</f>
        <v>LOCKED</v>
      </c>
      <c r="E32" s="22"/>
      <c r="F32" s="23" cm="1" t="str">
        <f t="array" ref="F32">IF(E32="Show hint",Key!$B$116,"")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603</v>
      </c>
      <c r="B33" s="32" cm="1" t="str">
        <f t="array" ref="B33">IF($C$10="OPEN","Press Ctrl+` in the Boss Arena. One cell in L6:L15 was typed over. Type its address.","LOCKED · earn ★ on every stage to open the Boss gate")</f>
        <v>LOCKED · earn ★ on every stage to open the Boss gate</v>
      </c>
      <c r="C33" s="20"/>
      <c r="D33" s="21" cm="1" t="str">
        <f t="array" ref="D33">IF($C$10="OPEN",IFERROR(_xlfn.LET(_xlpm.a,Boss!$C$33,IF(TRIM(_xlpm.a&amp;"")="","",IF(SUBSTITUTE(SUBSTITUTE(UPPER(_xlpm.a&amp;"")," ",""),"$","")=Key!$C$117,"✔ CLEAR","✘ TRY AGAIN"))),"✘ TRY AGAIN"),"LOCKED")</f>
        <v>LOCKED</v>
      </c>
      <c r="E33" s="22"/>
      <c r="F33" s="23" cm="1" t="str">
        <f t="array" ref="F33">IF(E33="Show hint",Key!$B$117,"")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7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what you found" prompt="Do the move in the arena, then type the word or number you found here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J8" tooltip="Go to Boss Arena, cell J8" display="▶ ARENA B1 (cell J8)"/>
    <hyperlink ref="C27" location="'Boss Arena'!J9" tooltip="Go to Boss Arena, cell J9" display="▶ ARENA B2 (cell J9)"/>
    <hyperlink ref="C28" location="'Boss Arena'!J10" tooltip="Go to Boss Arena, cell J10" display="▶ ARENA B3 (cell J10)"/>
    <hyperlink ref="C29" location="'Boss Arena'!J11" tooltip="Go to Boss Arena, cell J11" display="▶ ARENA B4 (cell J11)"/>
    <hyperlink ref="C30" location="'Boss Arena'!G6" tooltip="Go to Boss Arena, cell G6" display="▶ ARENA B5 (cell G6)"/>
    <hyperlink ref="C31" location="'Boss Arena'!H6" tooltip="Go to Boss Arena, cell H6" display="▶ ARENA B6 (cell H6)"/>
    <hyperlink ref="C32" location="'Boss Arena'!J12" tooltip="Go to Boss Arena, cell J12" display="▶ ARENA B7 (cell J12)"/>
  </hyperlink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1" width="14.7109375" customWidth="1"/>
    <col min="2" max="8" width="13.7109375" customWidth="1"/>
    <col min="9" max="9" width="18.7109375" customWidth="1"/>
    <col min="10" max="26" width="13.7109375" customWidth="1"/>
  </cols>
  <sheetData>
    <row r="1" spans="1:12">
      <c r="A1" s="1" t="s">
        <v>527</v>
      </c>
    </row>
    <row r="2" spans="1:12">
      <c r="A2" s="3" t="s">
        <v>5</v>
      </c>
    </row>
    <row r="3" spans="1:12">
      <c r="A3" s="25" t="s">
        <v>6</v>
      </c>
      <c r="B3" s="26" t="s">
        <v>528</v>
      </c>
      <c r="D3" s="11" t="s">
        <v>529</v>
      </c>
    </row>
    <row r="5" spans="1:12">
      <c r="B5" s="27" t="s">
        <v>9</v>
      </c>
      <c r="C5" s="27" t="s">
        <v>530</v>
      </c>
      <c r="D5" s="27" t="s">
        <v>10</v>
      </c>
      <c r="E5" s="27" t="s">
        <v>11</v>
      </c>
      <c r="F5" s="27" t="s">
        <v>531</v>
      </c>
      <c r="G5" s="27" t="s">
        <v>543</v>
      </c>
      <c r="H5" s="27" t="s">
        <v>318</v>
      </c>
      <c r="K5" s="27" t="s">
        <v>319</v>
      </c>
      <c r="L5" s="27" t="s">
        <v>544</v>
      </c>
    </row>
    <row r="6" spans="1:12">
      <c r="B6" s="5" t="s">
        <v>532</v>
      </c>
      <c r="C6" s="5">
        <v>12</v>
      </c>
      <c r="D6" s="5">
        <v>30</v>
      </c>
      <c r="E6" s="5">
        <v>5</v>
      </c>
      <c r="F6" s="5">
        <v>4</v>
      </c>
      <c r="G6" s="28"/>
      <c r="H6" s="28"/>
      <c r="K6" s="29">
        <v>0.07000000000000001</v>
      </c>
      <c r="L6" s="5" cm="1">
        <f t="array" ref="L6">E6*2</f>
        <v>10</v>
      </c>
    </row>
    <row r="7" spans="1:12">
      <c r="B7" s="5" t="s">
        <v>533</v>
      </c>
      <c r="C7" s="5">
        <v>3</v>
      </c>
      <c r="D7" s="5">
        <v>9</v>
      </c>
      <c r="E7" s="5">
        <v>20</v>
      </c>
      <c r="F7" s="5">
        <v>5</v>
      </c>
      <c r="G7" s="28"/>
      <c r="H7" s="28"/>
      <c r="L7" s="5" cm="1">
        <f t="array" ref="L7">E7*2</f>
        <v>40</v>
      </c>
    </row>
    <row r="8" spans="1:12">
      <c r="B8" s="5" t="s">
        <v>534</v>
      </c>
      <c r="C8" s="5">
        <v>85</v>
      </c>
      <c r="D8" s="5">
        <v>160</v>
      </c>
      <c r="E8" s="5">
        <v>2</v>
      </c>
      <c r="F8" s="5" t="s">
        <v>535</v>
      </c>
      <c r="G8" s="28"/>
      <c r="H8" s="28"/>
      <c r="I8" s="5" t="s">
        <v>545</v>
      </c>
      <c r="J8" s="28"/>
      <c r="L8" s="5" cm="1">
        <f t="array" ref="L8">E8*2</f>
        <v>4</v>
      </c>
    </row>
    <row r="9" spans="1:12">
      <c r="B9" s="5" t="s">
        <v>536</v>
      </c>
      <c r="C9" s="5">
        <v>40</v>
      </c>
      <c r="D9" s="5">
        <v>95</v>
      </c>
      <c r="E9" s="5">
        <v>4</v>
      </c>
      <c r="F9" s="5">
        <v>3</v>
      </c>
      <c r="G9" s="28"/>
      <c r="H9" s="28"/>
      <c r="I9" s="5" t="s">
        <v>546</v>
      </c>
      <c r="J9" s="28"/>
      <c r="L9" s="5">
        <v>8</v>
      </c>
    </row>
    <row r="10" spans="1:12">
      <c r="B10" s="5" t="s">
        <v>537</v>
      </c>
      <c r="C10" s="5">
        <v>0.4</v>
      </c>
      <c r="D10" s="5">
        <v>1.6</v>
      </c>
      <c r="E10" s="5">
        <v>100</v>
      </c>
      <c r="F10" s="5">
        <v>5</v>
      </c>
      <c r="G10" s="28"/>
      <c r="H10" s="28"/>
      <c r="I10" s="5" t="s">
        <v>547</v>
      </c>
      <c r="J10" s="28"/>
      <c r="L10" s="5" cm="1">
        <f t="array" ref="L10">E10*2</f>
        <v>200</v>
      </c>
    </row>
    <row r="11" spans="1:12">
      <c r="B11" s="5" t="s">
        <v>538</v>
      </c>
      <c r="C11" s="5">
        <v>6</v>
      </c>
      <c r="D11" s="5">
        <v>18</v>
      </c>
      <c r="E11" s="5">
        <v>12</v>
      </c>
      <c r="F11" s="5">
        <v>4</v>
      </c>
      <c r="G11" s="28"/>
      <c r="H11" s="28"/>
      <c r="I11" s="5" t="s">
        <v>548</v>
      </c>
      <c r="J11" s="28"/>
      <c r="L11" s="5" cm="1">
        <f t="array" ref="L11">E11*2</f>
        <v>24</v>
      </c>
    </row>
    <row r="12" spans="1:12">
      <c r="B12" s="5" t="s">
        <v>539</v>
      </c>
      <c r="C12" s="5">
        <v>10</v>
      </c>
      <c r="D12" s="5">
        <v>25</v>
      </c>
      <c r="E12" s="5">
        <v>6</v>
      </c>
      <c r="F12" s="5" t="s">
        <v>535</v>
      </c>
      <c r="G12" s="28"/>
      <c r="H12" s="28"/>
      <c r="I12" s="5" t="s">
        <v>549</v>
      </c>
      <c r="J12" s="28"/>
      <c r="L12" s="5" cm="1">
        <f t="array" ref="L12">E12*2</f>
        <v>12</v>
      </c>
    </row>
    <row r="13" spans="1:12">
      <c r="B13" s="5" t="s">
        <v>540</v>
      </c>
      <c r="C13" s="5">
        <v>4</v>
      </c>
      <c r="D13" s="5">
        <v>11</v>
      </c>
      <c r="E13" s="5">
        <v>9</v>
      </c>
      <c r="F13" s="5">
        <v>2</v>
      </c>
      <c r="G13" s="28"/>
      <c r="H13" s="28"/>
      <c r="L13" s="5" cm="1">
        <f t="array" ref="L13">E13*2</f>
        <v>18</v>
      </c>
    </row>
    <row r="14" spans="1:12">
      <c r="B14" s="5" t="s">
        <v>541</v>
      </c>
      <c r="C14" s="5">
        <v>30</v>
      </c>
      <c r="D14" s="5">
        <v>70</v>
      </c>
      <c r="E14" s="5">
        <v>3</v>
      </c>
      <c r="F14" s="5">
        <v>5</v>
      </c>
      <c r="G14" s="28"/>
      <c r="H14" s="28"/>
      <c r="L14" s="5" cm="1">
        <f t="array" ref="L14">E14*2</f>
        <v>6</v>
      </c>
    </row>
    <row r="15" spans="1:12">
      <c r="B15" s="5" t="s">
        <v>542</v>
      </c>
      <c r="C15" s="5">
        <v>22</v>
      </c>
      <c r="D15" s="5">
        <v>45</v>
      </c>
      <c r="E15" s="5">
        <v>7</v>
      </c>
      <c r="F15" s="5">
        <v>4</v>
      </c>
      <c r="G15" s="28"/>
      <c r="H15" s="28"/>
      <c r="L15" s="5" cm="1">
        <f t="array" ref="L15">E15*2</f>
        <v>14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645</v>
      </c>
      <c r="B1" s="2"/>
      <c r="C1" s="2"/>
      <c r="D1" s="2"/>
    </row>
    <row r="2" spans="1:4">
      <c r="A2" s="3" t="s">
        <v>646</v>
      </c>
    </row>
    <row r="4" spans="1:4">
      <c r="A4" s="6" t="s">
        <v>615</v>
      </c>
      <c r="B4" s="6" t="s">
        <v>24</v>
      </c>
      <c r="C4" s="6" t="s">
        <v>647</v>
      </c>
      <c r="D4" s="6" t="s">
        <v>648</v>
      </c>
    </row>
    <row r="5" spans="1:4" ht="35.5" customHeight="1">
      <c r="A5" s="18" t="s">
        <v>621</v>
      </c>
      <c r="B5" s="19" t="s">
        <v>27</v>
      </c>
      <c r="C5" s="8" t="s">
        <v>649</v>
      </c>
      <c r="D5" s="8" t="s">
        <v>650</v>
      </c>
    </row>
    <row r="6" spans="1:4" ht="35.5" customHeight="1">
      <c r="A6" s="18" t="s">
        <v>621</v>
      </c>
      <c r="B6" s="19" t="s">
        <v>30</v>
      </c>
      <c r="C6" s="8" t="s">
        <v>651</v>
      </c>
      <c r="D6" s="8" t="s">
        <v>652</v>
      </c>
    </row>
    <row r="7" spans="1:4" ht="35.5" customHeight="1">
      <c r="A7" s="18" t="s">
        <v>621</v>
      </c>
      <c r="B7" s="19" t="s">
        <v>33</v>
      </c>
      <c r="C7" s="8" t="s">
        <v>653</v>
      </c>
      <c r="D7" s="8" t="s">
        <v>654</v>
      </c>
    </row>
    <row r="8" spans="1:4" ht="19.75" customHeight="1">
      <c r="A8" s="18" t="s">
        <v>621</v>
      </c>
      <c r="B8" s="19" t="s">
        <v>36</v>
      </c>
      <c r="C8" s="8" t="s">
        <v>655</v>
      </c>
      <c r="D8" s="8" t="s">
        <v>656</v>
      </c>
    </row>
    <row r="9" spans="1:4" ht="19.75" customHeight="1">
      <c r="A9" s="18" t="s">
        <v>624</v>
      </c>
      <c r="B9" s="19" t="s">
        <v>157</v>
      </c>
      <c r="C9" s="8" t="s">
        <v>657</v>
      </c>
      <c r="D9" s="8" t="s">
        <v>658</v>
      </c>
    </row>
    <row r="10" spans="1:4" ht="35.5" customHeight="1">
      <c r="A10" s="18" t="s">
        <v>624</v>
      </c>
      <c r="B10" s="19" t="s">
        <v>159</v>
      </c>
      <c r="C10" s="8" t="s">
        <v>659</v>
      </c>
      <c r="D10" s="8" t="s">
        <v>660</v>
      </c>
    </row>
    <row r="11" spans="1:4" ht="19.75" customHeight="1">
      <c r="A11" s="18" t="s">
        <v>624</v>
      </c>
      <c r="B11" s="19" t="s">
        <v>161</v>
      </c>
      <c r="C11" s="8" t="s">
        <v>661</v>
      </c>
      <c r="D11" s="8" t="s">
        <v>662</v>
      </c>
    </row>
    <row r="12" spans="1:4" ht="19.75" customHeight="1">
      <c r="A12" s="18" t="s">
        <v>624</v>
      </c>
      <c r="B12" s="19" t="s">
        <v>163</v>
      </c>
      <c r="C12" s="8" t="s">
        <v>663</v>
      </c>
      <c r="D12" s="8" t="s">
        <v>664</v>
      </c>
    </row>
    <row r="13" spans="1:4" ht="35.5" customHeight="1">
      <c r="A13" s="18" t="s">
        <v>624</v>
      </c>
      <c r="B13" s="19" t="s">
        <v>166</v>
      </c>
      <c r="C13" s="8" t="s">
        <v>665</v>
      </c>
      <c r="D13" s="8" t="s">
        <v>666</v>
      </c>
    </row>
    <row r="14" spans="1:4" ht="35.5" customHeight="1">
      <c r="A14" s="18" t="s">
        <v>624</v>
      </c>
      <c r="B14" s="19" t="s">
        <v>169</v>
      </c>
      <c r="C14" s="8" t="s">
        <v>667</v>
      </c>
      <c r="D14" s="8" t="s">
        <v>668</v>
      </c>
    </row>
    <row r="15" spans="1:4" ht="35.5" customHeight="1">
      <c r="A15" s="18" t="s">
        <v>624</v>
      </c>
      <c r="B15" s="19" t="s">
        <v>172</v>
      </c>
      <c r="C15" s="8" t="s">
        <v>669</v>
      </c>
      <c r="D15" s="8" t="s">
        <v>670</v>
      </c>
    </row>
    <row r="16" spans="1:4" ht="35.5" customHeight="1">
      <c r="A16" s="18" t="s">
        <v>627</v>
      </c>
      <c r="B16" s="19" t="s">
        <v>72</v>
      </c>
      <c r="C16" s="8" t="s">
        <v>671</v>
      </c>
      <c r="D16" s="8" t="s">
        <v>672</v>
      </c>
    </row>
    <row r="17" spans="1:4" ht="35.5" customHeight="1">
      <c r="A17" s="18" t="s">
        <v>627</v>
      </c>
      <c r="B17" s="19" t="s">
        <v>77</v>
      </c>
      <c r="C17" s="8" t="s">
        <v>673</v>
      </c>
      <c r="D17" s="8" t="s">
        <v>674</v>
      </c>
    </row>
    <row r="18" spans="1:4" ht="35.5" customHeight="1">
      <c r="A18" s="18" t="s">
        <v>627</v>
      </c>
      <c r="B18" s="19" t="s">
        <v>324</v>
      </c>
      <c r="C18" s="8" t="s">
        <v>675</v>
      </c>
      <c r="D18" s="8" t="s">
        <v>676</v>
      </c>
    </row>
    <row r="19" spans="1:4" ht="35.5" customHeight="1">
      <c r="A19" s="18" t="s">
        <v>627</v>
      </c>
      <c r="B19" s="19" t="s">
        <v>326</v>
      </c>
      <c r="C19" s="8" t="s">
        <v>677</v>
      </c>
      <c r="D19" s="8" t="s">
        <v>678</v>
      </c>
    </row>
    <row r="20" spans="1:4" ht="35.5" customHeight="1">
      <c r="A20" s="18" t="s">
        <v>630</v>
      </c>
      <c r="B20" s="19" t="s">
        <v>224</v>
      </c>
      <c r="C20" s="8" t="s">
        <v>679</v>
      </c>
      <c r="D20" s="8" t="s">
        <v>680</v>
      </c>
    </row>
    <row r="21" spans="1:4" ht="35.5" customHeight="1">
      <c r="A21" s="18" t="s">
        <v>630</v>
      </c>
      <c r="B21" s="19" t="s">
        <v>217</v>
      </c>
      <c r="C21" s="8" t="s">
        <v>681</v>
      </c>
      <c r="D21" s="8" t="s">
        <v>682</v>
      </c>
    </row>
    <row r="22" spans="1:4" ht="35.5" customHeight="1">
      <c r="A22" s="18" t="s">
        <v>630</v>
      </c>
      <c r="B22" s="19" t="s">
        <v>235</v>
      </c>
      <c r="C22" s="8" t="s">
        <v>683</v>
      </c>
      <c r="D22" s="8" t="s">
        <v>684</v>
      </c>
    </row>
    <row r="23" spans="1:4" ht="35.5" customHeight="1">
      <c r="A23" s="18" t="s">
        <v>633</v>
      </c>
      <c r="B23" s="19" t="s">
        <v>241</v>
      </c>
      <c r="C23" s="8" t="s">
        <v>685</v>
      </c>
      <c r="D23" s="8" t="s">
        <v>686</v>
      </c>
    </row>
    <row r="24" spans="1:4" ht="35.5" customHeight="1">
      <c r="A24" s="18" t="s">
        <v>633</v>
      </c>
      <c r="B24" s="19" t="s">
        <v>369</v>
      </c>
      <c r="C24" s="8" t="s">
        <v>687</v>
      </c>
      <c r="D24" s="8" t="s">
        <v>688</v>
      </c>
    </row>
    <row r="25" spans="1:4" ht="35.5" customHeight="1">
      <c r="A25" s="18" t="s">
        <v>633</v>
      </c>
      <c r="B25" s="19" t="s">
        <v>242</v>
      </c>
      <c r="C25" s="8" t="s">
        <v>689</v>
      </c>
      <c r="D25" s="8" t="s">
        <v>690</v>
      </c>
    </row>
    <row r="26" spans="1:4" ht="35.5" customHeight="1">
      <c r="A26" s="18" t="s">
        <v>633</v>
      </c>
      <c r="B26" s="19" t="s">
        <v>365</v>
      </c>
      <c r="C26" s="8" t="s">
        <v>691</v>
      </c>
      <c r="D26" s="8" t="s">
        <v>692</v>
      </c>
    </row>
    <row r="27" spans="1:4" ht="35.5" customHeight="1">
      <c r="A27" s="18" t="s">
        <v>633</v>
      </c>
      <c r="B27" s="19" t="s">
        <v>240</v>
      </c>
      <c r="C27" s="8" t="s">
        <v>693</v>
      </c>
      <c r="D27" s="8" t="s">
        <v>694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E1" t="s">
        <v>3</v>
      </c>
    </row>
    <row r="2" spans="1:8">
      <c r="A2" t="s">
        <v>43</v>
      </c>
      <c r="B2" t="s">
        <v>44</v>
      </c>
      <c r="E2" t="s">
        <v>45</v>
      </c>
      <c r="F2" t="s">
        <v>46</v>
      </c>
    </row>
    <row r="3" spans="1:8">
      <c r="A3" t="s">
        <v>49</v>
      </c>
      <c r="B3" t="s">
        <v>50</v>
      </c>
      <c r="E3" t="s">
        <v>51</v>
      </c>
    </row>
    <row r="4" spans="1:8">
      <c r="A4" t="s">
        <v>54</v>
      </c>
      <c r="B4" t="s">
        <v>55</v>
      </c>
      <c r="E4" t="s">
        <v>56</v>
      </c>
    </row>
    <row r="5" spans="1:8">
      <c r="A5" t="s">
        <v>59</v>
      </c>
      <c r="B5" t="s">
        <v>60</v>
      </c>
      <c r="E5" t="s">
        <v>61</v>
      </c>
    </row>
    <row r="6" spans="1:8">
      <c r="A6" t="s">
        <v>64</v>
      </c>
      <c r="B6" t="s">
        <v>65</v>
      </c>
      <c r="E6" t="s">
        <v>66</v>
      </c>
    </row>
    <row r="7" spans="1:8">
      <c r="A7" t="s">
        <v>70</v>
      </c>
      <c r="B7" t="s">
        <v>71</v>
      </c>
      <c r="C7" t="s">
        <v>27</v>
      </c>
      <c r="E7" t="s">
        <v>27</v>
      </c>
      <c r="F7" t="s">
        <v>33</v>
      </c>
      <c r="G7" t="s">
        <v>36</v>
      </c>
      <c r="H7" t="s">
        <v>72</v>
      </c>
    </row>
    <row r="8" spans="1:8">
      <c r="A8" t="s">
        <v>75</v>
      </c>
      <c r="B8" t="s">
        <v>76</v>
      </c>
      <c r="C8" t="s">
        <v>30</v>
      </c>
      <c r="E8" t="s">
        <v>30</v>
      </c>
      <c r="F8" t="s">
        <v>72</v>
      </c>
      <c r="G8" t="s">
        <v>33</v>
      </c>
      <c r="H8" t="s">
        <v>77</v>
      </c>
    </row>
    <row r="9" spans="1:8">
      <c r="A9" t="s">
        <v>80</v>
      </c>
      <c r="B9" t="s">
        <v>81</v>
      </c>
      <c r="C9" t="s">
        <v>33</v>
      </c>
      <c r="E9" t="s">
        <v>72</v>
      </c>
      <c r="F9" t="s">
        <v>36</v>
      </c>
      <c r="G9" t="s">
        <v>77</v>
      </c>
      <c r="H9" t="s">
        <v>33</v>
      </c>
    </row>
    <row r="10" spans="1:8">
      <c r="A10" t="s">
        <v>84</v>
      </c>
      <c r="B10" t="s">
        <v>85</v>
      </c>
      <c r="C10" t="s">
        <v>36</v>
      </c>
      <c r="E10" t="s">
        <v>36</v>
      </c>
      <c r="F10" t="s">
        <v>27</v>
      </c>
      <c r="G10" t="s">
        <v>30</v>
      </c>
      <c r="H10" t="s">
        <v>72</v>
      </c>
    </row>
    <row r="11" spans="1:8">
      <c r="A11" t="s">
        <v>90</v>
      </c>
      <c r="B11" t="s">
        <v>71</v>
      </c>
      <c r="E11" t="s">
        <v>27</v>
      </c>
      <c r="F11" t="s">
        <v>91</v>
      </c>
      <c r="G11" t="s">
        <v>92</v>
      </c>
      <c r="H11" t="s">
        <v>93</v>
      </c>
    </row>
    <row r="12" spans="1:8">
      <c r="A12" t="s">
        <v>95</v>
      </c>
      <c r="B12" t="s">
        <v>76</v>
      </c>
      <c r="E12" t="s">
        <v>96</v>
      </c>
      <c r="F12" t="s">
        <v>97</v>
      </c>
    </row>
    <row r="13" spans="1:8">
      <c r="A13" t="s">
        <v>100</v>
      </c>
      <c r="B13" t="s">
        <v>81</v>
      </c>
      <c r="E13" t="s">
        <v>101</v>
      </c>
    </row>
    <row r="14" spans="1:8">
      <c r="A14" t="s">
        <v>104</v>
      </c>
      <c r="B14" t="s">
        <v>85</v>
      </c>
      <c r="E14" t="s">
        <v>36</v>
      </c>
      <c r="F14" t="s">
        <v>105</v>
      </c>
      <c r="G14" t="s">
        <v>106</v>
      </c>
      <c r="H14" t="s">
        <v>107</v>
      </c>
    </row>
    <row r="15" spans="1:8">
      <c r="A15" t="s">
        <v>110</v>
      </c>
      <c r="B15" t="s">
        <v>111</v>
      </c>
      <c r="C15" cm="1">
        <f t="array" ref="C15">'F1-1 Arena'!$C$6*'F1-1 Arena'!$D$6</f>
        <v>10</v>
      </c>
    </row>
    <row r="16" spans="1:8">
      <c r="A16" t="s">
        <v>115</v>
      </c>
      <c r="B16" t="s">
        <v>116</v>
      </c>
      <c r="C16" cm="1">
        <f t="array" ref="C16">('F1-1 Arena'!$C$7+3)*'F1-1 Arena'!$D$7</f>
        <v>36</v>
      </c>
    </row>
    <row r="17" spans="1:14">
      <c r="A17" t="s">
        <v>120</v>
      </c>
      <c r="B17" t="s">
        <v>121</v>
      </c>
      <c r="C17" cm="1">
        <f t="array" ref="C17">'F1-1 Arena'!$D$8^2</f>
        <v>64</v>
      </c>
    </row>
    <row r="18" spans="1:14">
      <c r="A18" t="s">
        <v>125</v>
      </c>
      <c r="B18" t="s">
        <v>126</v>
      </c>
      <c r="C18">
        <v>4</v>
      </c>
    </row>
    <row r="19" spans="1:14">
      <c r="A19" t="s">
        <v>173</v>
      </c>
      <c r="B19" t="s">
        <v>71</v>
      </c>
      <c r="E19" t="s">
        <v>27</v>
      </c>
      <c r="F19" t="s">
        <v>91</v>
      </c>
      <c r="G19" t="s">
        <v>92</v>
      </c>
      <c r="H19" t="s">
        <v>93</v>
      </c>
    </row>
    <row r="20" spans="1:14">
      <c r="A20" t="s">
        <v>175</v>
      </c>
      <c r="B20" t="s">
        <v>76</v>
      </c>
      <c r="E20" t="s">
        <v>96</v>
      </c>
      <c r="F20" t="s">
        <v>97</v>
      </c>
    </row>
    <row r="21" spans="1:14">
      <c r="A21" t="s">
        <v>177</v>
      </c>
      <c r="B21" t="s">
        <v>81</v>
      </c>
      <c r="E21" t="s">
        <v>101</v>
      </c>
    </row>
    <row r="22" spans="1:14">
      <c r="A22" t="s">
        <v>179</v>
      </c>
      <c r="B22" t="s">
        <v>85</v>
      </c>
      <c r="E22" t="s">
        <v>36</v>
      </c>
      <c r="F22" t="s">
        <v>105</v>
      </c>
      <c r="G22" t="s">
        <v>106</v>
      </c>
      <c r="H22" t="s">
        <v>107</v>
      </c>
    </row>
    <row r="23" spans="1:14">
      <c r="A23" t="s">
        <v>181</v>
      </c>
      <c r="B23" t="s">
        <v>182</v>
      </c>
      <c r="E23" t="s">
        <v>183</v>
      </c>
      <c r="F23" t="s">
        <v>184</v>
      </c>
      <c r="G23" t="s">
        <v>185</v>
      </c>
      <c r="H23" t="s">
        <v>186</v>
      </c>
      <c r="I23" t="s">
        <v>187</v>
      </c>
    </row>
    <row r="24" spans="1:14">
      <c r="A24" t="s">
        <v>189</v>
      </c>
      <c r="B24" t="s">
        <v>190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J24" t="s">
        <v>196</v>
      </c>
      <c r="K24" t="s">
        <v>197</v>
      </c>
      <c r="L24" t="s">
        <v>198</v>
      </c>
      <c r="M24" t="s">
        <v>199</v>
      </c>
      <c r="N24" t="s">
        <v>200</v>
      </c>
    </row>
    <row r="25" spans="1:14">
      <c r="A25" t="s">
        <v>203</v>
      </c>
      <c r="B25" t="s">
        <v>204</v>
      </c>
      <c r="E25" t="s">
        <v>205</v>
      </c>
      <c r="F25" t="s">
        <v>206</v>
      </c>
    </row>
    <row r="26" spans="1:14">
      <c r="A26" t="s">
        <v>209</v>
      </c>
      <c r="B26" t="s">
        <v>210</v>
      </c>
      <c r="E26" t="s">
        <v>211</v>
      </c>
      <c r="F26" t="s">
        <v>212</v>
      </c>
    </row>
    <row r="27" spans="1:14">
      <c r="A27" t="s">
        <v>215</v>
      </c>
      <c r="B27" t="s">
        <v>216</v>
      </c>
      <c r="C27" t="s">
        <v>157</v>
      </c>
      <c r="E27" t="s">
        <v>166</v>
      </c>
      <c r="F27" t="s">
        <v>157</v>
      </c>
      <c r="G27" t="s">
        <v>159</v>
      </c>
      <c r="H27" t="s">
        <v>217</v>
      </c>
    </row>
    <row r="28" spans="1:14">
      <c r="A28" t="s">
        <v>219</v>
      </c>
      <c r="B28" t="s">
        <v>220</v>
      </c>
      <c r="C28" t="s">
        <v>159</v>
      </c>
      <c r="E28" t="s">
        <v>157</v>
      </c>
      <c r="F28" t="s">
        <v>159</v>
      </c>
      <c r="G28" t="s">
        <v>163</v>
      </c>
      <c r="H28" t="s">
        <v>166</v>
      </c>
    </row>
    <row r="29" spans="1:14">
      <c r="A29" t="s">
        <v>222</v>
      </c>
      <c r="B29" t="s">
        <v>223</v>
      </c>
      <c r="C29" t="s">
        <v>161</v>
      </c>
      <c r="E29" t="s">
        <v>166</v>
      </c>
      <c r="F29" t="s">
        <v>161</v>
      </c>
      <c r="G29" t="s">
        <v>224</v>
      </c>
      <c r="H29" t="s">
        <v>169</v>
      </c>
    </row>
    <row r="30" spans="1:14">
      <c r="A30" t="s">
        <v>226</v>
      </c>
      <c r="B30" t="s">
        <v>227</v>
      </c>
      <c r="C30" t="s">
        <v>163</v>
      </c>
      <c r="E30" t="s">
        <v>169</v>
      </c>
      <c r="F30" t="s">
        <v>217</v>
      </c>
      <c r="G30" t="s">
        <v>159</v>
      </c>
      <c r="H30" t="s">
        <v>163</v>
      </c>
    </row>
    <row r="31" spans="1:14">
      <c r="A31" t="s">
        <v>229</v>
      </c>
      <c r="B31" t="s">
        <v>230</v>
      </c>
      <c r="C31" t="s">
        <v>166</v>
      </c>
      <c r="E31" t="s">
        <v>217</v>
      </c>
      <c r="F31" t="s">
        <v>161</v>
      </c>
      <c r="G31" t="s">
        <v>166</v>
      </c>
      <c r="H31" t="s">
        <v>169</v>
      </c>
    </row>
    <row r="32" spans="1:14">
      <c r="A32" t="s">
        <v>233</v>
      </c>
      <c r="B32" t="s">
        <v>234</v>
      </c>
      <c r="C32" t="s">
        <v>169</v>
      </c>
      <c r="E32" t="s">
        <v>235</v>
      </c>
      <c r="F32" t="s">
        <v>159</v>
      </c>
      <c r="G32" t="s">
        <v>157</v>
      </c>
      <c r="H32" t="s">
        <v>169</v>
      </c>
    </row>
    <row r="33" spans="1:10">
      <c r="A33" t="s">
        <v>238</v>
      </c>
      <c r="B33" t="s">
        <v>239</v>
      </c>
      <c r="C33" t="s">
        <v>172</v>
      </c>
      <c r="E33" t="s">
        <v>240</v>
      </c>
      <c r="F33" t="s">
        <v>172</v>
      </c>
      <c r="G33" t="s">
        <v>241</v>
      </c>
      <c r="H33" t="s">
        <v>242</v>
      </c>
    </row>
    <row r="34" spans="1:10">
      <c r="A34" t="s">
        <v>246</v>
      </c>
      <c r="B34" t="s">
        <v>216</v>
      </c>
      <c r="E34" t="s">
        <v>247</v>
      </c>
      <c r="F34" t="s">
        <v>248</v>
      </c>
      <c r="G34" t="s">
        <v>249</v>
      </c>
      <c r="H34" t="s">
        <v>157</v>
      </c>
      <c r="I34" t="s">
        <v>250</v>
      </c>
      <c r="J34" t="s">
        <v>251</v>
      </c>
    </row>
    <row r="35" spans="1:10">
      <c r="A35" t="s">
        <v>252</v>
      </c>
      <c r="B35" t="s">
        <v>220</v>
      </c>
      <c r="E35" t="s">
        <v>253</v>
      </c>
      <c r="F35" t="s">
        <v>254</v>
      </c>
      <c r="G35" t="s">
        <v>255</v>
      </c>
      <c r="H35" t="s">
        <v>159</v>
      </c>
      <c r="I35" t="s">
        <v>256</v>
      </c>
      <c r="J35" t="s">
        <v>257</v>
      </c>
    </row>
    <row r="36" spans="1:10">
      <c r="A36" t="s">
        <v>258</v>
      </c>
      <c r="B36" t="s">
        <v>223</v>
      </c>
      <c r="E36" t="s">
        <v>259</v>
      </c>
      <c r="F36" t="s">
        <v>260</v>
      </c>
      <c r="G36" t="s">
        <v>261</v>
      </c>
      <c r="H36" t="s">
        <v>161</v>
      </c>
      <c r="I36" t="s">
        <v>262</v>
      </c>
      <c r="J36" t="s">
        <v>263</v>
      </c>
    </row>
    <row r="37" spans="1:10">
      <c r="A37" t="s">
        <v>264</v>
      </c>
      <c r="B37" t="s">
        <v>227</v>
      </c>
      <c r="E37" t="s">
        <v>265</v>
      </c>
      <c r="F37" t="s">
        <v>266</v>
      </c>
      <c r="G37" t="s">
        <v>267</v>
      </c>
      <c r="H37" t="s">
        <v>163</v>
      </c>
      <c r="I37" t="s">
        <v>268</v>
      </c>
      <c r="J37" t="s">
        <v>269</v>
      </c>
    </row>
    <row r="38" spans="1:10">
      <c r="A38" t="s">
        <v>270</v>
      </c>
      <c r="B38" t="s">
        <v>230</v>
      </c>
      <c r="E38" t="s">
        <v>271</v>
      </c>
      <c r="F38" t="s">
        <v>272</v>
      </c>
      <c r="G38" t="s">
        <v>273</v>
      </c>
      <c r="H38" t="s">
        <v>166</v>
      </c>
      <c r="I38" t="s">
        <v>274</v>
      </c>
      <c r="J38" t="s">
        <v>275</v>
      </c>
    </row>
    <row r="39" spans="1:10">
      <c r="A39" t="s">
        <v>276</v>
      </c>
      <c r="B39" t="s">
        <v>234</v>
      </c>
      <c r="E39" t="s">
        <v>277</v>
      </c>
      <c r="F39" t="s">
        <v>278</v>
      </c>
      <c r="G39" t="s">
        <v>279</v>
      </c>
      <c r="H39" t="s">
        <v>169</v>
      </c>
      <c r="I39" t="s">
        <v>280</v>
      </c>
      <c r="J39" t="s">
        <v>281</v>
      </c>
    </row>
    <row r="40" spans="1:10">
      <c r="A40" t="s">
        <v>282</v>
      </c>
      <c r="B40" t="s">
        <v>239</v>
      </c>
      <c r="E40" t="s">
        <v>283</v>
      </c>
    </row>
    <row r="41" spans="1:10">
      <c r="A41" t="s">
        <v>284</v>
      </c>
      <c r="B41" t="s">
        <v>285</v>
      </c>
      <c r="C41" cm="1">
        <f t="array" ref="C41">SUM('F1-2 Arena'!$C$6:$C$17)</f>
        <v>6690</v>
      </c>
    </row>
    <row r="42" spans="1:10">
      <c r="A42" t="s">
        <v>288</v>
      </c>
      <c r="B42" t="s">
        <v>289</v>
      </c>
      <c r="C42" cm="1">
        <f t="array" ref="C42">AVERAGE('F1-2 Arena'!$C$6:$C$17)</f>
        <v>557.5</v>
      </c>
    </row>
    <row r="43" spans="1:10">
      <c r="A43" t="s">
        <v>293</v>
      </c>
      <c r="B43" t="s">
        <v>294</v>
      </c>
      <c r="C43" cm="1">
        <f t="array" ref="C43">MAX('F1-2 Arena'!$C$6:$C$17)</f>
        <v>720</v>
      </c>
    </row>
    <row r="44" spans="1:10">
      <c r="A44" t="s">
        <v>298</v>
      </c>
      <c r="B44" t="s">
        <v>299</v>
      </c>
      <c r="C44" cm="1">
        <f t="array" ref="C44">MIN('F1-2 Arena'!$C$6:$C$17)</f>
        <v>380</v>
      </c>
    </row>
    <row r="45" spans="1:10">
      <c r="A45" t="s">
        <v>303</v>
      </c>
      <c r="B45" t="s">
        <v>304</v>
      </c>
      <c r="C45" cm="1">
        <f t="array" ref="C45">COUNT('F1-2 Arena'!$D$6:$D$17)</f>
        <v>10</v>
      </c>
    </row>
    <row r="46" spans="1:10">
      <c r="A46" t="s">
        <v>308</v>
      </c>
      <c r="B46" t="s">
        <v>309</v>
      </c>
      <c r="C46" cm="1">
        <f t="array" ref="C46">COUNTA('F1-2 Arena'!$D$6:$D$17)</f>
        <v>12</v>
      </c>
    </row>
    <row r="47" spans="1:10">
      <c r="A47" t="s">
        <v>327</v>
      </c>
      <c r="B47" t="s">
        <v>216</v>
      </c>
      <c r="E47" t="s">
        <v>247</v>
      </c>
      <c r="F47" t="s">
        <v>248</v>
      </c>
      <c r="G47" t="s">
        <v>249</v>
      </c>
      <c r="H47" t="s">
        <v>157</v>
      </c>
      <c r="I47" t="s">
        <v>250</v>
      </c>
      <c r="J47" t="s">
        <v>251</v>
      </c>
    </row>
    <row r="48" spans="1:10">
      <c r="A48" t="s">
        <v>329</v>
      </c>
      <c r="B48" t="s">
        <v>220</v>
      </c>
      <c r="E48" t="s">
        <v>253</v>
      </c>
      <c r="F48" t="s">
        <v>254</v>
      </c>
      <c r="G48" t="s">
        <v>255</v>
      </c>
      <c r="H48" t="s">
        <v>159</v>
      </c>
      <c r="I48" t="s">
        <v>256</v>
      </c>
      <c r="J48" t="s">
        <v>257</v>
      </c>
    </row>
    <row r="49" spans="1:10">
      <c r="A49" t="s">
        <v>331</v>
      </c>
      <c r="B49" t="s">
        <v>223</v>
      </c>
      <c r="E49" t="s">
        <v>259</v>
      </c>
      <c r="F49" t="s">
        <v>260</v>
      </c>
      <c r="G49" t="s">
        <v>261</v>
      </c>
      <c r="H49" t="s">
        <v>161</v>
      </c>
      <c r="I49" t="s">
        <v>262</v>
      </c>
      <c r="J49" t="s">
        <v>263</v>
      </c>
    </row>
    <row r="50" spans="1:10">
      <c r="A50" t="s">
        <v>333</v>
      </c>
      <c r="B50" t="s">
        <v>227</v>
      </c>
      <c r="E50" t="s">
        <v>265</v>
      </c>
      <c r="F50" t="s">
        <v>266</v>
      </c>
      <c r="G50" t="s">
        <v>267</v>
      </c>
      <c r="H50" t="s">
        <v>163</v>
      </c>
      <c r="I50" t="s">
        <v>268</v>
      </c>
      <c r="J50" t="s">
        <v>269</v>
      </c>
    </row>
    <row r="51" spans="1:10">
      <c r="A51" t="s">
        <v>335</v>
      </c>
      <c r="B51" t="s">
        <v>230</v>
      </c>
      <c r="E51" t="s">
        <v>271</v>
      </c>
      <c r="F51" t="s">
        <v>272</v>
      </c>
      <c r="G51" t="s">
        <v>273</v>
      </c>
      <c r="H51" t="s">
        <v>166</v>
      </c>
      <c r="I51" t="s">
        <v>274</v>
      </c>
      <c r="J51" t="s">
        <v>275</v>
      </c>
    </row>
    <row r="52" spans="1:10">
      <c r="A52" t="s">
        <v>337</v>
      </c>
      <c r="B52" t="s">
        <v>234</v>
      </c>
      <c r="E52" t="s">
        <v>277</v>
      </c>
      <c r="F52" t="s">
        <v>278</v>
      </c>
      <c r="G52" t="s">
        <v>279</v>
      </c>
      <c r="H52" t="s">
        <v>169</v>
      </c>
      <c r="I52" t="s">
        <v>280</v>
      </c>
      <c r="J52" t="s">
        <v>281</v>
      </c>
    </row>
    <row r="53" spans="1:10">
      <c r="A53" t="s">
        <v>339</v>
      </c>
      <c r="B53" t="s">
        <v>239</v>
      </c>
      <c r="E53" t="s">
        <v>283</v>
      </c>
    </row>
    <row r="54" spans="1:10">
      <c r="A54" t="s">
        <v>341</v>
      </c>
      <c r="B54" t="s">
        <v>342</v>
      </c>
      <c r="E54" t="s">
        <v>343</v>
      </c>
    </row>
    <row r="55" spans="1:10">
      <c r="A55" t="s">
        <v>345</v>
      </c>
      <c r="B55" t="s">
        <v>346</v>
      </c>
      <c r="E55" t="s">
        <v>347</v>
      </c>
    </row>
    <row r="56" spans="1:10">
      <c r="A56" t="s">
        <v>350</v>
      </c>
      <c r="B56" t="s">
        <v>351</v>
      </c>
      <c r="E56" t="s">
        <v>352</v>
      </c>
      <c r="F56" t="s">
        <v>353</v>
      </c>
      <c r="G56" t="s">
        <v>354</v>
      </c>
    </row>
    <row r="57" spans="1:10">
      <c r="A57" t="s">
        <v>357</v>
      </c>
      <c r="B57" t="s">
        <v>358</v>
      </c>
      <c r="C57" t="s">
        <v>72</v>
      </c>
      <c r="E57" t="s">
        <v>77</v>
      </c>
      <c r="F57" t="s">
        <v>33</v>
      </c>
      <c r="G57" t="s">
        <v>72</v>
      </c>
      <c r="H57" t="s">
        <v>36</v>
      </c>
    </row>
    <row r="58" spans="1:10">
      <c r="A58" t="s">
        <v>360</v>
      </c>
      <c r="B58" t="s">
        <v>361</v>
      </c>
      <c r="C58" t="s">
        <v>77</v>
      </c>
      <c r="E58" t="s">
        <v>77</v>
      </c>
      <c r="F58" t="s">
        <v>36</v>
      </c>
      <c r="G58" t="s">
        <v>30</v>
      </c>
      <c r="H58" t="s">
        <v>72</v>
      </c>
    </row>
    <row r="59" spans="1:10">
      <c r="A59" t="s">
        <v>363</v>
      </c>
      <c r="B59" t="s">
        <v>364</v>
      </c>
      <c r="C59" t="s">
        <v>324</v>
      </c>
      <c r="E59" t="s">
        <v>172</v>
      </c>
      <c r="F59" t="s">
        <v>240</v>
      </c>
      <c r="G59" t="s">
        <v>324</v>
      </c>
      <c r="H59" t="s">
        <v>365</v>
      </c>
    </row>
    <row r="60" spans="1:10">
      <c r="A60" t="s">
        <v>367</v>
      </c>
      <c r="B60" t="s">
        <v>368</v>
      </c>
      <c r="C60" t="s">
        <v>326</v>
      </c>
      <c r="E60" t="s">
        <v>242</v>
      </c>
      <c r="F60" t="s">
        <v>369</v>
      </c>
      <c r="G60" t="s">
        <v>326</v>
      </c>
      <c r="H60" t="s">
        <v>365</v>
      </c>
    </row>
    <row r="61" spans="1:10">
      <c r="A61" t="s">
        <v>372</v>
      </c>
      <c r="B61" t="s">
        <v>358</v>
      </c>
      <c r="E61" t="s">
        <v>373</v>
      </c>
    </row>
    <row r="62" spans="1:10">
      <c r="A62" t="s">
        <v>375</v>
      </c>
      <c r="B62" t="s">
        <v>361</v>
      </c>
      <c r="E62" t="s">
        <v>376</v>
      </c>
    </row>
    <row r="63" spans="1:10">
      <c r="A63" t="s">
        <v>378</v>
      </c>
      <c r="B63" t="s">
        <v>364</v>
      </c>
      <c r="E63" t="s">
        <v>324</v>
      </c>
    </row>
    <row r="64" spans="1:10">
      <c r="A64" t="s">
        <v>379</v>
      </c>
      <c r="B64" t="s">
        <v>368</v>
      </c>
      <c r="E64" t="s">
        <v>380</v>
      </c>
    </row>
    <row r="65" spans="1:12">
      <c r="A65" t="s">
        <v>381</v>
      </c>
      <c r="B65" t="s">
        <v>382</v>
      </c>
      <c r="E65" cm="1">
        <f t="array" ref="E65">'F1-3 Arena'!$B$6*'F1-3 Arena'!$E$6</f>
        <v>1.6</v>
      </c>
      <c r="F65" cm="1">
        <f t="array" ref="F65">'F1-3 Arena'!$B$7*'F1-3 Arena'!$E$6</f>
        <v>2.8000000000000003</v>
      </c>
      <c r="G65" cm="1">
        <f t="array" ref="G65">'F1-3 Arena'!$B$8*'F1-3 Arena'!$E$6</f>
        <v>1.0</v>
      </c>
      <c r="H65" cm="1">
        <f t="array" ref="H65">'F1-3 Arena'!$B$9*'F1-3 Arena'!$E$6</f>
        <v>6.4</v>
      </c>
      <c r="I65" cm="1">
        <f t="array" ref="I65">'F1-3 Arena'!$B$10*'F1-3 Arena'!$E$6</f>
        <v>3.68</v>
      </c>
      <c r="J65" cm="1">
        <f t="array" ref="J65">'F1-3 Arena'!$B$11*'F1-3 Arena'!$E$6</f>
        <v>0.7992</v>
      </c>
      <c r="K65" cm="1">
        <f t="array" ref="K65">'F1-3 Arena'!$B$12*'F1-3 Arena'!$E$6</f>
        <v>12.0</v>
      </c>
      <c r="L65" cm="1">
        <f t="array" ref="L65">'F1-3 Arena'!$B$13*'F1-3 Arena'!$E$6</f>
        <v>5.12</v>
      </c>
    </row>
    <row r="66" spans="1:12">
      <c r="A66" t="s">
        <v>385</v>
      </c>
      <c r="B66" t="s">
        <v>386</v>
      </c>
      <c r="E66" cm="1">
        <f t="array" ref="E66">'F1-3 Arena'!$B$17*(1-'F1-3 Arena'!$C$16)</f>
        <v>36.0</v>
      </c>
      <c r="F66" cm="1">
        <f t="array" ref="F66">'F1-3 Arena'!$B$18*(1-'F1-3 Arena'!$C$16)</f>
        <v>22.5</v>
      </c>
      <c r="G66" cm="1">
        <f t="array" ref="G66">'F1-3 Arena'!$B$19*(1-'F1-3 Arena'!$C$16)</f>
        <v>54.0</v>
      </c>
      <c r="H66" cm="1">
        <f t="array" ref="H66">'F1-3 Arena'!$B$20*(1-'F1-3 Arena'!$C$16)</f>
        <v>13.5</v>
      </c>
      <c r="I66" cm="1">
        <f t="array" ref="I66">'F1-3 Arena'!$B$21*(1-'F1-3 Arena'!$C$16)</f>
        <v>81.0</v>
      </c>
    </row>
    <row r="67" spans="1:12">
      <c r="A67" t="s">
        <v>403</v>
      </c>
      <c r="B67" t="s">
        <v>358</v>
      </c>
      <c r="E67" t="s">
        <v>373</v>
      </c>
    </row>
    <row r="68" spans="1:12">
      <c r="A68" t="s">
        <v>405</v>
      </c>
      <c r="B68" t="s">
        <v>361</v>
      </c>
      <c r="E68" t="s">
        <v>376</v>
      </c>
    </row>
    <row r="69" spans="1:12">
      <c r="A69" t="s">
        <v>407</v>
      </c>
      <c r="B69" t="s">
        <v>364</v>
      </c>
      <c r="E69" t="s">
        <v>324</v>
      </c>
    </row>
    <row r="70" spans="1:12">
      <c r="A70" t="s">
        <v>409</v>
      </c>
      <c r="B70" t="s">
        <v>368</v>
      </c>
      <c r="E70" t="s">
        <v>380</v>
      </c>
    </row>
    <row r="71" spans="1:12">
      <c r="A71" t="s">
        <v>411</v>
      </c>
      <c r="B71" t="s">
        <v>412</v>
      </c>
      <c r="C71" t="s">
        <v>224</v>
      </c>
      <c r="E71" t="s">
        <v>166</v>
      </c>
      <c r="F71" t="s">
        <v>224</v>
      </c>
      <c r="G71" t="s">
        <v>161</v>
      </c>
      <c r="H71" t="s">
        <v>159</v>
      </c>
    </row>
    <row r="72" spans="1:12">
      <c r="A72" t="s">
        <v>414</v>
      </c>
      <c r="B72" t="s">
        <v>415</v>
      </c>
      <c r="C72" t="s">
        <v>217</v>
      </c>
      <c r="E72" t="s">
        <v>169</v>
      </c>
      <c r="F72" t="s">
        <v>217</v>
      </c>
      <c r="G72" t="s">
        <v>157</v>
      </c>
      <c r="H72" t="s">
        <v>235</v>
      </c>
    </row>
    <row r="73" spans="1:12">
      <c r="A73" t="s">
        <v>417</v>
      </c>
      <c r="B73" t="s">
        <v>418</v>
      </c>
      <c r="C73" t="s">
        <v>235</v>
      </c>
      <c r="E73" t="s">
        <v>224</v>
      </c>
      <c r="F73" t="s">
        <v>169</v>
      </c>
      <c r="G73" t="s">
        <v>235</v>
      </c>
      <c r="H73" t="s">
        <v>166</v>
      </c>
    </row>
    <row r="74" spans="1:12">
      <c r="A74" t="s">
        <v>421</v>
      </c>
      <c r="B74" t="s">
        <v>412</v>
      </c>
      <c r="E74" t="s">
        <v>422</v>
      </c>
      <c r="F74" t="s">
        <v>423</v>
      </c>
      <c r="G74" t="s">
        <v>424</v>
      </c>
      <c r="H74" t="s">
        <v>224</v>
      </c>
      <c r="I74" t="s">
        <v>425</v>
      </c>
      <c r="J74" t="s">
        <v>426</v>
      </c>
    </row>
    <row r="75" spans="1:12">
      <c r="A75" t="s">
        <v>427</v>
      </c>
      <c r="B75" t="s">
        <v>415</v>
      </c>
      <c r="E75" t="s">
        <v>428</v>
      </c>
      <c r="F75" t="s">
        <v>429</v>
      </c>
      <c r="G75" t="s">
        <v>430</v>
      </c>
      <c r="H75" t="s">
        <v>217</v>
      </c>
      <c r="I75" t="s">
        <v>431</v>
      </c>
      <c r="J75" t="s">
        <v>432</v>
      </c>
    </row>
    <row r="76" spans="1:12">
      <c r="A76" t="s">
        <v>433</v>
      </c>
      <c r="B76" t="s">
        <v>418</v>
      </c>
      <c r="E76" t="s">
        <v>434</v>
      </c>
      <c r="F76" t="s">
        <v>435</v>
      </c>
      <c r="G76" t="s">
        <v>436</v>
      </c>
      <c r="H76" t="s">
        <v>235</v>
      </c>
      <c r="I76" t="s">
        <v>437</v>
      </c>
      <c r="J76" t="s">
        <v>438</v>
      </c>
    </row>
    <row r="77" spans="1:12">
      <c r="A77" t="s">
        <v>439</v>
      </c>
      <c r="B77" t="s">
        <v>440</v>
      </c>
      <c r="C77" cm="1">
        <f t="array" ref="C77">ROUND('F1-4 Arena'!$B$6,2)</f>
        <v>3.14</v>
      </c>
    </row>
    <row r="78" spans="1:12">
      <c r="A78" t="s">
        <v>443</v>
      </c>
      <c r="B78" t="s">
        <v>444</v>
      </c>
      <c r="C78" cm="1">
        <f t="array" ref="C78">ROUNDUP('F1-4 Arena'!$B$7,0)</f>
        <v>3</v>
      </c>
    </row>
    <row r="79" spans="1:12">
      <c r="A79" t="s">
        <v>447</v>
      </c>
      <c r="B79" t="s">
        <v>448</v>
      </c>
      <c r="C79" cm="1">
        <f t="array" ref="C79">ROUNDDOWN('F1-4 Arena'!$B$8,1)</f>
        <v>7.8</v>
      </c>
    </row>
    <row r="80" spans="1:12">
      <c r="A80" t="s">
        <v>451</v>
      </c>
      <c r="B80" t="s">
        <v>452</v>
      </c>
      <c r="C80" cm="1">
        <f t="array" ref="C80">ROUND('F1-4 Arena'!$B$9,-2)</f>
        <v>1200</v>
      </c>
    </row>
    <row r="81" spans="1:10">
      <c r="A81" t="s">
        <v>471</v>
      </c>
      <c r="B81" t="s">
        <v>412</v>
      </c>
      <c r="E81" t="s">
        <v>422</v>
      </c>
      <c r="F81" t="s">
        <v>423</v>
      </c>
      <c r="G81" t="s">
        <v>424</v>
      </c>
      <c r="H81" t="s">
        <v>224</v>
      </c>
      <c r="I81" t="s">
        <v>425</v>
      </c>
      <c r="J81" t="s">
        <v>426</v>
      </c>
    </row>
    <row r="82" spans="1:10">
      <c r="A82" t="s">
        <v>473</v>
      </c>
      <c r="B82" t="s">
        <v>415</v>
      </c>
      <c r="E82" t="s">
        <v>428</v>
      </c>
      <c r="F82" t="s">
        <v>429</v>
      </c>
      <c r="G82" t="s">
        <v>430</v>
      </c>
      <c r="H82" t="s">
        <v>217</v>
      </c>
      <c r="I82" t="s">
        <v>431</v>
      </c>
      <c r="J82" t="s">
        <v>432</v>
      </c>
    </row>
    <row r="83" spans="1:10">
      <c r="A83" t="s">
        <v>475</v>
      </c>
      <c r="B83" t="s">
        <v>418</v>
      </c>
      <c r="E83" t="s">
        <v>434</v>
      </c>
      <c r="F83" t="s">
        <v>435</v>
      </c>
      <c r="G83" t="s">
        <v>436</v>
      </c>
      <c r="H83" t="s">
        <v>235</v>
      </c>
      <c r="I83" t="s">
        <v>437</v>
      </c>
      <c r="J83" t="s">
        <v>438</v>
      </c>
    </row>
    <row r="84" spans="1:10">
      <c r="A84" t="s">
        <v>477</v>
      </c>
      <c r="B84" t="s">
        <v>71</v>
      </c>
      <c r="E84" t="s">
        <v>27</v>
      </c>
      <c r="F84" t="s">
        <v>91</v>
      </c>
      <c r="G84" t="s">
        <v>92</v>
      </c>
      <c r="H84" t="s">
        <v>93</v>
      </c>
    </row>
    <row r="85" spans="1:10">
      <c r="A85" t="s">
        <v>478</v>
      </c>
      <c r="B85" t="s">
        <v>76</v>
      </c>
      <c r="E85" t="s">
        <v>96</v>
      </c>
      <c r="F85" t="s">
        <v>97</v>
      </c>
    </row>
    <row r="86" spans="1:10">
      <c r="A86" t="s">
        <v>479</v>
      </c>
      <c r="B86" t="s">
        <v>81</v>
      </c>
      <c r="E86" t="s">
        <v>101</v>
      </c>
    </row>
    <row r="87" spans="1:10">
      <c r="A87" t="s">
        <v>480</v>
      </c>
      <c r="B87" t="s">
        <v>85</v>
      </c>
      <c r="E87" t="s">
        <v>36</v>
      </c>
      <c r="F87" t="s">
        <v>105</v>
      </c>
      <c r="G87" t="s">
        <v>106</v>
      </c>
      <c r="H87" t="s">
        <v>107</v>
      </c>
    </row>
    <row r="88" spans="1:10">
      <c r="A88" t="s">
        <v>481</v>
      </c>
      <c r="B88" t="s">
        <v>482</v>
      </c>
      <c r="C88" t="s">
        <v>241</v>
      </c>
      <c r="E88" t="s">
        <v>241</v>
      </c>
      <c r="F88" t="s">
        <v>324</v>
      </c>
      <c r="G88" t="s">
        <v>326</v>
      </c>
      <c r="H88" t="s">
        <v>242</v>
      </c>
    </row>
    <row r="89" spans="1:10">
      <c r="A89" t="s">
        <v>484</v>
      </c>
      <c r="B89" t="s">
        <v>485</v>
      </c>
      <c r="C89" t="s">
        <v>369</v>
      </c>
      <c r="E89" t="s">
        <v>240</v>
      </c>
      <c r="F89" t="s">
        <v>324</v>
      </c>
      <c r="G89" t="s">
        <v>326</v>
      </c>
      <c r="H89" t="s">
        <v>369</v>
      </c>
    </row>
    <row r="90" spans="1:10">
      <c r="A90" t="s">
        <v>487</v>
      </c>
      <c r="B90" t="s">
        <v>488</v>
      </c>
      <c r="C90" t="s">
        <v>242</v>
      </c>
      <c r="E90" t="s">
        <v>242</v>
      </c>
      <c r="F90" t="s">
        <v>326</v>
      </c>
      <c r="G90" t="s">
        <v>365</v>
      </c>
      <c r="H90" t="s">
        <v>172</v>
      </c>
    </row>
    <row r="91" spans="1:10">
      <c r="A91" t="s">
        <v>490</v>
      </c>
      <c r="B91" t="s">
        <v>491</v>
      </c>
      <c r="C91" t="s">
        <v>365</v>
      </c>
      <c r="E91" t="s">
        <v>365</v>
      </c>
      <c r="F91" t="s">
        <v>172</v>
      </c>
      <c r="G91" t="s">
        <v>241</v>
      </c>
      <c r="H91" t="s">
        <v>242</v>
      </c>
    </row>
    <row r="92" spans="1:10">
      <c r="A92" t="s">
        <v>493</v>
      </c>
      <c r="B92" t="s">
        <v>494</v>
      </c>
      <c r="C92" t="s">
        <v>240</v>
      </c>
      <c r="E92" t="s">
        <v>365</v>
      </c>
      <c r="F92" t="s">
        <v>369</v>
      </c>
      <c r="G92" t="s">
        <v>240</v>
      </c>
      <c r="H92" t="s">
        <v>242</v>
      </c>
    </row>
    <row r="93" spans="1:10">
      <c r="A93" t="s">
        <v>497</v>
      </c>
      <c r="B93" t="s">
        <v>482</v>
      </c>
      <c r="E93" t="s">
        <v>498</v>
      </c>
      <c r="F93" t="s">
        <v>499</v>
      </c>
      <c r="G93" t="s">
        <v>500</v>
      </c>
      <c r="H93" t="s">
        <v>501</v>
      </c>
    </row>
    <row r="94" spans="1:10">
      <c r="A94" t="s">
        <v>502</v>
      </c>
      <c r="B94" t="s">
        <v>485</v>
      </c>
      <c r="E94" t="s">
        <v>369</v>
      </c>
    </row>
    <row r="95" spans="1:10">
      <c r="A95" t="s">
        <v>503</v>
      </c>
      <c r="B95" t="s">
        <v>488</v>
      </c>
      <c r="E95" t="s">
        <v>504</v>
      </c>
    </row>
    <row r="96" spans="1:10">
      <c r="A96" t="s">
        <v>505</v>
      </c>
      <c r="B96" t="s">
        <v>491</v>
      </c>
      <c r="E96" t="s">
        <v>506</v>
      </c>
      <c r="F96" t="s">
        <v>507</v>
      </c>
    </row>
    <row r="97" spans="1:10">
      <c r="A97" t="s">
        <v>508</v>
      </c>
      <c r="B97" t="s">
        <v>494</v>
      </c>
      <c r="E97" t="s">
        <v>509</v>
      </c>
    </row>
    <row r="98" spans="1:10">
      <c r="A98" t="s">
        <v>510</v>
      </c>
      <c r="B98" t="s">
        <v>511</v>
      </c>
      <c r="C98" t="s">
        <v>305</v>
      </c>
    </row>
    <row r="99" spans="1:10">
      <c r="A99" t="s">
        <v>513</v>
      </c>
      <c r="B99" t="s">
        <v>514</v>
      </c>
      <c r="C99" t="s">
        <v>515</v>
      </c>
    </row>
    <row r="100" spans="1:10">
      <c r="A100" t="s">
        <v>517</v>
      </c>
      <c r="B100" t="s">
        <v>518</v>
      </c>
      <c r="C100" cm="1">
        <f t="array" ref="C100">AVERAGE('F1-5 Arena'!$C$6:$C$15)</f>
        <v>60</v>
      </c>
    </row>
    <row r="101" spans="1:10">
      <c r="A101" t="s">
        <v>521</v>
      </c>
      <c r="B101" t="s">
        <v>522</v>
      </c>
      <c r="C101" cm="1">
        <f t="array" ref="C101">ROUND('F1-5 Arena'!$E$6/7,1)</f>
        <v>92.9</v>
      </c>
    </row>
    <row r="102" spans="1:10">
      <c r="A102" t="s">
        <v>557</v>
      </c>
      <c r="B102" t="s">
        <v>482</v>
      </c>
      <c r="E102" t="s">
        <v>498</v>
      </c>
      <c r="F102" t="s">
        <v>499</v>
      </c>
      <c r="G102" t="s">
        <v>500</v>
      </c>
      <c r="H102" t="s">
        <v>501</v>
      </c>
    </row>
    <row r="103" spans="1:10">
      <c r="A103" t="s">
        <v>559</v>
      </c>
      <c r="B103" t="s">
        <v>485</v>
      </c>
      <c r="E103" t="s">
        <v>369</v>
      </c>
    </row>
    <row r="104" spans="1:10">
      <c r="A104" t="s">
        <v>560</v>
      </c>
      <c r="B104" t="s">
        <v>488</v>
      </c>
      <c r="E104" t="s">
        <v>504</v>
      </c>
    </row>
    <row r="105" spans="1:10">
      <c r="A105" t="s">
        <v>562</v>
      </c>
      <c r="B105" t="s">
        <v>491</v>
      </c>
      <c r="E105" t="s">
        <v>506</v>
      </c>
      <c r="F105" t="s">
        <v>507</v>
      </c>
    </row>
    <row r="106" spans="1:10">
      <c r="A106" t="s">
        <v>563</v>
      </c>
      <c r="B106" t="s">
        <v>494</v>
      </c>
      <c r="E106" t="s">
        <v>509</v>
      </c>
    </row>
    <row r="107" spans="1:10">
      <c r="A107" t="s">
        <v>564</v>
      </c>
      <c r="B107" t="s">
        <v>216</v>
      </c>
      <c r="E107" t="s">
        <v>247</v>
      </c>
      <c r="F107" t="s">
        <v>248</v>
      </c>
      <c r="G107" t="s">
        <v>249</v>
      </c>
      <c r="H107" t="s">
        <v>157</v>
      </c>
      <c r="I107" t="s">
        <v>250</v>
      </c>
      <c r="J107" t="s">
        <v>251</v>
      </c>
    </row>
    <row r="108" spans="1:10">
      <c r="A108" t="s">
        <v>566</v>
      </c>
      <c r="B108" t="s">
        <v>220</v>
      </c>
      <c r="E108" t="s">
        <v>253</v>
      </c>
      <c r="F108" t="s">
        <v>254</v>
      </c>
      <c r="G108" t="s">
        <v>255</v>
      </c>
      <c r="H108" t="s">
        <v>159</v>
      </c>
      <c r="I108" t="s">
        <v>256</v>
      </c>
      <c r="J108" t="s">
        <v>257</v>
      </c>
    </row>
    <row r="109" spans="1:10">
      <c r="A109" t="s">
        <v>568</v>
      </c>
      <c r="B109" t="s">
        <v>223</v>
      </c>
      <c r="E109" t="s">
        <v>259</v>
      </c>
      <c r="F109" t="s">
        <v>260</v>
      </c>
      <c r="G109" t="s">
        <v>261</v>
      </c>
      <c r="H109" t="s">
        <v>161</v>
      </c>
      <c r="I109" t="s">
        <v>262</v>
      </c>
      <c r="J109" t="s">
        <v>263</v>
      </c>
    </row>
    <row r="110" spans="1:10">
      <c r="A110" t="s">
        <v>572</v>
      </c>
      <c r="B110" t="s">
        <v>573</v>
      </c>
      <c r="C110" cm="1">
        <f t="array" ref="C110">SUM('Boss Arena'!$E$6:$E$15)</f>
        <v>168</v>
      </c>
    </row>
    <row r="111" spans="1:10">
      <c r="A111" t="s">
        <v>576</v>
      </c>
      <c r="B111" t="s">
        <v>577</v>
      </c>
      <c r="C111" cm="1">
        <f t="array" ref="C111">AVERAGE('Boss Arena'!$D$6:$D$15)</f>
        <v>46.46</v>
      </c>
    </row>
    <row r="112" spans="1:10">
      <c r="A112" t="s">
        <v>580</v>
      </c>
      <c r="B112" t="s">
        <v>581</v>
      </c>
      <c r="C112" cm="1">
        <f t="array" ref="C112">MAX('Boss Arena'!$E$6:$E$15)</f>
        <v>100</v>
      </c>
    </row>
    <row r="113" spans="1:14">
      <c r="A113" t="s">
        <v>584</v>
      </c>
      <c r="B113" t="s">
        <v>585</v>
      </c>
      <c r="C113" cm="1">
        <f t="array" ref="C113">COUNT('Boss Arena'!$F$6:$F$15)</f>
        <v>8</v>
      </c>
    </row>
    <row r="114" spans="1:14">
      <c r="A114" t="s">
        <v>588</v>
      </c>
      <c r="B114" t="s">
        <v>589</v>
      </c>
      <c r="E114" cm="1">
        <f t="array" ref="E114">('Boss Arena'!$D$6-'Boss Arena'!$C$6)*'Boss Arena'!$E$6</f>
        <v>90</v>
      </c>
      <c r="F114" cm="1">
        <f t="array" ref="F114">('Boss Arena'!$D$7-'Boss Arena'!$C$7)*'Boss Arena'!$E$7</f>
        <v>120</v>
      </c>
      <c r="G114" cm="1">
        <f t="array" ref="G114">('Boss Arena'!$D$8-'Boss Arena'!$C$8)*'Boss Arena'!$E$8</f>
        <v>150</v>
      </c>
      <c r="H114" cm="1">
        <f t="array" ref="H114">('Boss Arena'!$D$9-'Boss Arena'!$C$9)*'Boss Arena'!$E$9</f>
        <v>220</v>
      </c>
      <c r="I114" cm="1">
        <f t="array" ref="I114">('Boss Arena'!$D$10-'Boss Arena'!$C$10)*'Boss Arena'!$E$10</f>
        <v>120.00000000000001</v>
      </c>
      <c r="J114" cm="1">
        <f t="array" ref="J114">('Boss Arena'!$D$11-'Boss Arena'!$C$11)*'Boss Arena'!$E$11</f>
        <v>144</v>
      </c>
      <c r="K114" cm="1">
        <f t="array" ref="K114">('Boss Arena'!$D$12-'Boss Arena'!$C$12)*'Boss Arena'!$E$12</f>
        <v>90</v>
      </c>
      <c r="L114" cm="1">
        <f t="array" ref="L114">('Boss Arena'!$D$13-'Boss Arena'!$C$13)*'Boss Arena'!$E$13</f>
        <v>63</v>
      </c>
      <c r="M114" cm="1">
        <f t="array" ref="M114">('Boss Arena'!$D$14-'Boss Arena'!$C$14)*'Boss Arena'!$E$14</f>
        <v>120</v>
      </c>
      <c r="N114" cm="1">
        <f t="array" ref="N114">('Boss Arena'!$D$15-'Boss Arena'!$C$15)*'Boss Arena'!$E$15</f>
        <v>161</v>
      </c>
    </row>
    <row r="115" spans="1:14">
      <c r="A115" t="s">
        <v>592</v>
      </c>
      <c r="B115" t="s">
        <v>593</v>
      </c>
      <c r="E115" cm="1">
        <f t="array" ref="E115">'Boss Arena'!$D$6*'Boss Arena'!$K$6</f>
        <v>2.1</v>
      </c>
      <c r="F115" cm="1">
        <f t="array" ref="F115">'Boss Arena'!$D$7*'Boss Arena'!$K$6</f>
        <v>0.6300000000000001</v>
      </c>
      <c r="G115" cm="1">
        <f t="array" ref="G115">'Boss Arena'!$D$8*'Boss Arena'!$K$6</f>
        <v>11.200000000000001</v>
      </c>
      <c r="H115" cm="1">
        <f t="array" ref="H115">'Boss Arena'!$D$9*'Boss Arena'!$K$6</f>
        <v>6.65</v>
      </c>
      <c r="I115" cm="1">
        <f t="array" ref="I115">'Boss Arena'!$D$10*'Boss Arena'!$K$6</f>
        <v>0.11200000000000002</v>
      </c>
      <c r="J115" cm="1">
        <f t="array" ref="J115">'Boss Arena'!$D$11*'Boss Arena'!$K$6</f>
        <v>1.2600000000000002</v>
      </c>
      <c r="K115" cm="1">
        <f t="array" ref="K115">'Boss Arena'!$D$12*'Boss Arena'!$K$6</f>
        <v>1.7500000000000002</v>
      </c>
      <c r="L115" cm="1">
        <f t="array" ref="L115">'Boss Arena'!$D$13*'Boss Arena'!$K$6</f>
        <v>0.77</v>
      </c>
      <c r="M115" cm="1">
        <f t="array" ref="M115">'Boss Arena'!$D$14*'Boss Arena'!$K$6</f>
        <v>4.9</v>
      </c>
      <c r="N115" cm="1">
        <f t="array" ref="N115">'Boss Arena'!$D$15*'Boss Arena'!$K$6</f>
        <v>3.1500000000000004</v>
      </c>
    </row>
    <row r="116" spans="1:14">
      <c r="A116" t="s">
        <v>596</v>
      </c>
      <c r="B116" t="s">
        <v>597</v>
      </c>
      <c r="C116" cm="1">
        <f t="array" ref="C116">ROUND(AVERAGE('Boss Arena'!$D$6:$D$15),1)</f>
        <v>46.5</v>
      </c>
    </row>
    <row r="117" spans="1:14">
      <c r="A117" t="s">
        <v>600</v>
      </c>
      <c r="B117" t="s">
        <v>601</v>
      </c>
      <c r="C117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Start</vt:lpstr>
      <vt:lpstr>F1-1 Power Up</vt:lpstr>
      <vt:lpstr>F1-1 Arena</vt:lpstr>
      <vt:lpstr>F1-2 Big Six</vt:lpstr>
      <vt:lpstr>F1-2 Arena</vt:lpstr>
      <vt:lpstr>F1-3 Anchors</vt:lpstr>
      <vt:lpstr>F1-3 Arena</vt:lpstr>
      <vt:lpstr>F1-4 Precision</vt:lpstr>
      <vt:lpstr>F1-4 Arena</vt:lpstr>
      <vt:lpstr>F1-5 X-Ray</vt:lpstr>
      <vt:lpstr>F1-5 Arena</vt:lpstr>
      <vt:lpstr>Boss</vt:lpstr>
      <vt:lpstr>Boss Arena</vt:lpstr>
      <vt:lpstr>Cheat Codes</vt:lpstr>
      <vt:lpstr>Boss!Print_Titles</vt:lpstr>
      <vt:lpstr>'Cheat Codes'!Print_Titles</vt:lpstr>
      <vt:lpstr>'F1-1 Power Up'!Print_Titles</vt:lpstr>
      <vt:lpstr>'F1-2 Big Six'!Print_Titles</vt:lpstr>
      <vt:lpstr>'F1-3 Anchors'!Print_Titles</vt:lpstr>
      <vt:lpstr>'F1-4 Precision'!Print_Titles</vt:lpstr>
      <vt:lpstr>'F1-5 X-Ray'!Print_Titles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1 · Formula Basics</dc:title>
  <dc:subject>Excel practice: Write your first formulas and make them fill down correctly.</dc:subject>
  <dc:creator>excel-drills</dc:creator>
  <cp:keywords>Excel, practice, formulas, Formula Basics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