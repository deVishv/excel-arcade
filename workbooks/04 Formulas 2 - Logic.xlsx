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F2-1 True or False" sheetId="2" r:id="rId2"/>
    <sheet name="F2-1 Arena" sheetId="3" r:id="rId3"/>
    <sheet name="F2-2 Fork in the Road" sheetId="4" r:id="rId4"/>
    <sheet name="F2-2 Arena" sheetId="5" r:id="rId5"/>
    <sheet name="F2-3 Combo Moves" sheetId="6" r:id="rId6"/>
    <sheet name="F2-3 Arena" sheetId="7" r:id="rId7"/>
    <sheet name="F2-4 Multi-Level" sheetId="8" r:id="rId8"/>
    <sheet name="F2-4 Arena" sheetId="9" r:id="rId9"/>
    <sheet name="F2-5 Error Shield" sheetId="10" r:id="rId10"/>
    <sheet name="F2-5 Arena" sheetId="11" r:id="rId11"/>
    <sheet name="Boss" sheetId="12" r:id="rId12"/>
    <sheet name="Boss Arena" sheetId="13" r:id="rId13"/>
    <sheet name="Cheat Codes" sheetId="14" r:id="rId14"/>
    <sheet name="Key" sheetId="15" state="veryHidden" r:id="rId15"/>
  </sheets>
  <definedNames>
    <definedName name="_xlnm.Print_Titles" localSheetId="11">Boss!$1:$4</definedName>
    <definedName name="_xlnm.Print_Titles" localSheetId="13">'Cheat Codes'!$4:$4</definedName>
    <definedName name="_xlnm.Print_Titles" localSheetId="1">'F2-1 True or False'!$1:$4</definedName>
    <definedName name="_xlnm.Print_Titles" localSheetId="3">'F2-2 Fork in the Road'!$1:$4</definedName>
    <definedName name="_xlnm.Print_Titles" localSheetId="5">'F2-3 Combo Moves'!$1:$4</definedName>
    <definedName name="_xlnm.Print_Titles" localSheetId="7">'F2-4 Multi-Level'!$1:$4</definedName>
    <definedName name="_xlnm.Print_Titles" localSheetId="9">'F2-5 Error Shield'!$1:$4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<sst xmlns="http://schemas.openxmlformats.org/spreadsheetml/2006/main" count="1333" uniqueCount="698">
  <si>
    <t>Challenge</t>
  </si>
  <si>
    <t>Hint</t>
  </si>
  <si>
    <t>Expected</t>
  </si>
  <si>
    <t>Lists / per-cell expectations →</t>
  </si>
  <si>
    <t>ARENA ▸ F2-1 TRUE OR FALSE</t>
  </si>
  <si>
    <t>Practice area · everything here is editable. Missions and their checks are on the stage sheet.</t>
  </si>
  <si>
    <t>PASS CODE</t>
  </si>
  <si>
    <t>VERDICT</t>
  </si>
  <si>
    <t>◀ Back to F2-1 True or False</t>
  </si>
  <si>
    <t>Name</t>
  </si>
  <si>
    <t>Score</t>
  </si>
  <si>
    <t>Age</t>
  </si>
  <si>
    <t>License</t>
  </si>
  <si>
    <t>Ava</t>
  </si>
  <si>
    <t>No</t>
  </si>
  <si>
    <t>Ben</t>
  </si>
  <si>
    <t>Yes</t>
  </si>
  <si>
    <t>Cy</t>
  </si>
  <si>
    <t>Dee</t>
  </si>
  <si>
    <t>Eli</t>
  </si>
  <si>
    <t>Fay</t>
  </si>
  <si>
    <t>Gus</t>
  </si>
  <si>
    <t>Hal</t>
  </si>
  <si>
    <t>Ivy</t>
  </si>
  <si>
    <t>Jo</t>
  </si>
  <si>
    <t>Ava ≥ 50?</t>
  </si>
  <si>
    <t>Ben not No?</t>
  </si>
  <si>
    <t>Cy = yes?</t>
  </si>
  <si>
    <t>BRIEFING · new moves in this stage</t>
  </si>
  <si>
    <t>#</t>
  </si>
  <si>
    <t>What it does · Pro tip</t>
  </si>
  <si>
    <t>Keys / Syntax</t>
  </si>
  <si>
    <t>1</t>
  </si>
  <si>
    <r>
      <rPr>
        <b/>
        <sz val="12"/>
        <color rgb="FF1F2328"/>
        <rFont val="Calibri"/>
        <family val="2"/>
        <scheme val="minor"/>
      </rPr>
      <t>Compare two values: = &lt; &gt; &lt;= &gt;= give TRUE or FALSE.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=B2&gt;=50 is TRUE when B2 is 50 or more.</t>
    </r>
  </si>
  <si>
    <t>&gt;=</t>
  </si>
  <si>
    <t>2</t>
  </si>
  <si>
    <r>
      <rPr>
        <b/>
        <sz val="12"/>
        <color rgb="FF1F2328"/>
        <rFont val="Calibri"/>
        <family val="2"/>
        <scheme val="minor"/>
      </rPr>
      <t>Not equal to.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=A2&lt;&gt;"Closed" is TRUE for anything except Closed.</t>
    </r>
  </si>
  <si>
    <t>&lt;&gt;</t>
  </si>
  <si>
    <t>3</t>
  </si>
  <si>
    <r>
      <rPr>
        <b/>
        <sz val="12"/>
        <color rgb="FF1F2328"/>
        <rFont val="Calibri"/>
        <family val="2"/>
        <scheme val="minor"/>
      </rPr>
      <t>Text inside a formula goes in double quotes.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Comparisons ignore case: ="YES"="yes" is TRUE.</t>
    </r>
  </si>
  <si>
    <t>"text"</t>
  </si>
  <si>
    <t>WARM-UP · flashback to earlier stages</t>
  </si>
  <si>
    <t>Mission</t>
  </si>
  <si>
    <t>Your answer</t>
  </si>
  <si>
    <t>Result</t>
  </si>
  <si>
    <t>Hint?</t>
  </si>
  <si>
    <t>XP</t>
  </si>
  <si>
    <t>F2-1 True or False W1</t>
  </si>
  <si>
    <t>Enter plus Shift.</t>
  </si>
  <si>
    <t>SHIFT+ENTER</t>
  </si>
  <si>
    <t>W1</t>
  </si>
  <si>
    <t>Which keys confirm an entry and move up one cell?  (from S2-1 Quick Entry)</t>
  </si>
  <si>
    <t>F2-1 True or False W2</t>
  </si>
  <si>
    <t>The key above Caps Lock.</t>
  </si>
  <si>
    <t>TAB</t>
  </si>
  <si>
    <t>W2</t>
  </si>
  <si>
    <t>Which key confirms an entry and moves one cell to the right?  (from S2-1 Quick Entry)</t>
  </si>
  <si>
    <t>F2-1 True or False W3</t>
  </si>
  <si>
    <t>Enter plus Ctrl.</t>
  </si>
  <si>
    <t>CTRL+ENTER</t>
  </si>
  <si>
    <t>W3</t>
  </si>
  <si>
    <t>Which keys fill every selected cell with what you typed?  (from S2-1 Quick Entry)</t>
  </si>
  <si>
    <t>F2-1 True or False W4</t>
  </si>
  <si>
    <t>Enter plus Alt.</t>
  </si>
  <si>
    <t>ALT+ENTER</t>
  </si>
  <si>
    <t>W4</t>
  </si>
  <si>
    <t>Which keys start a new line inside the same cell?  (from S2-1 Quick Entry)</t>
  </si>
  <si>
    <t>F2-1 True or False W5</t>
  </si>
  <si>
    <t>The top-left key.</t>
  </si>
  <si>
    <t>ESC</t>
  </si>
  <si>
    <t>W5</t>
  </si>
  <si>
    <t>Which key cancels an entry and leaves the cell unchanged?  (from S2-1 Quick Entry)</t>
  </si>
  <si>
    <t>F2-1 True or False W6</t>
  </si>
  <si>
    <t>Ctrl plus Page Up.</t>
  </si>
  <si>
    <t>CTRL+PGUP</t>
  </si>
  <si>
    <t>W6</t>
  </si>
  <si>
    <t>Which keys move to the previous sheet?  (from S1-2 Teleport)</t>
  </si>
  <si>
    <t>F2-1 True or False W7</t>
  </si>
  <si>
    <t>Page Down.</t>
  </si>
  <si>
    <t>PGDN</t>
  </si>
  <si>
    <t>W7</t>
  </si>
  <si>
    <t>Which key scrolls one screen down?  (from S1-2 Teleport)</t>
  </si>
  <si>
    <t>F2-1 True or False W8</t>
  </si>
  <si>
    <t>Alt plus Page Down.</t>
  </si>
  <si>
    <t>ALT+PGDN</t>
  </si>
  <si>
    <t>W8</t>
  </si>
  <si>
    <t>Which keys scroll one screen to the right?  (from S1-2 Teleport)</t>
  </si>
  <si>
    <t>F2-1 True or False W9</t>
  </si>
  <si>
    <t>Hold Shift and tap an arrow.</t>
  </si>
  <si>
    <t>SHIFT+ARROW</t>
  </si>
  <si>
    <t>SHIFT+DOWN</t>
  </si>
  <si>
    <t>SHIFT+LEFT</t>
  </si>
  <si>
    <t>SHIFT+RIGHT</t>
  </si>
  <si>
    <t>SHIFT+UP</t>
  </si>
  <si>
    <t>W9</t>
  </si>
  <si>
    <t>Which keys grow the selection by one cell?  (from S1-3 Lasso)</t>
  </si>
  <si>
    <t>F2-1 True or False W10</t>
  </si>
  <si>
    <t>The warp-zone keys plus Shift.</t>
  </si>
  <si>
    <t>CTRL+SHIFT+ARROW</t>
  </si>
  <si>
    <t>CTRL+SHIFT+DOWN</t>
  </si>
  <si>
    <t>CTRL+SHIFT+LEFT</t>
  </si>
  <si>
    <t>CTRL+SHIFT+RIGHT</t>
  </si>
  <si>
    <t>CTRL+SHIFT+UP</t>
  </si>
  <si>
    <t>SHIFT+CTRL+ARROW</t>
  </si>
  <si>
    <t>SHIFT+CTRL+DOWN</t>
  </si>
  <si>
    <t>SHIFT+CTRL+LEFT</t>
  </si>
  <si>
    <t>SHIFT+CTRL+RIGHT</t>
  </si>
  <si>
    <t>SHIFT+CTRL+UP</t>
  </si>
  <si>
    <t>W10</t>
  </si>
  <si>
    <t>Which keys extend the selection all the way to the edge of the data?  (from S1-3 Lasso)</t>
  </si>
  <si>
    <t>TRAINING · recognize the move (pick from the list)</t>
  </si>
  <si>
    <t>F2-1 True or False T1</t>
  </si>
  <si>
    <t>Two characters: &gt; then =.</t>
  </si>
  <si>
    <t>TRUE, …</t>
  </si>
  <si>
    <t>T1</t>
  </si>
  <si>
    <t>Which operator means 'greater than or equal to'?</t>
  </si>
  <si>
    <t>F2-1 True or False T2</t>
  </si>
  <si>
    <t>Less-than then greater-than.</t>
  </si>
  <si>
    <t>IF + math</t>
  </si>
  <si>
    <t>IF inside IF</t>
  </si>
  <si>
    <t>T2</t>
  </si>
  <si>
    <t>Which operator means 'not equal to'?</t>
  </si>
  <si>
    <t>F2-1 True or False T3</t>
  </si>
  <si>
    <t>Shift plus the apostrophe key.</t>
  </si>
  <si>
    <t>""</t>
  </si>
  <si>
    <t>T3</t>
  </si>
  <si>
    <t>What must surround text inside a formula?</t>
  </si>
  <si>
    <t>CHALLENGES · recall it, then do it</t>
  </si>
  <si>
    <t>▶ Open F2-1 Arena (or press Ctrl+PgDn)</t>
  </si>
  <si>
    <t>F2-1 True or False C1</t>
  </si>
  <si>
    <t>C1</t>
  </si>
  <si>
    <t>F2-1 True or False C2</t>
  </si>
  <si>
    <t>C2</t>
  </si>
  <si>
    <t>F2-1 True or False C3</t>
  </si>
  <si>
    <t>"</t>
  </si>
  <si>
    <t>DOUBLEQUOTES</t>
  </si>
  <si>
    <t>QUOTATIONMARKS</t>
  </si>
  <si>
    <t>QUOTES</t>
  </si>
  <si>
    <t>C3</t>
  </si>
  <si>
    <t>F2-1 True or False C4</t>
  </si>
  <si>
    <t>Use &gt;=.</t>
  </si>
  <si>
    <t>C4</t>
  </si>
  <si>
    <t>In G6 write a formula that tests whether Ava's Score (C6) is at least 50. The answer is TRUE or FALSE.</t>
  </si>
  <si>
    <t>▶ ARENA C4 (cell G6)</t>
  </si>
  <si>
    <t>F2-1 True or False C5</t>
  </si>
  <si>
    <t>Type =E7&lt;&gt;"No".</t>
  </si>
  <si>
    <t>C5</t>
  </si>
  <si>
    <t>In G7 test whether Ben's License (E7) is NOT equal to "No". Use &lt;&gt;.</t>
  </si>
  <si>
    <t>▶ ARENA C5 (cell G7)</t>
  </si>
  <si>
    <t>F2-1 True or False C6</t>
  </si>
  <si>
    <t>Text needs quotes.</t>
  </si>
  <si>
    <t>C6</t>
  </si>
  <si>
    <t>In G8 test whether Cy's License (E8) equals "yes" (type yes in lowercase, inside quotes). Excel ignores case when it compares text.</t>
  </si>
  <si>
    <t>▶ ARENA C6 (cell G8)</t>
  </si>
  <si>
    <t>STAGE F2-1 ▸ TRUE OR FALSE</t>
  </si>
  <si>
    <t>Goal: ask Excel yes-or-no questions</t>
  </si>
  <si>
    <t>ARENA ▸ F2-2 FORK IN THE ROAD</t>
  </si>
  <si>
    <t>CROSSROADS</t>
  </si>
  <si>
    <t>◀ Back to F2-2 Fork in the Road</t>
  </si>
  <si>
    <t>Bonus</t>
  </si>
  <si>
    <t>Blank-safe ×2</t>
  </si>
  <si>
    <t>Empty cell ↓</t>
  </si>
  <si>
    <r>
      <rPr>
        <b/>
        <sz val="12"/>
        <color rgb="FF1F2328"/>
        <rFont val="Calibri"/>
        <family val="2"/>
        <scheme val="minor"/>
      </rPr>
      <t>IF(test, value_if_true, value_if_false) picks one of two results.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=IF(B2&gt;=50,"Pass","Fail")</t>
    </r>
  </si>
  <si>
    <t>IF</t>
  </si>
  <si>
    <r>
      <rPr>
        <b/>
        <sz val="12"/>
        <color rgb="FF1F2328"/>
        <rFont val="Calibri"/>
        <family val="2"/>
        <scheme val="minor"/>
      </rPr>
      <t>Each branch can be a calculation, not just text.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=IF(B2&gt;100,B2*0.9,B2) discounts only big orders.</t>
    </r>
  </si>
  <si>
    <r>
      <rPr>
        <b/>
        <sz val="12"/>
        <color rgb="FF1F2328"/>
        <rFont val="Calibri"/>
        <family val="2"/>
        <scheme val="minor"/>
      </rPr>
      <t>Two quotes with nothing between = empty text, a blank-looking result.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=IF(A2="","",A2*2) stays blank until A2 has a value.</t>
    </r>
  </si>
  <si>
    <t>F2-2 Fork in the Road W1</t>
  </si>
  <si>
    <t>Which operator means 'greater than or equal to'?  (from F2-1 True or False)</t>
  </si>
  <si>
    <t>F2-2 Fork in the Road W2</t>
  </si>
  <si>
    <t>Which operator means 'not equal to'?  (from F2-1 True or False)</t>
  </si>
  <si>
    <t>F2-2 Fork in the Road W3</t>
  </si>
  <si>
    <t>What must surround text inside a formula?  (from F2-1 True or False)</t>
  </si>
  <si>
    <t>F2-2 Fork in the Road W4</t>
  </si>
  <si>
    <t>C for Copy.</t>
  </si>
  <si>
    <t>CTRL+C</t>
  </si>
  <si>
    <t>Which keys copy the selection?  (from S2-2 Clone Machine)</t>
  </si>
  <si>
    <t>F2-2 Fork in the Road W5</t>
  </si>
  <si>
    <t>X looks like scissors.</t>
  </si>
  <si>
    <t>CTRL+X</t>
  </si>
  <si>
    <t>Which keys cut the selection?  (from S2-2 Clone Machine)</t>
  </si>
  <si>
    <t>F2-2 Fork in the Road W6</t>
  </si>
  <si>
    <t>Next to C on the keyboard.</t>
  </si>
  <si>
    <t>CTRL+V</t>
  </si>
  <si>
    <t>Which keys paste?  (from S2-2 Clone Machine)</t>
  </si>
  <si>
    <t>F2-2 Fork in the Road W7</t>
  </si>
  <si>
    <t>Paste plus Alt.</t>
  </si>
  <si>
    <t>ALT+CTRL+V</t>
  </si>
  <si>
    <t>CTRL+ALT+V</t>
  </si>
  <si>
    <t>Which keys open Paste Special?  (from S2-2 Clone Machine)</t>
  </si>
  <si>
    <t>F2-2 Fork in the Road W8</t>
  </si>
  <si>
    <t>R for Right.</t>
  </si>
  <si>
    <t>CTRL+R</t>
  </si>
  <si>
    <t>Which keys copy the left cell into the selected cells to its right?  (from S2-2 Clone Machine)</t>
  </si>
  <si>
    <t>F2-2 Fork in the Road W9</t>
  </si>
  <si>
    <t>The bottom-left letter.</t>
  </si>
  <si>
    <t>CTRL+Z</t>
  </si>
  <si>
    <t>Which keys undo the last action?  (from S2-2 Clone Machine)</t>
  </si>
  <si>
    <t>F2-2 Fork in the Road W10</t>
  </si>
  <si>
    <t>The letter after X.</t>
  </si>
  <si>
    <t>CTRL+Y</t>
  </si>
  <si>
    <t>Which keys redo or repeat the last action?  (from S2-2 Clone Machine)</t>
  </si>
  <si>
    <t>F2-2 Fork in the Road T1</t>
  </si>
  <si>
    <t>Two letters.</t>
  </si>
  <si>
    <t>NOT</t>
  </si>
  <si>
    <t>ISBLANK</t>
  </si>
  <si>
    <t>AND</t>
  </si>
  <si>
    <t>Which function returns one value when a test is TRUE and another when FALSE?</t>
  </si>
  <si>
    <t>F2-2 Fork in the Road T2</t>
  </si>
  <si>
    <t>50 is not more than 100.</t>
  </si>
  <si>
    <t>In =IF(B2&gt;100,B2*0.9,B2), what is returned when B2 is 50?</t>
  </si>
  <si>
    <t>F2-2 Fork in the Road T3</t>
  </si>
  <si>
    <t>Two double quotes, nothing inside.</t>
  </si>
  <si>
    <t>What do you type in a formula for an empty, blank-looking result?</t>
  </si>
  <si>
    <t>▶ Open F2-2 Arena (or press Ctrl+PgDn)</t>
  </si>
  <si>
    <t>F2-2 Fork in the Road C1</t>
  </si>
  <si>
    <t>=IF</t>
  </si>
  <si>
    <t>=IF(</t>
  </si>
  <si>
    <t>=IF()</t>
  </si>
  <si>
    <t>IF(</t>
  </si>
  <si>
    <t>IF()</t>
  </si>
  <si>
    <t>F2-2 Fork in the Road C2</t>
  </si>
  <si>
    <t>50</t>
  </si>
  <si>
    <t>F2-2 Fork in the Road C3</t>
  </si>
  <si>
    <t>F2-2 Fork in the Road C4</t>
  </si>
  <si>
    <t>Text results need quotes.</t>
  </si>
  <si>
    <t>In F6 write =IF(C6&gt;=50,"Pass","Fail"), then select F6:F15 and press Ctrl+D.</t>
  </si>
  <si>
    <t>▶ ARENA C4 (cell F6)</t>
  </si>
  <si>
    <t>F2-2 Fork in the Road C5</t>
  </si>
  <si>
    <t>=IF(C6&gt;=80,C6*10,0)</t>
  </si>
  <si>
    <t>In G6: if the Score is 80 or more, the bonus is Score × 10, otherwise 0. Fill down to G15.</t>
  </si>
  <si>
    <t>▶ ARENA C5 (cell G6)</t>
  </si>
  <si>
    <t>F2-2 Fork in the Road C6</t>
  </si>
  <si>
    <t>=IF(J6="","",J6*2)</t>
  </si>
  <si>
    <t>J6 is empty. In I6 write a formula that shows empty text ("") when J6 is empty, otherwise J6*2.</t>
  </si>
  <si>
    <t>▶ ARENA C6 (cell I6)</t>
  </si>
  <si>
    <t>STAGE F2-2 ▸ FORK IN THE ROAD</t>
  </si>
  <si>
    <t>Goal: return different results with IF</t>
  </si>
  <si>
    <t>ARENA ▸ F2-3 COMBO MOVES</t>
  </si>
  <si>
    <t>COMBO</t>
  </si>
  <si>
    <t>◀ Back to F2-3 Combo Moves</t>
  </si>
  <si>
    <t>Can drive</t>
  </si>
  <si>
    <t>Prize</t>
  </si>
  <si>
    <t>Ava unlicensed?</t>
  </si>
  <si>
    <r>
      <rPr>
        <b/>
        <sz val="12"/>
        <color rgb="FF1F2328"/>
        <rFont val="Calibri"/>
        <family val="2"/>
        <scheme val="minor"/>
      </rPr>
      <t>TRUE only when every condition is TRUE.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=AND(B2&gt;=18,C2="Yes")</t>
    </r>
  </si>
  <si>
    <r>
      <rPr>
        <b/>
        <sz val="12"/>
        <color rgb="FF1F2328"/>
        <rFont val="Calibri"/>
        <family val="2"/>
        <scheme val="minor"/>
      </rPr>
      <t>TRUE when at least one condition is TRUE.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=OR(B2&gt;=90,C2&lt;16)</t>
    </r>
  </si>
  <si>
    <t>OR</t>
  </si>
  <si>
    <r>
      <rPr>
        <b/>
        <sz val="12"/>
        <color rgb="FF1F2328"/>
        <rFont val="Calibri"/>
        <family val="2"/>
        <scheme val="minor"/>
      </rPr>
      <t>Flip TRUE to FALSE and FALSE to TRUE.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=NOT(B2="Yes") is TRUE for No.</t>
    </r>
  </si>
  <si>
    <t>F2-3 Combo Moves W1</t>
  </si>
  <si>
    <t>Which function returns one value when a test is TRUE and another when FALSE?  (from F2-2 Fork in the Road)</t>
  </si>
  <si>
    <t>F2-3 Combo Moves W2</t>
  </si>
  <si>
    <t>In =IF(B2&gt;100,B2*0.9,B2), what is returned when B2 is 50?  (from F2-2 Fork in the Road)</t>
  </si>
  <si>
    <t>F2-3 Combo Moves W3</t>
  </si>
  <si>
    <t>What do you type in a formula for an empty, blank-looking result?  (from F2-2 Fork in the Road)</t>
  </si>
  <si>
    <t>F2-3 Combo Moves W4</t>
  </si>
  <si>
    <t>Ctrl plus the semicolon key.</t>
  </si>
  <si>
    <t>CTRL+;</t>
  </si>
  <si>
    <t>CTRL+SEMICOLON</t>
  </si>
  <si>
    <t>Which keys type today's date as a fixed value?  (from S2-3 Stamps &amp; Smart Fill)</t>
  </si>
  <si>
    <t>F2-3 Combo Moves W5</t>
  </si>
  <si>
    <t>The date keys plus Shift.</t>
  </si>
  <si>
    <t>CTRL+:</t>
  </si>
  <si>
    <t>CTRL+SHIFT+:</t>
  </si>
  <si>
    <t>CTRL+SHIFT+;</t>
  </si>
  <si>
    <t>CTRL+SHIFT+COLON</t>
  </si>
  <si>
    <t>SHIFT+CTRL+:</t>
  </si>
  <si>
    <t>SHIFT+CTRL+;</t>
  </si>
  <si>
    <t>SHIFT+CTRL+COLON</t>
  </si>
  <si>
    <t>Which keys type the current time as a fixed value?  (from S2-3 Stamps &amp; Smart Fill)</t>
  </si>
  <si>
    <t>F2-3 Combo Moves W6</t>
  </si>
  <si>
    <t>E for Example.</t>
  </si>
  <si>
    <t>CTRL+E</t>
  </si>
  <si>
    <t>Which keys run Flash Fill?  (from S2-3 Stamps &amp; Smart Fill)</t>
  </si>
  <si>
    <t>F2-3 Combo Moves W7</t>
  </si>
  <si>
    <t>Alt plus an arrow.</t>
  </si>
  <si>
    <t>ALT+DOWN</t>
  </si>
  <si>
    <t>Which keys open the dropdown list of a cell?  (from S2-3 Stamps &amp; Smart Fill)</t>
  </si>
  <si>
    <t>F2-3 Combo Moves W8</t>
  </si>
  <si>
    <t>Ctrl+End plus Shift.</t>
  </si>
  <si>
    <t>CTRL+SHIFT+END</t>
  </si>
  <si>
    <t>SHIFT+CTRL+END</t>
  </si>
  <si>
    <t>Which keys extend the selection to the last used cell?  (from S1-3 Lasso)</t>
  </si>
  <si>
    <t>F2-3 Combo Moves W9</t>
  </si>
  <si>
    <t>Ctrl+Home plus Shift.</t>
  </si>
  <si>
    <t>CTRL+SHIFT+HOME</t>
  </si>
  <si>
    <t>SHIFT+CTRL+HOME</t>
  </si>
  <si>
    <t>Which keys extend the selection back to cell A1?  (from S1-3 Lasso)</t>
  </si>
  <si>
    <t>F2-3 Combo Moves W10</t>
  </si>
  <si>
    <t>The long key plus Shift.</t>
  </si>
  <si>
    <t>SHIFT+SPACE</t>
  </si>
  <si>
    <t>Which keys select the entire row?  (from S1-4 Grab)</t>
  </si>
  <si>
    <t>F2-3 Combo Moves T1</t>
  </si>
  <si>
    <t>Three letters: all must pass.</t>
  </si>
  <si>
    <t>IFNA</t>
  </si>
  <si>
    <t>IFS</t>
  </si>
  <si>
    <t>Which function is TRUE only when all its conditions are TRUE?</t>
  </si>
  <si>
    <t>F2-3 Combo Moves T2</t>
  </si>
  <si>
    <t>Two letters: any can pass.</t>
  </si>
  <si>
    <t>Which function is TRUE when at least one condition is TRUE?</t>
  </si>
  <si>
    <t>F2-3 Combo Moves T3</t>
  </si>
  <si>
    <t>Three letters: the opposite.</t>
  </si>
  <si>
    <t>Which function flips TRUE and FALSE?</t>
  </si>
  <si>
    <t>▶ Open F2-3 Arena (or press Ctrl+PgDn)</t>
  </si>
  <si>
    <t>F2-3 Combo Moves C1</t>
  </si>
  <si>
    <t>=AND</t>
  </si>
  <si>
    <t>=AND(</t>
  </si>
  <si>
    <t>=AND()</t>
  </si>
  <si>
    <t>AND(</t>
  </si>
  <si>
    <t>AND()</t>
  </si>
  <si>
    <t>F2-3 Combo Moves C2</t>
  </si>
  <si>
    <t>=OR</t>
  </si>
  <si>
    <t>=OR(</t>
  </si>
  <si>
    <t>=OR()</t>
  </si>
  <si>
    <t>OR(</t>
  </si>
  <si>
    <t>OR()</t>
  </si>
  <si>
    <t>F2-3 Combo Moves C3</t>
  </si>
  <si>
    <t>=NOT</t>
  </si>
  <si>
    <t>=NOT(</t>
  </si>
  <si>
    <t>=NOT()</t>
  </si>
  <si>
    <t>NOT(</t>
  </si>
  <si>
    <t>NOT()</t>
  </si>
  <si>
    <t>F2-3 Combo Moves C4</t>
  </si>
  <si>
    <t>IF(AND(D6&gt;=18,E6="Yes"),"Yes","No")</t>
  </si>
  <si>
    <t>Can they drive? In F6: "Yes" if Age (D6) is at least 18 AND License (E6) is "Yes", otherwise "No". Fill down to F15.</t>
  </si>
  <si>
    <t>F2-3 Combo Moves C5</t>
  </si>
  <si>
    <t>OR inside IF.</t>
  </si>
  <si>
    <t>Prize if Score is at least 90 OR Age is under 16. In G6 return "Prize" or "No prize"; fill down to G15.</t>
  </si>
  <si>
    <t>F2-3 Combo Moves C6</t>
  </si>
  <si>
    <t>NOT(E6="Yes")</t>
  </si>
  <si>
    <t>In I6 return TRUE when Ava (row 6) does NOT have a License of "Yes". Use NOT.</t>
  </si>
  <si>
    <t>STAGE F2-3 ▸ COMBO MOVES</t>
  </si>
  <si>
    <t>Goal: combine conditions with AND, OR and NOT</t>
  </si>
  <si>
    <t>ARENA ▸ F2-4 MULTI-LEVEL</t>
  </si>
  <si>
    <t>LADDER</t>
  </si>
  <si>
    <t>◀ Back to F2-4 Multi-Level</t>
  </si>
  <si>
    <t>Grade</t>
  </si>
  <si>
    <t>Medal</t>
  </si>
  <si>
    <t>Try this</t>
  </si>
  <si>
    <t>=IFS(5&gt;9,"A",5&gt;3,"B",TRUE,"C")</t>
  </si>
  <si>
    <r>
      <rPr>
        <b/>
        <sz val="12"/>
        <color rgb="FF1F2328"/>
        <rFont val="Calibri"/>
        <family val="2"/>
        <scheme val="minor"/>
      </rPr>
      <t>Put an IF in the 'false' slot to handle three or more outcomes.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=IF(B2&gt;=90,"A",IF(B2&gt;=75,"B","C"))</t>
    </r>
  </si>
  <si>
    <r>
      <rPr>
        <b/>
        <sz val="12"/>
        <color rgb="FF1F2328"/>
        <rFont val="Calibri"/>
        <family val="2"/>
        <scheme val="minor"/>
      </rPr>
      <t>Check conditions in order and return the first match.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=IFS(B2&gt;=90,"Gold",B2&gt;=75,"Silver",TRUE,"Other")</t>
    </r>
  </si>
  <si>
    <r>
      <rPr>
        <b/>
        <sz val="12"/>
        <color rgb="FF1F2328"/>
        <rFont val="Calibri"/>
        <family val="2"/>
        <scheme val="minor"/>
      </rPr>
      <t>End IFS with TRUE and a fallback to catch everything else.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Without it, unmatched values show #N/A.</t>
    </r>
  </si>
  <si>
    <t>F2-4 Multi-Level W1</t>
  </si>
  <si>
    <t>Which function is TRUE only when all its conditions are TRUE?  (from F2-3 Combo Moves)</t>
  </si>
  <si>
    <t>F2-4 Multi-Level W2</t>
  </si>
  <si>
    <t>Which function is TRUE when at least one condition is TRUE?  (from F2-3 Combo Moves)</t>
  </si>
  <si>
    <t>F2-4 Multi-Level W3</t>
  </si>
  <si>
    <t>Which function flips TRUE and FALSE?  (from F2-3 Combo Moves)</t>
  </si>
  <si>
    <t>F2-4 Multi-Level W4</t>
  </si>
  <si>
    <t>The long key plus Ctrl.</t>
  </si>
  <si>
    <t>CTRL+SPACE</t>
  </si>
  <si>
    <t>Which keys select the entire column?  (from S1-4 Grab)</t>
  </si>
  <si>
    <t>F2-4 Multi-Level W5</t>
  </si>
  <si>
    <t>Think 'A' for All.</t>
  </si>
  <si>
    <t>CTRL+A</t>
  </si>
  <si>
    <t>CTRL+SHIFT+SPACE</t>
  </si>
  <si>
    <t>SHIFT+CTRL+SPACE</t>
  </si>
  <si>
    <t>Which keys select the current data block (and the whole sheet if you keep pressing)?  (from S1-4 Grab)</t>
  </si>
  <si>
    <t>F2-4 Multi-Level W6</t>
  </si>
  <si>
    <t>The key left of Backspace.</t>
  </si>
  <si>
    <t>=</t>
  </si>
  <si>
    <t>EQUALS</t>
  </si>
  <si>
    <t>EQUALSIGN</t>
  </si>
  <si>
    <t>EQUALSSIGN</t>
  </si>
  <si>
    <t>Which character must every formula start with?  (from F1-1 Power Up)</t>
  </si>
  <si>
    <t>F2-4 Multi-Level W7</t>
  </si>
  <si>
    <t>Shift+6 on a US keyboard.</t>
  </si>
  <si>
    <t>CARET</t>
  </si>
  <si>
    <t>^</t>
  </si>
  <si>
    <t>Which operator raises a number to a power?  (from F1-1 Power Up)</t>
  </si>
  <si>
    <t>F2-4 Multi-Level W8</t>
  </si>
  <si>
    <t>Multiply before you add.</t>
  </si>
  <si>
    <t>14</t>
  </si>
  <si>
    <t>What does =2+3*4 return?  (from F1-1 Power Up)</t>
  </si>
  <si>
    <t>F2-4 Multi-Level W9</t>
  </si>
  <si>
    <t>Start with = then the two cell addresses.</t>
  </si>
  <si>
    <t>=B2*C2</t>
  </si>
  <si>
    <t>=C2*B2</t>
  </si>
  <si>
    <t>B2*C2</t>
  </si>
  <si>
    <t>C2*B2</t>
  </si>
  <si>
    <t>Type the formula that multiplies cell B2 by cell C2.  (from F1-1 Power Up)</t>
  </si>
  <si>
    <t>F2-4 Multi-Level W10</t>
  </si>
  <si>
    <t>Three letters.</t>
  </si>
  <si>
    <t>=SUM</t>
  </si>
  <si>
    <t>=SUM(</t>
  </si>
  <si>
    <t>=SUM()</t>
  </si>
  <si>
    <t>SUM</t>
  </si>
  <si>
    <t>SUM(</t>
  </si>
  <si>
    <t>SUM()</t>
  </si>
  <si>
    <t>Which function adds up a range of numbers?  (from F1-2 Big Six)</t>
  </si>
  <si>
    <t>F2-4 Multi-Level T1</t>
  </si>
  <si>
    <t>One fewer than the outcomes.</t>
  </si>
  <si>
    <t>How many IF functions does a nested IF need for 3 outcomes?</t>
  </si>
  <si>
    <t>F2-4 Multi-Level T2</t>
  </si>
  <si>
    <t>IF plus one letter.</t>
  </si>
  <si>
    <t>Which function tests several conditions in order without nesting?</t>
  </si>
  <si>
    <t>F2-4 Multi-Level T3</t>
  </si>
  <si>
    <t>A test that is always true.</t>
  </si>
  <si>
    <t>In IFS, what do you put as the last test to catch all remaining cases?</t>
  </si>
  <si>
    <t>▶ Open F2-4 Arena (or press Ctrl+PgDn)</t>
  </si>
  <si>
    <t>F2-4 Multi-Level C1</t>
  </si>
  <si>
    <t>TWO</t>
  </si>
  <si>
    <t>F2-4 Multi-Level C2</t>
  </si>
  <si>
    <t>=IFS</t>
  </si>
  <si>
    <t>=IFS(</t>
  </si>
  <si>
    <t>=IFS()</t>
  </si>
  <si>
    <t>IFS(</t>
  </si>
  <si>
    <t>IFS()</t>
  </si>
  <si>
    <t>F2-4 Multi-Level C3</t>
  </si>
  <si>
    <t>TRUE</t>
  </si>
  <si>
    <t>F2-4 Multi-Level C4</t>
  </si>
  <si>
    <t>IF inside the second IF slot.</t>
  </si>
  <si>
    <t>Grades with nested IF: in F6 return "A" for a Score of 90+, "B" for 75+, otherwise "C". Fill down to F15.</t>
  </si>
  <si>
    <t>F2-4 Multi-Level C5</t>
  </si>
  <si>
    <t>TRUE catches the rest.</t>
  </si>
  <si>
    <t>Medals with IFS: in G6 return "Gold" for 90+, "Silver" for 75+, "Bronze" for 60+, and "None" otherwise (end with TRUE). Fill down to G15.</t>
  </si>
  <si>
    <t>F2-4 Multi-Level C6</t>
  </si>
  <si>
    <t>IFS stops at the first TRUE test.</t>
  </si>
  <si>
    <t>B</t>
  </si>
  <si>
    <t>What does =IFS(5&gt;9,"A",5&gt;3,"B",TRUE,"C") return? (It is written as text in the arena's I6 if you want to try it.) Type the result.</t>
  </si>
  <si>
    <t>STAGE F2-4 ▸ MULTI-LEVEL</t>
  </si>
  <si>
    <t>Goal: handle three or more outcomes</t>
  </si>
  <si>
    <t>ARENA ▸ F2-5 ERROR SHIELD</t>
  </si>
  <si>
    <t>SHIELD</t>
  </si>
  <si>
    <t>◀ Back to F2-5 Error Shield</t>
  </si>
  <si>
    <t>Product</t>
  </si>
  <si>
    <t>Total</t>
  </si>
  <si>
    <t>Units</t>
  </si>
  <si>
    <t>Pens</t>
  </si>
  <si>
    <t>Ink</t>
  </si>
  <si>
    <t>Pads</t>
  </si>
  <si>
    <t>Tape</t>
  </si>
  <si>
    <t>Glue</t>
  </si>
  <si>
    <t>Clips</t>
  </si>
  <si>
    <t>Per unit</t>
  </si>
  <si>
    <t>Lookup result →</t>
  </si>
  <si>
    <t>Shielded →</t>
  </si>
  <si>
    <t>Check</t>
  </si>
  <si>
    <t>Entry</t>
  </si>
  <si>
    <t>12</t>
  </si>
  <si>
    <t>n/a</t>
  </si>
  <si>
    <t>Type</t>
  </si>
  <si>
    <r>
      <rPr>
        <b/>
        <sz val="12"/>
        <color rgb="FF1F2328"/>
        <rFont val="Calibri"/>
        <family val="2"/>
        <scheme val="minor"/>
      </rPr>
      <t>Replace any error with a value you choose.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=IFERROR(A2/B2,0) shows 0 instead of #DIV/0!.</t>
    </r>
  </si>
  <si>
    <t>IFERROR</t>
  </si>
  <si>
    <r>
      <rPr>
        <b/>
        <sz val="12"/>
        <color rgb="FF1F2328"/>
        <rFont val="Calibri"/>
        <family val="2"/>
        <scheme val="minor"/>
      </rPr>
      <t>Replace only #N/A, the 'not found' error.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Ideal around lookups: other errors still show.</t>
    </r>
  </si>
  <si>
    <r>
      <rPr>
        <b/>
        <sz val="12"/>
        <color rgb="FF1F2328"/>
        <rFont val="Calibri"/>
        <family val="2"/>
        <scheme val="minor"/>
      </rPr>
      <t>TRUE if a cell is empty.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=IF(ISBLANK(A2),"Missing","OK")</t>
    </r>
  </si>
  <si>
    <t>4</t>
  </si>
  <si>
    <r>
      <rPr>
        <b/>
        <sz val="12"/>
        <color rgb="FF1F2328"/>
        <rFont val="Calibri"/>
        <family val="2"/>
        <scheme val="minor"/>
      </rPr>
      <t>TRUE if a value is a number (not text that looks like one).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"12" typed as text is not a number.</t>
    </r>
  </si>
  <si>
    <t>ISNUMBER</t>
  </si>
  <si>
    <t>F2-5 Error Shield W1</t>
  </si>
  <si>
    <t>How many IF functions does a nested IF need for 3 outcomes?  (from F2-4 Multi-Level)</t>
  </si>
  <si>
    <t>F2-5 Error Shield W2</t>
  </si>
  <si>
    <t>Which function tests several conditions in order without nesting?  (from F2-4 Multi-Level)</t>
  </si>
  <si>
    <t>F2-5 Error Shield W3</t>
  </si>
  <si>
    <t>In IFS, what do you put as the last test to catch all remaining cases?  (from F2-4 Multi-Level)</t>
  </si>
  <si>
    <t>F2-5 Error Shield W4</t>
  </si>
  <si>
    <t>F2-5 Error Shield W5</t>
  </si>
  <si>
    <t>F2-5 Error Shield W6</t>
  </si>
  <si>
    <t>F2-5 Error Shield W7</t>
  </si>
  <si>
    <t>Starts with AVER.</t>
  </si>
  <si>
    <t>=AVERAGE</t>
  </si>
  <si>
    <t>=AVERAGE(</t>
  </si>
  <si>
    <t>=AVERAGE()</t>
  </si>
  <si>
    <t>AVERAGE</t>
  </si>
  <si>
    <t>AVERAGE(</t>
  </si>
  <si>
    <t>AVERAGE()</t>
  </si>
  <si>
    <t>Which function returns the mean of a range?  (from F1-2 Big Six)</t>
  </si>
  <si>
    <t>F2-5 Error Shield W8</t>
  </si>
  <si>
    <t>Short for maximum.</t>
  </si>
  <si>
    <t>=MAX</t>
  </si>
  <si>
    <t>=MAX(</t>
  </si>
  <si>
    <t>=MAX()</t>
  </si>
  <si>
    <t>MAX</t>
  </si>
  <si>
    <t>MAX(</t>
  </si>
  <si>
    <t>MAX()</t>
  </si>
  <si>
    <t>Which function returns the largest number in a range?  (from F1-2 Big Six)</t>
  </si>
  <si>
    <t>F2-5 Error Shield W9</t>
  </si>
  <si>
    <t>Short for minimum.</t>
  </si>
  <si>
    <t>=MIN</t>
  </si>
  <si>
    <t>=MIN(</t>
  </si>
  <si>
    <t>=MIN()</t>
  </si>
  <si>
    <t>MIN</t>
  </si>
  <si>
    <t>MIN(</t>
  </si>
  <si>
    <t>MIN()</t>
  </si>
  <si>
    <t>Which function returns the smallest number in a range?  (from F1-2 Big Six)</t>
  </si>
  <si>
    <t>F2-5 Error Shield W10</t>
  </si>
  <si>
    <t>The plain counting function.</t>
  </si>
  <si>
    <t>=COUNT</t>
  </si>
  <si>
    <t>=COUNT(</t>
  </si>
  <si>
    <t>=COUNT()</t>
  </si>
  <si>
    <t>COUNT</t>
  </si>
  <si>
    <t>COUNT(</t>
  </si>
  <si>
    <t>COUNT()</t>
  </si>
  <si>
    <t>Which function counts only the cells that hold numbers?  (from F1-2 Big Six)</t>
  </si>
  <si>
    <t>F2-5 Error Shield T1</t>
  </si>
  <si>
    <t>IF plus ERROR.</t>
  </si>
  <si>
    <t>Which function replaces any error with your own value?</t>
  </si>
  <si>
    <t>F2-5 Error Shield T2</t>
  </si>
  <si>
    <t>IF plus NA.</t>
  </si>
  <si>
    <t>Which function replaces only the #N/A error?</t>
  </si>
  <si>
    <t>F2-5 Error Shield T3</t>
  </si>
  <si>
    <t>IS plus BLANK.</t>
  </si>
  <si>
    <t>Which function is TRUE when a cell is empty?</t>
  </si>
  <si>
    <t>F2-5 Error Shield T4</t>
  </si>
  <si>
    <t>IS plus NUMBER.</t>
  </si>
  <si>
    <t>T4</t>
  </si>
  <si>
    <t>Which function is TRUE when a value is a number?</t>
  </si>
  <si>
    <t>▶ Open F2-5 Arena (or press Ctrl+PgDn)</t>
  </si>
  <si>
    <t>F2-5 Error Shield C1</t>
  </si>
  <si>
    <t>=IFERROR</t>
  </si>
  <si>
    <t>=IFERROR(</t>
  </si>
  <si>
    <t>=IFERROR()</t>
  </si>
  <si>
    <t>IFERROR(</t>
  </si>
  <si>
    <t>IFERROR()</t>
  </si>
  <si>
    <t>F2-5 Error Shield C2</t>
  </si>
  <si>
    <t>=IFNA</t>
  </si>
  <si>
    <t>=IFNA(</t>
  </si>
  <si>
    <t>=IFNA()</t>
  </si>
  <si>
    <t>IFNA(</t>
  </si>
  <si>
    <t>IFNA()</t>
  </si>
  <si>
    <t>F2-5 Error Shield C3</t>
  </si>
  <si>
    <t>=ISBLANK</t>
  </si>
  <si>
    <t>=ISBLANK(</t>
  </si>
  <si>
    <t>=ISBLANK()</t>
  </si>
  <si>
    <t>ISBLANK(</t>
  </si>
  <si>
    <t>ISBLANK()</t>
  </si>
  <si>
    <t>F2-5 Error Shield C4</t>
  </si>
  <si>
    <t>=ISNUMBER</t>
  </si>
  <si>
    <t>=ISNUMBER(</t>
  </si>
  <si>
    <t>=ISNUMBER()</t>
  </si>
  <si>
    <t>ISNUMBER(</t>
  </si>
  <si>
    <t>ISNUMBER()</t>
  </si>
  <si>
    <t>F2-5 Error Shield C5</t>
  </si>
  <si>
    <t>Wrap the division in IFERROR.</t>
  </si>
  <si>
    <t>Per unit = Total ÷ Units, but some Units are 0. In E6 write =IFERROR(C6/D6,0) and fill down to E11.</t>
  </si>
  <si>
    <t>▶ ARENA C5 (cell E6)</t>
  </si>
  <si>
    <t>F2-5 Error Shield C6</t>
  </si>
  <si>
    <t>Only #N/A is replaced.</t>
  </si>
  <si>
    <t>D14 shows #N/A (a failed lookup). In F14 write =IFNA(D14,"Missing").</t>
  </si>
  <si>
    <t>▶ ARENA C6 (cell F14)</t>
  </si>
  <si>
    <t>F2-5 Error Shield C7</t>
  </si>
  <si>
    <t>ISBLANK inside IF.</t>
  </si>
  <si>
    <t>C7</t>
  </si>
  <si>
    <t>In C17 show "Missing" when the Name (B17) is empty, otherwise "OK". Use ISBLANK, then fill down to C21.</t>
  </si>
  <si>
    <t>▶ ARENA C7 (cell C17)</t>
  </si>
  <si>
    <t>F2-5 Error Shield C8</t>
  </si>
  <si>
    <t>"12" in quotes is text.</t>
  </si>
  <si>
    <t>C8</t>
  </si>
  <si>
    <t>In E23 return "Number" when the Entry (D23) is a number, otherwise "Text". Use ISNUMBER, then fill down to E27.</t>
  </si>
  <si>
    <t>▶ ARENA C8 (cell E23)</t>
  </si>
  <si>
    <t>STAGE F2-5 ▸ ERROR SHIELD</t>
  </si>
  <si>
    <t>Goal: keep errors and blanks from breaking your sheet</t>
  </si>
  <si>
    <t>BOSS ARENA ▸ LOGIC</t>
  </si>
  <si>
    <t>LOGICLORD</t>
  </si>
  <si>
    <t>◀ Back to Boss</t>
  </si>
  <si>
    <t>Pass?</t>
  </si>
  <si>
    <t>Eligible</t>
  </si>
  <si>
    <t>Star</t>
  </si>
  <si>
    <t>Tier</t>
  </si>
  <si>
    <t>Status</t>
  </si>
  <si>
    <t>Not licensed?</t>
  </si>
  <si>
    <t>SPEEDRUN · stamp START, beat the Boss, stamp FINISH</t>
  </si>
  <si>
    <t>START · select C6 and press Ctrl+Shift+:</t>
  </si>
  <si>
    <t>FINISH · select C7 and press Ctrl+Shift+:</t>
  </si>
  <si>
    <t>TIME</t>
  </si>
  <si>
    <t>PAR</t>
  </si>
  <si>
    <t>BOSS GATE</t>
  </si>
  <si>
    <t>FLASHBACK · moves from earlier worlds</t>
  </si>
  <si>
    <t>Boss F1</t>
  </si>
  <si>
    <t>F1</t>
  </si>
  <si>
    <t>Boss F2</t>
  </si>
  <si>
    <t>F2</t>
  </si>
  <si>
    <t>Boss F3</t>
  </si>
  <si>
    <t>F3</t>
  </si>
  <si>
    <t>Boss F4</t>
  </si>
  <si>
    <t>F4</t>
  </si>
  <si>
    <t>Boss F5</t>
  </si>
  <si>
    <t>F5</t>
  </si>
  <si>
    <t>Boss F6</t>
  </si>
  <si>
    <t>F6</t>
  </si>
  <si>
    <t>Boss F7</t>
  </si>
  <si>
    <t>F7</t>
  </si>
  <si>
    <t>Boss F8</t>
  </si>
  <si>
    <t>COUNT plus one letter.</t>
  </si>
  <si>
    <t>=COUNTA</t>
  </si>
  <si>
    <t>=COUNTA(</t>
  </si>
  <si>
    <t>=COUNTA()</t>
  </si>
  <si>
    <t>COUNTA</t>
  </si>
  <si>
    <t>COUNTA(</t>
  </si>
  <si>
    <t>COUNTA()</t>
  </si>
  <si>
    <t>F8</t>
  </si>
  <si>
    <t>BOSS MISSIONS</t>
  </si>
  <si>
    <t>▶ Open Boss Arena (or press Ctrl+PgDn)</t>
  </si>
  <si>
    <t>Boss B1</t>
  </si>
  <si>
    <t>IF.</t>
  </si>
  <si>
    <t>B1</t>
  </si>
  <si>
    <t>▶ ARENA B1 (cell F6)</t>
  </si>
  <si>
    <t>Boss B2</t>
  </si>
  <si>
    <t>AND.</t>
  </si>
  <si>
    <t>B2</t>
  </si>
  <si>
    <t>▶ ARENA B2 (cell G6)</t>
  </si>
  <si>
    <t>Boss B3</t>
  </si>
  <si>
    <t>OR.</t>
  </si>
  <si>
    <t>B3</t>
  </si>
  <si>
    <t>▶ ARENA B3 (cell H6)</t>
  </si>
  <si>
    <t>Boss B4</t>
  </si>
  <si>
    <t>End with TRUE.</t>
  </si>
  <si>
    <t>B4</t>
  </si>
  <si>
    <t>▶ ARENA B4 (cell I6)</t>
  </si>
  <si>
    <t>Boss B5</t>
  </si>
  <si>
    <t>AND inside the first IF.</t>
  </si>
  <si>
    <t>B5</t>
  </si>
  <si>
    <t>▶ ARENA B5 (cell J6)</t>
  </si>
  <si>
    <t>Boss B6</t>
  </si>
  <si>
    <t>NOT(…)</t>
  </si>
  <si>
    <t>B6</t>
  </si>
  <si>
    <t>▶ ARENA B6 (cell L6)</t>
  </si>
  <si>
    <t>Boss B7</t>
  </si>
  <si>
    <t>IFERROR(C21/D21,0)</t>
  </si>
  <si>
    <t>B7</t>
  </si>
  <si>
    <t>▶ ARENA B7 (cell E21)</t>
  </si>
  <si>
    <t>Boss B8</t>
  </si>
  <si>
    <t>ISBLANK.</t>
  </si>
  <si>
    <t>B8</t>
  </si>
  <si>
    <t>▶ ARENA B8 (cell H21)</t>
  </si>
  <si>
    <t>BOSS ▸ LOGIC</t>
  </si>
  <si>
    <t>Every move from this world in one gauntlet. Clear it under par for rank S.</t>
  </si>
  <si>
    <t>FORMULAS 2 ▸ LOGIC</t>
  </si>
  <si>
    <t>Make formulas decide: comparisons, IF, AND/OR/NOT, IFS and error shields.</t>
  </si>
  <si>
    <t>HOW TO PLAY</t>
  </si>
  <si>
    <t>1 · Each stage: read the BRIEFING, then answer WARM-UP, TRAINING and CHALLENGES.</t>
  </si>
  <si>
    <t>2 · Yellow cells are yours: type, pick from a list (Alt+↓), or follow a ▶ ARENA link and do the move there.</t>
  </si>
  <si>
    <t>3 · ✔ CLEAR = right · ✘ = try again · · not yet = drill not done. Stuck? Pick 'Show hint' (5 XP instead of 10).</t>
  </si>
  <si>
    <t>4 · Formatting or hiding drills: press F9 to refresh the check. Tab jumps between yellow cells.</t>
  </si>
  <si>
    <t>Needs Windows with Microsoft Excel 365 or 2021+ (English). In Protected View, click Enable Editing.</t>
  </si>
  <si>
    <t>STAGE SELECT</t>
  </si>
  <si>
    <t>Stage</t>
  </si>
  <si>
    <t>Stars</t>
  </si>
  <si>
    <t>Go</t>
  </si>
  <si>
    <t>F2-1</t>
  </si>
  <si>
    <t>True or False</t>
  </si>
  <si>
    <t>Go to F2-1 True or False</t>
  </si>
  <si>
    <t>F2-2</t>
  </si>
  <si>
    <t>Fork in the Road</t>
  </si>
  <si>
    <t>Go to F2-2 Fork in the Road</t>
  </si>
  <si>
    <t>F2-3</t>
  </si>
  <si>
    <t>Combo Moves</t>
  </si>
  <si>
    <t>Go to F2-3 Combo Moves</t>
  </si>
  <si>
    <t>F2-4</t>
  </si>
  <si>
    <t>Multi-Level</t>
  </si>
  <si>
    <t>Go to F2-4 Multi-Level</t>
  </si>
  <si>
    <t>F2-5</t>
  </si>
  <si>
    <t>Error Shield</t>
  </si>
  <si>
    <t>Go to F2-5 Error Shield</t>
  </si>
  <si>
    <t>BOSS</t>
  </si>
  <si>
    <t>Boss</t>
  </si>
  <si>
    <t>Go to the Boss</t>
  </si>
  <si>
    <t>TOTAL SCORE</t>
  </si>
  <si>
    <t>RANK</t>
  </si>
  <si>
    <t>S = 100% and under par · A ≥ 90% · B ≥ 75% · C ≥ 50%</t>
  </si>
  <si>
    <t>BEST TIME</t>
  </si>
  <si>
    <t>NEXT UP</t>
  </si>
  <si>
    <t>Replay a stage: select its yellow answer cells and press Delete. Undo an arena drill with Ctrl+Z.</t>
  </si>
  <si>
    <t>CHEAT CODES ▸ LOGIC</t>
  </si>
  <si>
    <t>Every move from this world on one page. Keep it open while you play, or print it (Ctrl+P).</t>
  </si>
  <si>
    <t>What it does</t>
  </si>
  <si>
    <t>Pro tip</t>
  </si>
  <si>
    <t>Compare two values: = &lt; &gt; &lt;= &gt;= give TRUE or FALSE.</t>
  </si>
  <si>
    <t>=B2&gt;=50 is TRUE when B2 is 50 or more.</t>
  </si>
  <si>
    <t>Not equal to.</t>
  </si>
  <si>
    <t>=A2&lt;&gt;"Closed" is TRUE for anything except Closed.</t>
  </si>
  <si>
    <t>Text inside a formula goes in double quotes.</t>
  </si>
  <si>
    <t>Comparisons ignore case: ="YES"="yes" is TRUE.</t>
  </si>
  <si>
    <t>IF(test, value_if_true, value_if_false) picks one of two results.</t>
  </si>
  <si>
    <t>=IF(B2&gt;=50,"Pass","Fail")</t>
  </si>
  <si>
    <t>Each branch can be a calculation, not just text.</t>
  </si>
  <si>
    <t>=IF(B2&gt;100,B2*0.9,B2) discounts only big orders.</t>
  </si>
  <si>
    <t>Two quotes with nothing between = empty text, a blank-looking result.</t>
  </si>
  <si>
    <t>=IF(A2="","",A2*2) stays blank until A2 has a value.</t>
  </si>
  <si>
    <t>TRUE only when every condition is TRUE.</t>
  </si>
  <si>
    <t>=AND(B2&gt;=18,C2="Yes")</t>
  </si>
  <si>
    <t>TRUE when at least one condition is TRUE.</t>
  </si>
  <si>
    <t>=OR(B2&gt;=90,C2&lt;16)</t>
  </si>
  <si>
    <t>Flip TRUE to FALSE and FALSE to TRUE.</t>
  </si>
  <si>
    <t>=NOT(B2="Yes") is TRUE for No.</t>
  </si>
  <si>
    <t>Put an IF in the 'false' slot to handle three or more outcomes.</t>
  </si>
  <si>
    <t>=IF(B2&gt;=90,"A",IF(B2&gt;=75,"B","C"))</t>
  </si>
  <si>
    <t>Check conditions in order and return the first match.</t>
  </si>
  <si>
    <t>=IFS(B2&gt;=90,"Gold",B2&gt;=75,"Silver",TRUE,"Other")</t>
  </si>
  <si>
    <t>End IFS with TRUE and a fallback to catch everything else.</t>
  </si>
  <si>
    <t>Without it, unmatched values show #N/A.</t>
  </si>
  <si>
    <t>Replace any error with a value you choose.</t>
  </si>
  <si>
    <t>=IFERROR(A2/B2,0) shows 0 instead of #DIV/0!.</t>
  </si>
  <si>
    <t>Replace only #N/A, the 'not found' error.</t>
  </si>
  <si>
    <t>Ideal around lookups: other errors still show.</t>
  </si>
  <si>
    <t>TRUE if a cell is empty.</t>
  </si>
  <si>
    <t>=IF(ISBLANK(A2),"Missing","OK")</t>
  </si>
  <si>
    <t>TRUE if a value is a number (not text that looks like one).</t>
  </si>
  <si>
    <t>"12" typed as text is not a number.</t>
  </si>
</sst>
</file>

<file path=xl/styles.xml><?xml version="1.0" encoding="utf-8"?>
<styleSheet xmlns="http://schemas.openxmlformats.org/spreadsheetml/2006/main">
  <numFmts count="3">
    <numFmt numFmtId="164" formatCode="@"/>
    <numFmt numFmtId="165" formatCode="h:mm AM/PM"/>
    <numFmt numFmtId="166" formatCode="0&quot; min&quot;"/>
  </numFmts>
  <fonts count="21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2328"/>
      <name val="Calibri"/>
      <family val="2"/>
      <scheme val="minor"/>
    </font>
    <font>
      <sz val="12"/>
      <color rgb="FF14213D"/>
      <name val="Segoe UI Symbol"/>
      <family val="2"/>
    </font>
    <font>
      <u/>
      <sz val="12"/>
      <color rgb="FF0B4FA8"/>
      <name val="Calibri"/>
      <family val="2"/>
      <scheme val="minor"/>
    </font>
    <font>
      <i/>
      <sz val="11"/>
      <color rgb="FF595F69"/>
      <name val="Calibri"/>
      <family val="2"/>
      <scheme val="minor"/>
    </font>
    <font>
      <b/>
      <sz val="14"/>
      <color rgb="FF14213D"/>
      <name val="Consolas"/>
      <family val="2"/>
    </font>
    <font>
      <sz val="14"/>
      <color rgb="FF14213D"/>
      <name val="Segoe UI Symbol"/>
      <family val="2"/>
    </font>
    <font>
      <sz val="14"/>
      <color rgb="FF14213D"/>
      <name val="Consolas"/>
      <family val="2"/>
    </font>
    <font>
      <b/>
      <sz val="12"/>
      <color rgb="FF0B6B2B"/>
      <name val="Segoe UI Symbol"/>
      <family val="2"/>
    </font>
    <font>
      <b/>
      <sz val="12"/>
      <color rgb="FF14213D"/>
      <name val="Consolas"/>
      <family val="2"/>
    </font>
    <font>
      <sz val="12"/>
      <color rgb="FF1F2328"/>
      <name val="Consolas"/>
      <family val="2"/>
    </font>
    <font>
      <b/>
      <sz val="12"/>
      <color rgb="FF4A4F57"/>
      <name val="Segoe UI Symbol"/>
      <family val="2"/>
    </font>
    <font>
      <sz val="11"/>
      <color rgb="FF1F2328"/>
      <name val="Calibri"/>
      <family val="2"/>
      <scheme val="minor"/>
    </font>
    <font>
      <i/>
      <sz val="11"/>
      <color rgb="FF5A3E8A"/>
      <name val="Calibri"/>
      <family val="2"/>
      <scheme val="minor"/>
    </font>
    <font>
      <b/>
      <sz val="12"/>
      <color rgb="FF14213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3EEFC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 applyProtection="1">
      <alignment horizontal="center" vertical="top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9" fillId="0" borderId="0" xfId="0" applyFont="1" applyAlignment="1">
      <alignment vertical="top"/>
    </xf>
    <xf numFmtId="0" fontId="7" fillId="0" borderId="0" xfId="0" applyFont="1" applyAlignment="1" applyProtection="1">
      <alignment vertical="top"/>
      <protection hidden="1"/>
    </xf>
    <xf numFmtId="0" fontId="10" fillId="0" borderId="0" xfId="0" applyFont="1" applyAlignment="1">
      <alignment vertical="top"/>
    </xf>
    <xf numFmtId="0" fontId="11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horizontal="center" vertical="top"/>
    </xf>
    <xf numFmtId="0" fontId="15" fillId="4" borderId="0" xfId="0" applyFont="1" applyFill="1" applyAlignment="1">
      <alignment vertical="top" wrapText="1"/>
    </xf>
    <xf numFmtId="164" fontId="16" fillId="5" borderId="1" xfId="0" applyNumberFormat="1" applyFont="1" applyFill="1" applyBorder="1" applyAlignment="1" applyProtection="1">
      <alignment vertical="top"/>
      <protection locked="0"/>
    </xf>
    <xf numFmtId="0" fontId="17" fillId="6" borderId="0" xfId="0" applyFont="1" applyFill="1" applyAlignment="1" applyProtection="1">
      <alignment vertical="top" wrapText="1"/>
      <protection hidden="1"/>
    </xf>
    <xf numFmtId="0" fontId="18" fillId="5" borderId="1" xfId="0" applyFont="1" applyFill="1" applyBorder="1" applyAlignment="1" applyProtection="1">
      <alignment vertical="top"/>
      <protection locked="0"/>
    </xf>
    <xf numFmtId="0" fontId="19" fillId="7" borderId="0" xfId="0" applyFont="1" applyFill="1" applyAlignment="1" applyProtection="1">
      <alignment vertical="top" wrapText="1"/>
      <protection hidden="1"/>
    </xf>
    <xf numFmtId="0" fontId="15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6" fillId="2" borderId="0" xfId="0" applyFont="1" applyFill="1"/>
    <xf numFmtId="0" fontId="16" fillId="5" borderId="1" xfId="0" applyFont="1" applyFill="1" applyBorder="1" applyAlignment="1" applyProtection="1">
      <alignment vertical="top"/>
      <protection locked="0"/>
    </xf>
    <xf numFmtId="165" fontId="16" fillId="5" borderId="1" xfId="0" applyNumberFormat="1" applyFont="1" applyFill="1" applyBorder="1" applyAlignment="1" applyProtection="1">
      <alignment vertical="top"/>
      <protection locked="0"/>
    </xf>
    <xf numFmtId="166" fontId="5" fillId="0" borderId="0" xfId="0" applyNumberFormat="1" applyFont="1" applyAlignment="1" applyProtection="1">
      <alignment vertical="top"/>
      <protection hidden="1"/>
    </xf>
    <xf numFmtId="0" fontId="5" fillId="0" borderId="0" xfId="0" applyFont="1" applyAlignment="1" applyProtection="1">
      <alignment vertical="top" wrapText="1"/>
      <protection hidden="1"/>
    </xf>
  </cellXfs>
  <cellStyles count="1">
    <cellStyle name="Normal" xfId="0" builtinId="0"/>
  </cellStyles>
  <dxfs count="3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  <dxf>
      <font>
        <color rgb="FF4A4F57"/>
      </font>
      <fill>
        <patternFill>
          <bgColor rgb="FFE9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F25"/>
  <sheetViews>
    <sheetView showGridLines="0" tabSelected="1" workbookViewId="0"/>
  </sheetViews>
  <sheetFormatPr defaultRowHeight="15"/>
  <cols>
    <col min="1" max="1" width="16.7109375" customWidth="1"/>
    <col min="2" max="2" width="32.7109375" customWidth="1"/>
    <col min="3" max="3" width="16.7109375" customWidth="1"/>
    <col min="4" max="4" width="12.7109375" customWidth="1"/>
    <col min="5" max="5" width="16.7109375" customWidth="1"/>
    <col min="6" max="6" width="36.7109375" customWidth="1"/>
  </cols>
  <sheetData>
    <row r="1" spans="1:6" ht="34" customHeight="1">
      <c r="A1" s="1" t="s">
        <v>626</v>
      </c>
      <c r="B1" s="2"/>
      <c r="C1" s="2"/>
      <c r="D1" s="2"/>
      <c r="E1" s="2"/>
      <c r="F1" s="2"/>
    </row>
    <row r="2" spans="1:6">
      <c r="A2" s="3" t="s">
        <v>627</v>
      </c>
    </row>
    <row r="4" spans="1:6">
      <c r="A4" s="4" t="s">
        <v>628</v>
      </c>
      <c r="B4" s="4"/>
      <c r="C4" s="4"/>
      <c r="D4" s="4"/>
      <c r="E4" s="4"/>
      <c r="F4" s="4"/>
    </row>
    <row r="5" spans="1:6">
      <c r="A5" s="5" t="s">
        <v>629</v>
      </c>
    </row>
    <row r="6" spans="1:6">
      <c r="A6" s="5" t="s">
        <v>630</v>
      </c>
    </row>
    <row r="7" spans="1:6">
      <c r="A7" s="5" t="s">
        <v>631</v>
      </c>
    </row>
    <row r="8" spans="1:6">
      <c r="A8" s="5" t="s">
        <v>632</v>
      </c>
    </row>
    <row r="9" spans="1:6">
      <c r="A9" s="5" t="s">
        <v>633</v>
      </c>
    </row>
    <row r="11" spans="1:6">
      <c r="A11" s="4" t="s">
        <v>634</v>
      </c>
      <c r="B11" s="4"/>
      <c r="C11" s="4"/>
      <c r="D11" s="4"/>
      <c r="E11" s="4"/>
      <c r="F11" s="4"/>
    </row>
    <row r="12" spans="1:6">
      <c r="A12" s="6" t="s">
        <v>635</v>
      </c>
      <c r="B12" s="6" t="s">
        <v>9</v>
      </c>
      <c r="C12" s="6" t="s">
        <v>10</v>
      </c>
      <c r="D12" s="6" t="s">
        <v>636</v>
      </c>
      <c r="E12" s="6" t="s">
        <v>558</v>
      </c>
      <c r="F12" s="6" t="s">
        <v>637</v>
      </c>
    </row>
    <row r="13" spans="1:6">
      <c r="A13" s="7" t="s">
        <v>638</v>
      </c>
      <c r="B13" s="8" t="s">
        <v>639</v>
      </c>
      <c r="C13" s="9" cm="1" t="str">
        <f t="array" ref="C13">SUM('F2-1 True or False'!$G$13:$G$38)&amp;" / 190"</f>
        <v>0 / 190</v>
      </c>
      <c r="D13" s="10" cm="1" t="str">
        <f t="array" ref="D13">IF(SUM('F2-1 True or False'!$G$13:$G$38)&gt;=190,"★★★",IF(SUM('F2-1 True or False'!$G$13:$G$38)&gt;=190*0.8,"★★☆",IF(SUM('F2-1 True or False'!$G$13:$G$38)&gt;=190*0.5,"★☆☆","☆☆☆")))</f>
        <v>☆☆☆</v>
      </c>
      <c r="E13" s="9" cm="1" t="str">
        <f t="array" ref="E13">IF(SUM('F2-1 True or False'!$G$13:$G$38)&gt;=190,"PERFECT",IF(SUM('F2-1 True or False'!$G$13:$G$38)&gt;=190*0.5,"CLEARED",IF(SUM('F2-1 True or False'!$G$13:$G$38)&gt;0,"IN PROGRESS","NEW")))</f>
        <v>NEW</v>
      </c>
      <c r="F13" s="11" t="s">
        <v>640</v>
      </c>
    </row>
    <row r="14" spans="1:6">
      <c r="A14" s="7" t="s">
        <v>641</v>
      </c>
      <c r="B14" s="8" t="s">
        <v>642</v>
      </c>
      <c r="C14" s="9" cm="1" t="str">
        <f t="array" ref="C14">SUM('F2-2 Fork in the Road'!$G$13:$G$38)&amp;" / 190"</f>
        <v>0 / 190</v>
      </c>
      <c r="D14" s="10" cm="1" t="str">
        <f t="array" ref="D14">IF(SUM('F2-2 Fork in the Road'!$G$13:$G$38)&gt;=190,"★★★",IF(SUM('F2-2 Fork in the Road'!$G$13:$G$38)&gt;=190*0.8,"★★☆",IF(SUM('F2-2 Fork in the Road'!$G$13:$G$38)&gt;=190*0.5,"★☆☆","☆☆☆")))</f>
        <v>☆☆☆</v>
      </c>
      <c r="E14" s="9" cm="1" t="str">
        <f t="array" ref="E14">IF(SUM('F2-2 Fork in the Road'!$G$13:$G$38)&gt;=190,"PERFECT",IF(SUM('F2-2 Fork in the Road'!$G$13:$G$38)&gt;=190*0.5,"CLEARED",IF(SUM('F2-2 Fork in the Road'!$G$13:$G$38)&gt;0,"IN PROGRESS","NEW")))</f>
        <v>NEW</v>
      </c>
      <c r="F14" s="11" t="s">
        <v>643</v>
      </c>
    </row>
    <row r="15" spans="1:6">
      <c r="A15" s="7" t="s">
        <v>644</v>
      </c>
      <c r="B15" s="8" t="s">
        <v>645</v>
      </c>
      <c r="C15" s="9" cm="1" t="str">
        <f t="array" ref="C15">SUM('F2-3 Combo Moves'!$G$13:$G$38)&amp;" / 190"</f>
        <v>0 / 190</v>
      </c>
      <c r="D15" s="10" cm="1" t="str">
        <f t="array" ref="D15">IF(SUM('F2-3 Combo Moves'!$G$13:$G$38)&gt;=190,"★★★",IF(SUM('F2-3 Combo Moves'!$G$13:$G$38)&gt;=190*0.8,"★★☆",IF(SUM('F2-3 Combo Moves'!$G$13:$G$38)&gt;=190*0.5,"★☆☆","☆☆☆")))</f>
        <v>☆☆☆</v>
      </c>
      <c r="E15" s="9" cm="1" t="str">
        <f t="array" ref="E15">IF(SUM('F2-3 Combo Moves'!$G$13:$G$38)&gt;=190,"PERFECT",IF(SUM('F2-3 Combo Moves'!$G$13:$G$38)&gt;=190*0.5,"CLEARED",IF(SUM('F2-3 Combo Moves'!$G$13:$G$38)&gt;0,"IN PROGRESS","NEW")))</f>
        <v>NEW</v>
      </c>
      <c r="F15" s="11" t="s">
        <v>646</v>
      </c>
    </row>
    <row r="16" spans="1:6">
      <c r="A16" s="7" t="s">
        <v>647</v>
      </c>
      <c r="B16" s="8" t="s">
        <v>648</v>
      </c>
      <c r="C16" s="9" cm="1" t="str">
        <f t="array" ref="C16">SUM('F2-4 Multi-Level'!$G$13:$G$38)&amp;" / 190"</f>
        <v>0 / 190</v>
      </c>
      <c r="D16" s="10" cm="1" t="str">
        <f t="array" ref="D16">IF(SUM('F2-4 Multi-Level'!$G$13:$G$38)&gt;=190,"★★★",IF(SUM('F2-4 Multi-Level'!$G$13:$G$38)&gt;=190*0.8,"★★☆",IF(SUM('F2-4 Multi-Level'!$G$13:$G$38)&gt;=190*0.5,"★☆☆","☆☆☆")))</f>
        <v>☆☆☆</v>
      </c>
      <c r="E16" s="9" cm="1" t="str">
        <f t="array" ref="E16">IF(SUM('F2-4 Multi-Level'!$G$13:$G$38)&gt;=190,"PERFECT",IF(SUM('F2-4 Multi-Level'!$G$13:$G$38)&gt;=190*0.5,"CLEARED",IF(SUM('F2-4 Multi-Level'!$G$13:$G$38)&gt;0,"IN PROGRESS","NEW")))</f>
        <v>NEW</v>
      </c>
      <c r="F16" s="11" t="s">
        <v>649</v>
      </c>
    </row>
    <row r="17" spans="1:6">
      <c r="A17" s="7" t="s">
        <v>650</v>
      </c>
      <c r="B17" s="8" t="s">
        <v>651</v>
      </c>
      <c r="C17" s="9" cm="1" t="str">
        <f t="array" ref="C17">SUM('F2-5 Error Shield'!$G$14:$G$42)&amp;" / 220"</f>
        <v>0 / 220</v>
      </c>
      <c r="D17" s="10" cm="1" t="str">
        <f t="array" ref="D17">IF(SUM('F2-5 Error Shield'!$G$14:$G$42)&gt;=220,"★★★",IF(SUM('F2-5 Error Shield'!$G$14:$G$42)&gt;=220*0.8,"★★☆",IF(SUM('F2-5 Error Shield'!$G$14:$G$42)&gt;=220*0.5,"★☆☆","☆☆☆")))</f>
        <v>☆☆☆</v>
      </c>
      <c r="E17" s="9" cm="1" t="str">
        <f t="array" ref="E17">IF(SUM('F2-5 Error Shield'!$G$14:$G$42)&gt;=220,"PERFECT",IF(SUM('F2-5 Error Shield'!$G$14:$G$42)&gt;=220*0.5,"CLEARED",IF(SUM('F2-5 Error Shield'!$G$14:$G$42)&gt;0,"IN PROGRESS","NEW")))</f>
        <v>NEW</v>
      </c>
      <c r="F17" s="11" t="s">
        <v>652</v>
      </c>
    </row>
    <row r="18" spans="1:6">
      <c r="A18" s="7" t="s">
        <v>653</v>
      </c>
      <c r="B18" s="8" t="s">
        <v>654</v>
      </c>
      <c r="C18" s="9" cm="1" t="str">
        <f t="array" ref="C18">SUM(Boss!$G$14:$G$33)&amp;" / 160"</f>
        <v>0 / 160</v>
      </c>
      <c r="D18" s="10" cm="1" t="str">
        <f t="array" ref="D18">IF(SUM(Boss!$G$14:$G$33)&gt;=160,"★★★",IF(SUM(Boss!$G$14:$G$33)&gt;=160*0.8,"★★☆",IF(SUM(Boss!$G$14:$G$33)&gt;=160*0.5,"★☆☆","☆☆☆")))</f>
        <v>☆☆☆</v>
      </c>
      <c r="E18" s="9" cm="1" t="str">
        <f t="array" ref="E18">IF(Boss!$C$10="OPEN",IF(SUM(Boss!$G$14:$G$33)&gt;=160*0.5,"DEFEATED","OPEN"),"LOCKED")</f>
        <v>LOCKED</v>
      </c>
      <c r="F18" s="11" t="s">
        <v>655</v>
      </c>
    </row>
    <row r="20" spans="1:6">
      <c r="A20" s="7" t="s">
        <v>656</v>
      </c>
      <c r="B20" s="12" cm="1" t="str">
        <f t="array" ref="B20">(SUM('F2-1 True or False'!$G$13:$G$38)+SUM('F2-2 Fork in the Road'!$G$13:$G$38)+SUM('F2-3 Combo Moves'!$G$13:$G$38)+SUM('F2-4 Multi-Level'!$G$13:$G$38)+SUM('F2-5 Error Shield'!$G$14:$G$42)+SUM(Boss!$G$14:$G$33))&amp;" / 1140"</f>
        <v>0 / 1140</v>
      </c>
    </row>
    <row r="21" spans="1:6">
      <c r="A21" s="7" t="s">
        <v>657</v>
      </c>
      <c r="B21" s="12" cm="1" t="str">
        <f t="array" ref="B21">_xlfn.LET(_xlpm.p,(SUM('F2-1 True or False'!$G$13:$G$38)+SUM('F2-2 Fork in the Road'!$G$13:$G$38)+SUM('F2-3 Combo Moves'!$G$13:$G$38)+SUM('F2-4 Multi-Level'!$G$13:$G$38)+SUM('F2-5 Error Shield'!$G$14:$G$42)+SUM(Boss!$G$14:$G$33))/1140,IF(AND(_xlpm.p&gt;=1,ISNUMBER(Boss!$C$8),Boss!$C$8&lt;=15),"S",IF(_xlpm.p&gt;=0.9,"A",IF(_xlpm.p&gt;=0.75,"B",IF(_xlpm.p&gt;=0.5,"C","D")))))</f>
        <v>D</v>
      </c>
      <c r="C21" s="13" t="s">
        <v>658</v>
      </c>
    </row>
    <row r="22" spans="1:6">
      <c r="A22" s="7" t="s">
        <v>659</v>
      </c>
      <c r="B22" s="12" cm="1" t="str">
        <f t="array" ref="B22">IF(ISNUMBER(Boss!$C$8),Boss!$C$8&amp;" min (par 15)","—")</f>
        <v>—</v>
      </c>
    </row>
    <row r="23" spans="1:6">
      <c r="A23" s="7" t="s">
        <v>660</v>
      </c>
      <c r="B23" s="12" cm="1" t="str">
        <f t="array" ref="B23">IFERROR(INDEX($A$13:$A$17,MATCH("☆☆☆",$D$13:$D$17,0))&amp;" "&amp;INDEX($B$13:$B$17,MATCH("☆☆☆",$D$13:$D$17,0)),IF(Boss!$C$10="OPEN","the Boss","All clear! Aim for rank S"))</f>
        <v>F2-1 True or False</v>
      </c>
    </row>
    <row r="25" spans="1:6">
      <c r="A25" s="13" t="s">
        <v>661</v>
      </c>
    </row>
  </sheetData>
  <sheetProtection sheet="1" objects="1" scenarios="1" formatColumns="0" formatRows="0"/>
  <hyperlinks>
    <hyperlink ref="F13" location="'F2-1 True or False'!A1" display="Go to F2-1 True or False"/>
    <hyperlink ref="F14" location="'F2-2 Fork in the Road'!A1" display="Go to F2-2 Fork in the Road"/>
    <hyperlink ref="F15" location="'F2-3 Combo Moves'!A1" display="Go to F2-3 Combo Moves"/>
    <hyperlink ref="F16" location="'F2-4 Multi-Level'!A1" display="Go to F2-4 Multi-Level"/>
    <hyperlink ref="F17" location="'F2-5 Error Shield'!A1" display="Go to F2-5 Error Shield"/>
    <hyperlink ref="F18" location="Boss!A1" display="Go to the Bos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154</v>
      </c>
      <c r="B1" s="2"/>
      <c r="C1" s="2"/>
      <c r="D1" s="2"/>
      <c r="E1" s="2"/>
      <c r="F1" s="2"/>
      <c r="G1" s="2"/>
    </row>
    <row r="2" spans="1:7">
      <c r="A2" s="3" t="s">
        <v>155</v>
      </c>
    </row>
    <row r="3" spans="1:7" ht="26" customHeight="1">
      <c r="A3" s="14" cm="1" t="str">
        <f t="array" ref="A3">"SCORE "&amp;TEXT(SUM($G$13:$G$38),"0000")&amp;" / 0190"</f>
        <v>SCORE 0000 / 0190</v>
      </c>
      <c r="C3" s="15" cm="1" t="str">
        <f t="array" ref="C3">IF(SUM($G$13:$G$38)&gt;=190,"★★★",IF(SUM($G$13:$G$38)&gt;=190*0.8,"★★☆",IF(SUM($G$13:$G$38)&gt;=190*0.5,"★☆☆","☆☆☆")))</f>
        <v>☆☆☆</v>
      </c>
      <c r="D3" s="16" cm="1" t="str">
        <f t="array" ref="D3">REPT("█",ROUND(10*SUM($G$13:$G$38)/190,0))&amp;REPT("░",10-ROUND(10*SUM($G$13:$G$38)/190,0))&amp;"  "&amp;TEXT(SUM($G$13:$G$38)/190,"0%")</f>
        <v>░░░░░░░░░░  0%</v>
      </c>
      <c r="F3" s="17" cm="1" t="str">
        <f t="array" ref="F3">IF(SUM($G$13:$G$38)&gt;=190*0.5,"STAGE CLEAR! ▶ Next: F2-2 Fork in the Road","")</f>
        <v/>
      </c>
    </row>
    <row r="5" spans="1:7" ht="22" customHeight="1">
      <c r="A5" s="4" t="s">
        <v>28</v>
      </c>
      <c r="B5" s="4"/>
      <c r="C5" s="4"/>
      <c r="D5" s="4"/>
      <c r="E5" s="4"/>
      <c r="F5" s="4"/>
      <c r="G5" s="4"/>
    </row>
    <row r="6" spans="1:7">
      <c r="A6" s="6" t="s">
        <v>29</v>
      </c>
      <c r="B6" s="6" t="s">
        <v>30</v>
      </c>
      <c r="C6" s="6" t="s">
        <v>31</v>
      </c>
      <c r="D6" s="6"/>
      <c r="E6" s="6"/>
      <c r="F6" s="6"/>
      <c r="G6" s="6"/>
    </row>
    <row r="7" spans="1:7" ht="51.25" customHeight="1">
      <c r="A7" s="18" t="s">
        <v>32</v>
      </c>
      <c r="B7" s="8" t="s">
        <v>33</v>
      </c>
      <c r="C7" s="19" t="s">
        <v>34</v>
      </c>
    </row>
    <row r="8" spans="1:7" ht="51.25" customHeight="1">
      <c r="A8" s="18" t="s">
        <v>35</v>
      </c>
      <c r="B8" s="8" t="s">
        <v>36</v>
      </c>
      <c r="C8" s="19" t="s">
        <v>37</v>
      </c>
    </row>
    <row r="9" spans="1:7" ht="51.25" customHeight="1">
      <c r="A9" s="18" t="s">
        <v>38</v>
      </c>
      <c r="B9" s="8" t="s">
        <v>39</v>
      </c>
      <c r="C9" s="19" t="s">
        <v>40</v>
      </c>
    </row>
    <row r="11" spans="1:7" ht="22" customHeight="1">
      <c r="A11" s="4" t="s">
        <v>41</v>
      </c>
      <c r="B11" s="4"/>
      <c r="C11" s="4"/>
      <c r="D11" s="4"/>
      <c r="E11" s="4"/>
      <c r="F11" s="4"/>
      <c r="G11" s="4"/>
    </row>
    <row r="12" spans="1:7">
      <c r="A12" s="6" t="s">
        <v>29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1</v>
      </c>
      <c r="G12" s="6" t="s">
        <v>46</v>
      </c>
    </row>
    <row r="13" spans="1:7" ht="35.5" customHeight="1">
      <c r="A13" s="18" t="s">
        <v>50</v>
      </c>
      <c r="B13" s="8" t="s">
        <v>51</v>
      </c>
      <c r="C13" s="20"/>
      <c r="D13" s="21" cm="1" t="str">
        <f t="array" ref="D13">IFERROR(_xlfn.LET(_xlpm.a,'F2-1 True or False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:$E$2),"✔ CLEAR","✘ TRY AGAIN"))),"✘ TRY AGAIN")</f>
        <v/>
      </c>
      <c r="E13" s="22"/>
      <c r="F13" s="23" cm="1" t="str">
        <f t="array" ref="F13">IF(E13="Show hint",Key!$B$2,"")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55</v>
      </c>
      <c r="B14" s="8" t="s">
        <v>56</v>
      </c>
      <c r="C14" s="20"/>
      <c r="D14" s="21" cm="1" t="str">
        <f t="array" ref="D14">IFERROR(_xlfn.LET(_xlpm.a,'F2-1 True or False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:$E$3),"✔ CLEAR","✘ TRY AGAIN"))),"✘ TRY AGAIN")</f>
        <v/>
      </c>
      <c r="E14" s="22"/>
      <c r="F14" s="23" cm="1" t="str">
        <f t="array" ref="F14">IF(E14="Show hint",Key!$B$3,"")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60</v>
      </c>
      <c r="B15" s="8" t="s">
        <v>61</v>
      </c>
      <c r="C15" s="20"/>
      <c r="D15" s="21" cm="1" t="str">
        <f t="array" ref="D15">IFERROR(_xlfn.LET(_xlpm.a,'F2-1 True or False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:$E$4),"✔ CLEAR","✘ TRY AGAIN"))),"✘ TRY AGAIN")</f>
        <v/>
      </c>
      <c r="E15" s="22"/>
      <c r="F15" s="23" cm="1" t="str">
        <f t="array" ref="F15">IF(E15="Show hint",Key!$B$4,"")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65</v>
      </c>
      <c r="B16" s="8" t="s">
        <v>66</v>
      </c>
      <c r="C16" s="20"/>
      <c r="D16" s="21" cm="1" t="str">
        <f t="array" ref="D16">IFERROR(_xlfn.LET(_xlpm.a,'F2-1 True or False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:$E$5),"✔ CLEAR","✘ TRY AGAIN"))),"✘ TRY AGAIN")</f>
        <v/>
      </c>
      <c r="E16" s="22"/>
      <c r="F16" s="23" cm="1" t="str">
        <f t="array" ref="F16">IF(E16="Show hint",Key!$B$5,"")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70</v>
      </c>
      <c r="B17" s="8" t="s">
        <v>71</v>
      </c>
      <c r="C17" s="20"/>
      <c r="D17" s="21" cm="1" t="str">
        <f t="array" ref="D17">IFERROR(_xlfn.LET(_xlpm.a,'F2-1 True or False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:$E$6),"✔ CLEAR","✘ TRY AGAIN"))),"✘ TRY AGAIN")</f>
        <v/>
      </c>
      <c r="E17" s="22"/>
      <c r="F17" s="23" cm="1" t="str">
        <f t="array" ref="F17">IF(E17="Show hint",Key!$B$6,"")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75</v>
      </c>
      <c r="B18" s="8" t="s">
        <v>76</v>
      </c>
      <c r="C18" s="20"/>
      <c r="D18" s="21" cm="1" t="str">
        <f t="array" ref="D18">IFERROR(_xlfn.LET(_xlpm.a,'F2-1 True or False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:$E$7),"✔ CLEAR","✘ TRY AGAIN"))),"✘ TRY AGAIN")</f>
        <v/>
      </c>
      <c r="E18" s="22"/>
      <c r="F18" s="23" cm="1" t="str">
        <f t="array" ref="F18">IF(E18="Show hint",Key!$B$7,"")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80</v>
      </c>
      <c r="B19" s="8" t="s">
        <v>81</v>
      </c>
      <c r="C19" s="20"/>
      <c r="D19" s="21" cm="1" t="str">
        <f t="array" ref="D19">IFERROR(_xlfn.LET(_xlpm.a,'F2-1 True or False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:$E$8),"✔ CLEAR","✘ TRY AGAIN"))),"✘ TRY AGAIN")</f>
        <v/>
      </c>
      <c r="E19" s="22"/>
      <c r="F19" s="23" cm="1" t="str">
        <f t="array" ref="F19">IF(E19="Show hint",Key!$B$8,"")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85</v>
      </c>
      <c r="B20" s="8" t="s">
        <v>86</v>
      </c>
      <c r="C20" s="20"/>
      <c r="D20" s="21" cm="1" t="str">
        <f t="array" ref="D20">IFERROR(_xlfn.LET(_xlpm.a,'F2-1 True or False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:$E$9),"✔ CLEAR","✘ TRY AGAIN"))),"✘ TRY AGAIN")</f>
        <v/>
      </c>
      <c r="E20" s="22"/>
      <c r="F20" s="23" cm="1" t="str">
        <f t="array" ref="F20">IF(E20="Show hint",Key!$B$9,"")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94</v>
      </c>
      <c r="B21" s="8" t="s">
        <v>95</v>
      </c>
      <c r="C21" s="20"/>
      <c r="D21" s="21" cm="1" t="str">
        <f t="array" ref="D21">IFERROR(_xlfn.LET(_xlpm.a,'F2-1 True or False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:$I$10),"✔ CLEAR","✘ TRY AGAIN"))),"✘ TRY AGAIN")</f>
        <v/>
      </c>
      <c r="E21" s="22"/>
      <c r="F21" s="23" cm="1" t="str">
        <f t="array" ref="F21">IF(E21="Show hint",Key!$B$10,"")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108</v>
      </c>
      <c r="B22" s="8" t="s">
        <v>109</v>
      </c>
      <c r="C22" s="20"/>
      <c r="D22" s="21" cm="1" t="str">
        <f t="array" ref="D22">IFERROR(_xlfn.LET(_xlpm.a,'F2-1 True or False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:$N$11),"✔ CLEAR","✘ TRY AGAIN"))),"✘ TRY AGAIN")</f>
        <v/>
      </c>
      <c r="E22" s="22"/>
      <c r="F22" s="23" cm="1" t="str">
        <f t="array" ref="F22">IF(E22="Show hint",Key!$B$11,"")</f>
        <v/>
      </c>
      <c r="G22" s="24" cm="1">
        <f t="array" ref="G22">IF(LEFT(D22,1)="✔",IF(E22="Show hint",5,10),0)</f>
        <v>0</v>
      </c>
    </row>
    <row r="24" spans="1:7" ht="22" customHeight="1">
      <c r="A24" s="4" t="s">
        <v>110</v>
      </c>
      <c r="B24" s="4"/>
      <c r="C24" s="4"/>
      <c r="D24" s="4"/>
      <c r="E24" s="4"/>
      <c r="F24" s="4"/>
      <c r="G24" s="4"/>
    </row>
    <row r="25" spans="1:7">
      <c r="A25" s="6" t="s">
        <v>29</v>
      </c>
      <c r="B25" s="6" t="s">
        <v>42</v>
      </c>
      <c r="C25" s="6" t="s">
        <v>43</v>
      </c>
      <c r="D25" s="6" t="s">
        <v>44</v>
      </c>
      <c r="E25" s="6" t="s">
        <v>45</v>
      </c>
      <c r="F25" s="6" t="s">
        <v>1</v>
      </c>
      <c r="G25" s="6" t="s">
        <v>46</v>
      </c>
    </row>
    <row r="26" spans="1:7" ht="35.5" customHeight="1">
      <c r="A26" s="18" t="s">
        <v>114</v>
      </c>
      <c r="B26" s="8" t="s">
        <v>115</v>
      </c>
      <c r="C26" s="20"/>
      <c r="D26" s="21" cm="1" t="str">
        <f t="array" ref="D26">IFERROR(IF('F2-1 True or False'!$C$26&amp;""="","",IF('F2-1 True or False'!$C$26&amp;""=Key!$C$12&amp;"","✔ CLEAR","✘ TRY AGAIN")),"✘ TRY AGAIN")</f>
        <v/>
      </c>
      <c r="E26" s="22"/>
      <c r="F26" s="23" cm="1" t="str">
        <f t="array" ref="F26">IF(E26="Show hint",Key!$B$12,"")</f>
        <v/>
      </c>
      <c r="G26" s="24" cm="1">
        <f t="array" ref="G26">IF(LEFT(D26,1)="✔",IF(E26="Show hint",5,10),0)</f>
        <v>0</v>
      </c>
    </row>
    <row r="27" spans="1:7" ht="19.75" customHeight="1">
      <c r="A27" s="18" t="s">
        <v>120</v>
      </c>
      <c r="B27" s="8" t="s">
        <v>121</v>
      </c>
      <c r="C27" s="20"/>
      <c r="D27" s="21" cm="1" t="str">
        <f t="array" ref="D27">IFERROR(IF('F2-1 True or False'!$C$27&amp;""="","",IF('F2-1 True or False'!$C$27&amp;""=Key!$C$13&amp;"","✔ CLEAR","✘ TRY AGAIN")),"✘ TRY AGAIN")</f>
        <v/>
      </c>
      <c r="E27" s="22"/>
      <c r="F27" s="23" cm="1" t="str">
        <f t="array" ref="F27">IF(E27="Show hint",Key!$B$13,"")</f>
        <v/>
      </c>
      <c r="G27" s="24" cm="1">
        <f t="array" ref="G27">IF(LEFT(D27,1)="✔",IF(E27="Show hint",5,10),0)</f>
        <v>0</v>
      </c>
    </row>
    <row r="28" spans="1:7" ht="19.75" customHeight="1">
      <c r="A28" s="18" t="s">
        <v>125</v>
      </c>
      <c r="B28" s="8" t="s">
        <v>126</v>
      </c>
      <c r="C28" s="20"/>
      <c r="D28" s="21" cm="1" t="str">
        <f t="array" ref="D28">IFERROR(IF('F2-1 True or False'!$C$28&amp;""="","",IF('F2-1 True or False'!$C$28&amp;""=Key!$C$14&amp;"","✔ CLEAR","✘ TRY AGAIN")),"✘ TRY AGAIN")</f>
        <v/>
      </c>
      <c r="E28" s="22"/>
      <c r="F28" s="23" cm="1" t="str">
        <f t="array" ref="F28">IF(E28="Show hint",Key!$B$14,"")</f>
        <v/>
      </c>
      <c r="G28" s="24" cm="1">
        <f t="array" ref="G28">IF(LEFT(D28,1)="✔",IF(E28="Show hint",5,10),0)</f>
        <v>0</v>
      </c>
    </row>
    <row r="30" spans="1:7" ht="22" customHeight="1">
      <c r="A30" s="4" t="s">
        <v>127</v>
      </c>
      <c r="B30" s="4"/>
      <c r="C30" s="4"/>
      <c r="D30" s="4"/>
      <c r="E30" s="4"/>
      <c r="F30" s="4"/>
      <c r="G30" s="4"/>
    </row>
    <row r="31" spans="1:7">
      <c r="B31" s="11" t="s">
        <v>128</v>
      </c>
    </row>
    <row r="32" spans="1:7">
      <c r="A32" s="6" t="s">
        <v>29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1</v>
      </c>
      <c r="G32" s="6" t="s">
        <v>46</v>
      </c>
    </row>
    <row r="33" spans="1:7" ht="35.5" customHeight="1">
      <c r="A33" s="18" t="s">
        <v>130</v>
      </c>
      <c r="B33" s="8" t="s">
        <v>115</v>
      </c>
      <c r="C33" s="20"/>
      <c r="D33" s="21" cm="1" t="str">
        <f t="array" ref="D33">IFERROR(_xlfn.LET(_xlpm.a,'F2-1 True or False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$15:$E$15),"✔ CLEAR","✘ TRY AGAIN"))),"✘ TRY AGAIN")</f>
        <v/>
      </c>
      <c r="E33" s="22"/>
      <c r="F33" s="23" cm="1" t="str">
        <f t="array" ref="F33">IF(E33="Show hint",Key!$B$15,"")</f>
        <v/>
      </c>
      <c r="G33" s="24" cm="1">
        <f t="array" ref="G33">IF(LEFT(D33,1)="✔",IF(E33="Show hint",5,10),0)</f>
        <v>0</v>
      </c>
    </row>
    <row r="34" spans="1:7" ht="19.75" customHeight="1">
      <c r="A34" s="18" t="s">
        <v>132</v>
      </c>
      <c r="B34" s="8" t="s">
        <v>121</v>
      </c>
      <c r="C34" s="20"/>
      <c r="D34" s="21" cm="1" t="str">
        <f t="array" ref="D34">IFERROR(_xlfn.LET(_xlpm.a,'F2-1 True or False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:$E$16),"✔ CLEAR","✘ TRY AGAIN"))),"✘ TRY AGAIN")</f>
        <v/>
      </c>
      <c r="E34" s="22"/>
      <c r="F34" s="23" cm="1" t="str">
        <f t="array" ref="F34">IF(E34="Show hint",Key!$B$16,"")</f>
        <v/>
      </c>
      <c r="G34" s="24" cm="1">
        <f t="array" ref="G34">IF(LEFT(D34,1)="✔",IF(E34="Show hint",5,10),0)</f>
        <v>0</v>
      </c>
    </row>
    <row r="35" spans="1:7" ht="19.75" customHeight="1">
      <c r="A35" s="18" t="s">
        <v>138</v>
      </c>
      <c r="B35" s="8" t="s">
        <v>126</v>
      </c>
      <c r="C35" s="20"/>
      <c r="D35" s="21" cm="1" t="str">
        <f t="array" ref="D35">IFERROR(_xlfn.LET(_xlpm.a,'F2-1 True or False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:$H$17),"✔ CLEAR","✘ TRY AGAIN"))),"✘ TRY AGAIN")</f>
        <v/>
      </c>
      <c r="E35" s="22"/>
      <c r="F35" s="23" cm="1" t="str">
        <f t="array" ref="F35">IF(E35="Show hint",Key!$B$17,"")</f>
        <v/>
      </c>
      <c r="G35" s="24" cm="1">
        <f t="array" ref="G35">IF(LEFT(D35,1)="✔",IF(E35="Show hint",5,10),0)</f>
        <v>0</v>
      </c>
    </row>
    <row r="36" spans="1:7" ht="51.25" customHeight="1">
      <c r="A36" s="18" t="s">
        <v>141</v>
      </c>
      <c r="B36" s="8" t="s">
        <v>142</v>
      </c>
      <c r="C36" s="11" t="s">
        <v>143</v>
      </c>
      <c r="D36" s="21" cm="1" t="str">
        <f t="array" ref="D36">IF(ISBLANK('F2-1 Arena'!$G$6),"",IF(NOT(_xlfn.ISFORMULA('F2-1 Arena'!$G$6)),"✘ That's a typed value · enter a formula",IF(ISERROR('F2-1 Arena'!$G$6),"✘ Your formula returns "&amp;IFERROR(CHOOSE(ERROR.TYPE('F2-1 Arena'!$G$6),"#NULL!","#DIV/0!","#VALUE!","#REF!","#NAME?","#NUM!","#N/A","#GETTING_DATA","#SPILL!","#CONNECT!","#BLOCKED!","#UNKNOWN!","#FIELD!","#CALC!"),"an error"),IF(NOT(AND(IFERROR(AND(ISLOGICAL('F2-1 Arena'!$G$6),'F2-1 Arena'!$G$6=(Key!$C$18="TRUE")),FALSE))),"✘ TRY AGAIN","✔ CLEAR"))))</f>
        <v/>
      </c>
      <c r="E36" s="22"/>
      <c r="F36" s="23" cm="1" t="str">
        <f t="array" ref="F36">IF(E36="Show hint",Key!$B$18,"")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146</v>
      </c>
      <c r="B37" s="8" t="s">
        <v>147</v>
      </c>
      <c r="C37" s="11" t="s">
        <v>148</v>
      </c>
      <c r="D37" s="21" cm="1" t="str">
        <f t="array" ref="D37">IF(ISBLANK('F2-1 Arena'!$G$7),"",IF(NOT(_xlfn.ISFORMULA('F2-1 Arena'!$G$7)),"✘ That's a typed value · enter a formula",IF(ISERROR('F2-1 Arena'!$G$7),"✘ Your formula returns "&amp;IFERROR(CHOOSE(ERROR.TYPE('F2-1 Arena'!$G$7),"#NULL!","#DIV/0!","#VALUE!","#REF!","#NAME?","#NUM!","#N/A","#GETTING_DATA","#SPILL!","#CONNECT!","#BLOCKED!","#UNKNOWN!","#FIELD!","#CALC!"),"an error"),IF(NOT(AND(IFERROR(AND(ISLOGICAL('F2-1 Arena'!$G$7),'F2-1 Arena'!$G$7=(Key!$C$19="TRUE")),FALSE))),"✘ TRY AGAIN",IF(ISNUMBER(FIND("&lt;&gt;",_xlfn.FORMULATEXT('F2-1 Arena'!$G$7))),"✔ CLEAR","✘ CLOSE · your formula needs &lt;&gt;")))))</f>
        <v/>
      </c>
      <c r="E37" s="22"/>
      <c r="F37" s="23" cm="1" t="str">
        <f t="array" ref="F37">IF(E37="Show hint",Key!$B$19,"")</f>
        <v/>
      </c>
      <c r="G37" s="24" cm="1">
        <f t="array" ref="G37">IF(LEFT(D37,1)="✔",IF(E37="Show hint",5,10),0)</f>
        <v>0</v>
      </c>
    </row>
    <row r="38" spans="1:7" ht="51.25" customHeight="1">
      <c r="A38" s="18" t="s">
        <v>151</v>
      </c>
      <c r="B38" s="8" t="s">
        <v>152</v>
      </c>
      <c r="C38" s="11" t="s">
        <v>153</v>
      </c>
      <c r="D38" s="21" cm="1" t="str">
        <f t="array" ref="D38">IF(ISBLANK('F2-1 Arena'!$G$8),"",IF(NOT(_xlfn.ISFORMULA('F2-1 Arena'!$G$8)),"✘ That's a typed value · enter a formula",IF(ISERROR('F2-1 Arena'!$G$8),"✘ Your formula returns "&amp;IFERROR(CHOOSE(ERROR.TYPE('F2-1 Arena'!$G$8),"#NULL!","#DIV/0!","#VALUE!","#REF!","#NAME?","#NUM!","#N/A","#GETTING_DATA","#SPILL!","#CONNECT!","#BLOCKED!","#UNKNOWN!","#FIELD!","#CALC!"),"an error"),IF(NOT(AND(IFERROR(AND(ISLOGICAL('F2-1 Arena'!$G$8),'F2-1 Arena'!$G$8=(Key!$C$20="TRUE")),FALSE))),"✘ TRY AGAIN","✔ CLEAR"))))</f>
        <v/>
      </c>
      <c r="E38" s="22"/>
      <c r="F38" s="23" cm="1" t="str">
        <f t="array" ref="F38">IF(E38="Show hint",Key!$B$20,"")</f>
        <v/>
      </c>
      <c r="G38" s="24" cm="1">
        <f t="array" ref="G38">IF(LEFT(D38,1)="✔",IF(E38="Show hint",5,10),0)</f>
        <v>0</v>
      </c>
    </row>
  </sheetData>
  <sheetProtection sheet="1" objects="1" scenarios="1" formatColumns="0" formatRows="0"/>
  <conditionalFormatting sqref="D13:D38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35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Key!$E$12:$H$12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Key!$E$13:$H$13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Key!$E$14:$H$14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type="list" allowBlank="1" showInputMessage="1" showErrorMessage="1" promptTitle="Need a hint?" prompt="Pick 'Show hint' (Alt+Down). This question then gives 5 XP instead of 10." sqref="E38">
      <formula1>"Show hint"</formula1>
    </dataValidation>
  </dataValidations>
  <hyperlinks>
    <hyperlink ref="B31" location="'F2-1 Arena'!A1" display="▶ Open F2-1 Arena (or press Ctrl+PgDn)"/>
    <hyperlink ref="C36" location="'F2-1 Arena'!G6" tooltip="Go to F2-1 Arena, cell G6" display="▶ ARENA C4 (cell G6)"/>
    <hyperlink ref="C37" location="'F2-1 Arena'!G7" tooltip="Go to F2-1 Arena, cell G7" display="▶ ARENA C5 (cell G7)"/>
    <hyperlink ref="C38" location="'F2-1 Arena'!G8" tooltip="Go to F2-1 Arena, cell G8" display="▶ ARENA C6 (cell G8)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1" width="14.7109375" customWidth="1"/>
    <col min="2" max="5" width="13.7109375" customWidth="1"/>
    <col min="6" max="7" width="14.7109375" customWidth="1"/>
    <col min="8" max="26" width="13.7109375" customWidth="1"/>
  </cols>
  <sheetData>
    <row r="1" spans="1:7">
      <c r="A1" s="1" t="s">
        <v>4</v>
      </c>
    </row>
    <row r="2" spans="1:7">
      <c r="A2" s="3" t="s">
        <v>5</v>
      </c>
    </row>
    <row r="3" spans="1:7">
      <c r="A3" s="25" t="s">
        <v>6</v>
      </c>
      <c r="B3" s="26" t="s">
        <v>7</v>
      </c>
      <c r="D3" s="11" t="s">
        <v>8</v>
      </c>
    </row>
    <row r="5" spans="1:7">
      <c r="B5" s="27" t="s">
        <v>9</v>
      </c>
      <c r="C5" s="27" t="s">
        <v>10</v>
      </c>
      <c r="D5" s="27" t="s">
        <v>11</v>
      </c>
      <c r="E5" s="27" t="s">
        <v>12</v>
      </c>
    </row>
    <row r="6" spans="1:7">
      <c r="B6" s="5" t="s">
        <v>13</v>
      </c>
      <c r="C6" s="5">
        <v>92</v>
      </c>
      <c r="D6" s="5">
        <v>17</v>
      </c>
      <c r="E6" s="5" t="s">
        <v>14</v>
      </c>
      <c r="F6" s="7" t="s">
        <v>25</v>
      </c>
      <c r="G6" s="28"/>
    </row>
    <row r="7" spans="1:7">
      <c r="B7" s="5" t="s">
        <v>15</v>
      </c>
      <c r="C7" s="5">
        <v>48</v>
      </c>
      <c r="D7" s="5">
        <v>22</v>
      </c>
      <c r="E7" s="5" t="s">
        <v>16</v>
      </c>
      <c r="F7" s="7" t="s">
        <v>26</v>
      </c>
      <c r="G7" s="28"/>
    </row>
    <row r="8" spans="1:7">
      <c r="B8" s="5" t="s">
        <v>17</v>
      </c>
      <c r="C8" s="5">
        <v>75</v>
      </c>
      <c r="D8" s="5">
        <v>19</v>
      </c>
      <c r="E8" s="5" t="s">
        <v>16</v>
      </c>
      <c r="F8" s="7" t="s">
        <v>27</v>
      </c>
      <c r="G8" s="28"/>
    </row>
    <row r="9" spans="1:7">
      <c r="B9" s="5" t="s">
        <v>18</v>
      </c>
      <c r="C9" s="5">
        <v>60</v>
      </c>
      <c r="D9" s="5">
        <v>16</v>
      </c>
      <c r="E9" s="5" t="s">
        <v>14</v>
      </c>
    </row>
    <row r="10" spans="1:7">
      <c r="B10" s="5" t="s">
        <v>19</v>
      </c>
      <c r="C10" s="5">
        <v>88</v>
      </c>
      <c r="D10" s="5">
        <v>30</v>
      </c>
      <c r="E10" s="5" t="s">
        <v>16</v>
      </c>
    </row>
    <row r="11" spans="1:7">
      <c r="B11" s="5" t="s">
        <v>20</v>
      </c>
      <c r="C11" s="5">
        <v>50</v>
      </c>
      <c r="D11" s="5">
        <v>18</v>
      </c>
      <c r="E11" s="5" t="s">
        <v>16</v>
      </c>
    </row>
    <row r="12" spans="1:7">
      <c r="B12" s="5" t="s">
        <v>21</v>
      </c>
      <c r="C12" s="5">
        <v>39</v>
      </c>
      <c r="D12" s="5">
        <v>25</v>
      </c>
      <c r="E12" s="5" t="s">
        <v>14</v>
      </c>
    </row>
    <row r="13" spans="1:7">
      <c r="B13" s="5" t="s">
        <v>22</v>
      </c>
      <c r="C13" s="5">
        <v>81</v>
      </c>
      <c r="D13" s="5">
        <v>41</v>
      </c>
      <c r="E13" s="5" t="s">
        <v>16</v>
      </c>
    </row>
    <row r="14" spans="1:7">
      <c r="B14" s="5" t="s">
        <v>23</v>
      </c>
      <c r="C14" s="5">
        <v>99</v>
      </c>
      <c r="D14" s="5">
        <v>15</v>
      </c>
      <c r="E14" s="5" t="s">
        <v>14</v>
      </c>
    </row>
    <row r="15" spans="1:7">
      <c r="B15" s="5" t="s">
        <v>24</v>
      </c>
      <c r="C15" s="5">
        <v>70</v>
      </c>
      <c r="D15" s="5">
        <v>20</v>
      </c>
      <c r="E15" s="5" t="s">
        <v>14</v>
      </c>
    </row>
  </sheetData>
  <hyperlinks>
    <hyperlink ref="D3" location="'F2-1 True or False'!A1" display="◀ Back to F2-1 True or Fals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235</v>
      </c>
      <c r="B1" s="2"/>
      <c r="C1" s="2"/>
      <c r="D1" s="2"/>
      <c r="E1" s="2"/>
      <c r="F1" s="2"/>
      <c r="G1" s="2"/>
    </row>
    <row r="2" spans="1:7">
      <c r="A2" s="3" t="s">
        <v>236</v>
      </c>
    </row>
    <row r="3" spans="1:7" ht="26" customHeight="1">
      <c r="A3" s="14" cm="1" t="str">
        <f t="array" ref="A3">"SCORE "&amp;TEXT(SUM($G$13:$G$38),"0000")&amp;" / 0190"</f>
        <v>SCORE 0000 / 0190</v>
      </c>
      <c r="C3" s="15" cm="1" t="str">
        <f t="array" ref="C3">IF(SUM($G$13:$G$38)&gt;=190,"★★★",IF(SUM($G$13:$G$38)&gt;=190*0.8,"★★☆",IF(SUM($G$13:$G$38)&gt;=190*0.5,"★☆☆","☆☆☆")))</f>
        <v>☆☆☆</v>
      </c>
      <c r="D3" s="16" cm="1" t="str">
        <f t="array" ref="D3">REPT("█",ROUND(10*SUM($G$13:$G$38)/190,0))&amp;REPT("░",10-ROUND(10*SUM($G$13:$G$38)/190,0))&amp;"  "&amp;TEXT(SUM($G$13:$G$38)/190,"0%")</f>
        <v>░░░░░░░░░░  0%</v>
      </c>
      <c r="F3" s="17" cm="1" t="str">
        <f t="array" ref="F3">IF(SUM($G$13:$G$38)&gt;=190*0.5,"STAGE CLEAR! ▶ Next: F2-3 Combo Moves","")</f>
        <v/>
      </c>
    </row>
    <row r="5" spans="1:7" ht="22" customHeight="1">
      <c r="A5" s="4" t="s">
        <v>28</v>
      </c>
      <c r="B5" s="4"/>
      <c r="C5" s="4"/>
      <c r="D5" s="4"/>
      <c r="E5" s="4"/>
      <c r="F5" s="4"/>
      <c r="G5" s="4"/>
    </row>
    <row r="6" spans="1:7">
      <c r="A6" s="6" t="s">
        <v>29</v>
      </c>
      <c r="B6" s="6" t="s">
        <v>30</v>
      </c>
      <c r="C6" s="6" t="s">
        <v>31</v>
      </c>
      <c r="D6" s="6"/>
      <c r="E6" s="6"/>
      <c r="F6" s="6"/>
      <c r="G6" s="6"/>
    </row>
    <row r="7" spans="1:7" ht="51.25" customHeight="1">
      <c r="A7" s="18" t="s">
        <v>32</v>
      </c>
      <c r="B7" s="8" t="s">
        <v>162</v>
      </c>
      <c r="C7" s="19" t="s">
        <v>163</v>
      </c>
    </row>
    <row r="8" spans="1:7" ht="67" customHeight="1">
      <c r="A8" s="18" t="s">
        <v>35</v>
      </c>
      <c r="B8" s="8" t="s">
        <v>164</v>
      </c>
      <c r="C8" s="19" t="s">
        <v>118</v>
      </c>
    </row>
    <row r="9" spans="1:7" ht="67" customHeight="1">
      <c r="A9" s="18" t="s">
        <v>38</v>
      </c>
      <c r="B9" s="8" t="s">
        <v>165</v>
      </c>
      <c r="C9" s="19" t="s">
        <v>124</v>
      </c>
    </row>
    <row r="11" spans="1:7" ht="22" customHeight="1">
      <c r="A11" s="4" t="s">
        <v>41</v>
      </c>
      <c r="B11" s="4"/>
      <c r="C11" s="4"/>
      <c r="D11" s="4"/>
      <c r="E11" s="4"/>
      <c r="F11" s="4"/>
      <c r="G11" s="4"/>
    </row>
    <row r="12" spans="1:7">
      <c r="A12" s="6" t="s">
        <v>29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1</v>
      </c>
      <c r="G12" s="6" t="s">
        <v>46</v>
      </c>
    </row>
    <row r="13" spans="1:7" ht="35.5" customHeight="1">
      <c r="A13" s="18" t="s">
        <v>50</v>
      </c>
      <c r="B13" s="8" t="s">
        <v>167</v>
      </c>
      <c r="C13" s="20"/>
      <c r="D13" s="21" cm="1" t="str">
        <f t="array" ref="D13">IFERROR(_xlfn.LET(_xlpm.a,'F2-2 Fork in the Road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$21:$E$21),"✔ CLEAR","✘ TRY AGAIN"))),"✘ TRY AGAIN")</f>
        <v/>
      </c>
      <c r="E13" s="22"/>
      <c r="F13" s="23" cm="1" t="str">
        <f t="array" ref="F13">IF(E13="Show hint",Key!$B$21,"")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55</v>
      </c>
      <c r="B14" s="8" t="s">
        <v>169</v>
      </c>
      <c r="C14" s="20"/>
      <c r="D14" s="21" cm="1" t="str">
        <f t="array" ref="D14">IFERROR(_xlfn.LET(_xlpm.a,'F2-2 Fork in the Road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$22:$E$22),"✔ CLEAR","✘ TRY AGAIN"))),"✘ TRY AGAIN")</f>
        <v/>
      </c>
      <c r="E14" s="22"/>
      <c r="F14" s="23" cm="1" t="str">
        <f t="array" ref="F14">IF(E14="Show hint",Key!$B$22,"")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60</v>
      </c>
      <c r="B15" s="8" t="s">
        <v>171</v>
      </c>
      <c r="C15" s="20"/>
      <c r="D15" s="21" cm="1" t="str">
        <f t="array" ref="D15">IFERROR(_xlfn.LET(_xlpm.a,'F2-2 Fork in the Road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$23:$H$23),"✔ CLEAR","✘ TRY AGAIN"))),"✘ TRY AGAIN")</f>
        <v/>
      </c>
      <c r="E15" s="22"/>
      <c r="F15" s="23" cm="1" t="str">
        <f t="array" ref="F15">IF(E15="Show hint",Key!$B$23,"")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65</v>
      </c>
      <c r="B16" s="8" t="s">
        <v>175</v>
      </c>
      <c r="C16" s="20"/>
      <c r="D16" s="21" cm="1" t="str">
        <f t="array" ref="D16">IFERROR(_xlfn.LET(_xlpm.a,'F2-2 Fork in the Road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$24:$E$24),"✔ CLEAR","✘ TRY AGAIN"))),"✘ TRY AGAIN")</f>
        <v/>
      </c>
      <c r="E16" s="22"/>
      <c r="F16" s="23" cm="1" t="str">
        <f t="array" ref="F16">IF(E16="Show hint",Key!$B$24,"")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70</v>
      </c>
      <c r="B17" s="8" t="s">
        <v>179</v>
      </c>
      <c r="C17" s="20"/>
      <c r="D17" s="21" cm="1" t="str">
        <f t="array" ref="D17">IFERROR(_xlfn.LET(_xlpm.a,'F2-2 Fork in the Road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$25:$E$25),"✔ CLEAR","✘ TRY AGAIN"))),"✘ TRY AGAIN")</f>
        <v/>
      </c>
      <c r="E17" s="22"/>
      <c r="F17" s="23" cm="1" t="str">
        <f t="array" ref="F17">IF(E17="Show hint",Key!$B$25,"")</f>
        <v/>
      </c>
      <c r="G17" s="24" cm="1">
        <f t="array" ref="G17">IF(LEFT(D17,1)="✔",IF(E17="Show hint",5,10),0)</f>
        <v>0</v>
      </c>
    </row>
    <row r="18" spans="1:7" ht="19.75" customHeight="1">
      <c r="A18" s="18" t="s">
        <v>75</v>
      </c>
      <c r="B18" s="8" t="s">
        <v>183</v>
      </c>
      <c r="C18" s="20"/>
      <c r="D18" s="21" cm="1" t="str">
        <f t="array" ref="D18">IFERROR(_xlfn.LET(_xlpm.a,'F2-2 Fork in the Road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$26:$E$26),"✔ CLEAR","✘ TRY AGAIN"))),"✘ TRY AGAIN")</f>
        <v/>
      </c>
      <c r="E18" s="22"/>
      <c r="F18" s="23" cm="1" t="str">
        <f t="array" ref="F18">IF(E18="Show hint",Key!$B$26,"")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80</v>
      </c>
      <c r="B19" s="8" t="s">
        <v>188</v>
      </c>
      <c r="C19" s="20"/>
      <c r="D19" s="21" cm="1" t="str">
        <f t="array" ref="D19">IFERROR(_xlfn.LET(_xlpm.a,'F2-2 Fork in the Road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$27:$F$27),"✔ CLEAR","✘ TRY AGAIN"))),"✘ TRY AGAIN")</f>
        <v/>
      </c>
      <c r="E19" s="22"/>
      <c r="F19" s="23" cm="1" t="str">
        <f t="array" ref="F19">IF(E19="Show hint",Key!$B$27,"")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85</v>
      </c>
      <c r="B20" s="8" t="s">
        <v>192</v>
      </c>
      <c r="C20" s="20"/>
      <c r="D20" s="21" cm="1" t="str">
        <f t="array" ref="D20">IFERROR(_xlfn.LET(_xlpm.a,'F2-2 Fork in the Road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$28:$E$28),"✔ CLEAR","✘ TRY AGAIN"))),"✘ TRY AGAIN")</f>
        <v/>
      </c>
      <c r="E20" s="22"/>
      <c r="F20" s="23" cm="1" t="str">
        <f t="array" ref="F20">IF(E20="Show hint",Key!$B$28,"")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94</v>
      </c>
      <c r="B21" s="8" t="s">
        <v>196</v>
      </c>
      <c r="C21" s="20"/>
      <c r="D21" s="21" cm="1" t="str">
        <f t="array" ref="D21">IFERROR(_xlfn.LET(_xlpm.a,'F2-2 Fork in the Road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$29:$E$29),"✔ CLEAR","✘ TRY AGAIN"))),"✘ TRY AGAIN")</f>
        <v/>
      </c>
      <c r="E21" s="22"/>
      <c r="F21" s="23" cm="1" t="str">
        <f t="array" ref="F21">IF(E21="Show hint",Key!$B$29,"")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108</v>
      </c>
      <c r="B22" s="8" t="s">
        <v>200</v>
      </c>
      <c r="C22" s="20"/>
      <c r="D22" s="21" cm="1" t="str">
        <f t="array" ref="D22">IFERROR(_xlfn.LET(_xlpm.a,'F2-2 Fork in the Road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$30:$E$30),"✔ CLEAR","✘ TRY AGAIN"))),"✘ TRY AGAIN")</f>
        <v/>
      </c>
      <c r="E22" s="22"/>
      <c r="F22" s="23" cm="1" t="str">
        <f t="array" ref="F22">IF(E22="Show hint",Key!$B$30,"")</f>
        <v/>
      </c>
      <c r="G22" s="24" cm="1">
        <f t="array" ref="G22">IF(LEFT(D22,1)="✔",IF(E22="Show hint",5,10),0)</f>
        <v>0</v>
      </c>
    </row>
    <row r="24" spans="1:7" ht="22" customHeight="1">
      <c r="A24" s="4" t="s">
        <v>110</v>
      </c>
      <c r="B24" s="4"/>
      <c r="C24" s="4"/>
      <c r="D24" s="4"/>
      <c r="E24" s="4"/>
      <c r="F24" s="4"/>
      <c r="G24" s="4"/>
    </row>
    <row r="25" spans="1:7">
      <c r="A25" s="6" t="s">
        <v>29</v>
      </c>
      <c r="B25" s="6" t="s">
        <v>42</v>
      </c>
      <c r="C25" s="6" t="s">
        <v>43</v>
      </c>
      <c r="D25" s="6" t="s">
        <v>44</v>
      </c>
      <c r="E25" s="6" t="s">
        <v>45</v>
      </c>
      <c r="F25" s="6" t="s">
        <v>1</v>
      </c>
      <c r="G25" s="6" t="s">
        <v>46</v>
      </c>
    </row>
    <row r="26" spans="1:7" ht="35.5" customHeight="1">
      <c r="A26" s="18" t="s">
        <v>114</v>
      </c>
      <c r="B26" s="8" t="s">
        <v>206</v>
      </c>
      <c r="C26" s="20"/>
      <c r="D26" s="21" cm="1" t="str">
        <f t="array" ref="D26">IFERROR(IF('F2-2 Fork in the Road'!$C$26&amp;""="","",IF('F2-2 Fork in the Road'!$C$26&amp;""=Key!$C$31&amp;"","✔ CLEAR","✘ TRY AGAIN")),"✘ TRY AGAIN")</f>
        <v/>
      </c>
      <c r="E26" s="22"/>
      <c r="F26" s="23" cm="1" t="str">
        <f t="array" ref="F26">IF(E26="Show hint",Key!$B$31,"")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120</v>
      </c>
      <c r="B27" s="8" t="s">
        <v>209</v>
      </c>
      <c r="C27" s="20"/>
      <c r="D27" s="21" cm="1" t="str">
        <f t="array" ref="D27">IFERROR(IF('F2-2 Fork in the Road'!$C$27&amp;""="","",IF('F2-2 Fork in the Road'!$C$27&amp;""=Key!$C$32&amp;"","✔ CLEAR","✘ TRY AGAIN")),"✘ TRY AGAIN")</f>
        <v/>
      </c>
      <c r="E27" s="22"/>
      <c r="F27" s="23" cm="1" t="str">
        <f t="array" ref="F27">IF(E27="Show hint",Key!$B$32,"")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125</v>
      </c>
      <c r="B28" s="8" t="s">
        <v>212</v>
      </c>
      <c r="C28" s="20"/>
      <c r="D28" s="21" cm="1" t="str">
        <f t="array" ref="D28">IFERROR(IF('F2-2 Fork in the Road'!$C$28&amp;""="","",IF('F2-2 Fork in the Road'!$C$28&amp;""=Key!$C$33&amp;"","✔ CLEAR","✘ TRY AGAIN")),"✘ TRY AGAIN")</f>
        <v/>
      </c>
      <c r="E28" s="22"/>
      <c r="F28" s="23" cm="1" t="str">
        <f t="array" ref="F28">IF(E28="Show hint",Key!$B$33,"")</f>
        <v/>
      </c>
      <c r="G28" s="24" cm="1">
        <f t="array" ref="G28">IF(LEFT(D28,1)="✔",IF(E28="Show hint",5,10),0)</f>
        <v>0</v>
      </c>
    </row>
    <row r="30" spans="1:7" ht="22" customHeight="1">
      <c r="A30" s="4" t="s">
        <v>127</v>
      </c>
      <c r="B30" s="4"/>
      <c r="C30" s="4"/>
      <c r="D30" s="4"/>
      <c r="E30" s="4"/>
      <c r="F30" s="4"/>
      <c r="G30" s="4"/>
    </row>
    <row r="31" spans="1:7">
      <c r="B31" s="11" t="s">
        <v>213</v>
      </c>
    </row>
    <row r="32" spans="1:7">
      <c r="A32" s="6" t="s">
        <v>29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1</v>
      </c>
      <c r="G32" s="6" t="s">
        <v>46</v>
      </c>
    </row>
    <row r="33" spans="1:7" ht="35.5" customHeight="1">
      <c r="A33" s="18" t="s">
        <v>130</v>
      </c>
      <c r="B33" s="8" t="s">
        <v>206</v>
      </c>
      <c r="C33" s="20"/>
      <c r="D33" s="21" cm="1" t="str">
        <f t="array" ref="D33">IFERROR(_xlfn.LET(_xlpm.a,'F2-2 Fork in the Road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$34:$J$34),"✔ CLEAR","✘ TRY AGAIN"))),"✘ TRY AGAIN")</f>
        <v/>
      </c>
      <c r="E33" s="22"/>
      <c r="F33" s="23" cm="1" t="str">
        <f t="array" ref="F33">IF(E33="Show hint",Key!$B$34,"")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132</v>
      </c>
      <c r="B34" s="8" t="s">
        <v>209</v>
      </c>
      <c r="C34" s="20"/>
      <c r="D34" s="21" cm="1" t="str">
        <f t="array" ref="D34">IFERROR(_xlfn.LET(_xlpm.a,'F2-2 Fork in the Road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$35:$E$35),"✔ CLEAR","✘ TRY AGAIN"))),"✘ TRY AGAIN")</f>
        <v/>
      </c>
      <c r="E34" s="22"/>
      <c r="F34" s="23" cm="1" t="str">
        <f t="array" ref="F34">IF(E34="Show hint",Key!$B$35,"")</f>
        <v/>
      </c>
      <c r="G34" s="24" cm="1">
        <f t="array" ref="G34">IF(LEFT(D34,1)="✔",IF(E34="Show hint",5,10),0)</f>
        <v>0</v>
      </c>
    </row>
    <row r="35" spans="1:7" ht="35.5" customHeight="1">
      <c r="A35" s="18" t="s">
        <v>138</v>
      </c>
      <c r="B35" s="8" t="s">
        <v>212</v>
      </c>
      <c r="C35" s="20"/>
      <c r="D35" s="21" cm="1" t="str">
        <f t="array" ref="D35">IFERROR(_xlfn.LET(_xlpm.a,'F2-2 Fork in the Road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$36:$E$36),"✔ CLEAR","✘ TRY AGAIN"))),"✘ TRY AGAIN")</f>
        <v/>
      </c>
      <c r="E35" s="22"/>
      <c r="F35" s="23" cm="1" t="str">
        <f t="array" ref="F35">IF(E35="Show hint",Key!$B$36,"")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141</v>
      </c>
      <c r="B36" s="8" t="s">
        <v>225</v>
      </c>
      <c r="C36" s="11" t="s">
        <v>226</v>
      </c>
      <c r="D36" s="21" cm="1" t="str">
        <f t="array" ref="D36">IF(COUNTA('F2-2 Arena'!$F$6,'F2-2 Arena'!$F$7,'F2-2 Arena'!$F$8,'F2-2 Arena'!$F$9,'F2-2 Arena'!$F$10,'F2-2 Arena'!$F$11,'F2-2 Arena'!$F$12,'F2-2 Arena'!$F$13,'F2-2 Arena'!$F$14,'F2-2 Arena'!$F$15)=0,"",IF(OR(NOT(_xlfn.ISFORMULA('F2-2 Arena'!$F$6)),NOT(_xlfn.ISFORMULA('F2-2 Arena'!$F$7)),NOT(_xlfn.ISFORMULA('F2-2 Arena'!$F$8)),NOT(_xlfn.ISFORMULA('F2-2 Arena'!$F$9)),NOT(_xlfn.ISFORMULA('F2-2 Arena'!$F$10)),NOT(_xlfn.ISFORMULA('F2-2 Arena'!$F$11)),NOT(_xlfn.ISFORMULA('F2-2 Arena'!$F$12)),NOT(_xlfn.ISFORMULA('F2-2 Arena'!$F$13)),NOT(_xlfn.ISFORMULA('F2-2 Arena'!$F$14)),NOT(_xlfn.ISFORMULA('F2-2 Arena'!$F$15))),"✘ Some cells aren't formulas yet",IF(OR(ISERROR('F2-2 Arena'!$F$6),ISERROR('F2-2 Arena'!$F$7),ISERROR('F2-2 Arena'!$F$8),ISERROR('F2-2 Arena'!$F$9),ISERROR('F2-2 Arena'!$F$10),ISERROR('F2-2 Arena'!$F$11),ISERROR('F2-2 Arena'!$F$12),ISERROR('F2-2 Arena'!$F$13),ISERROR('F2-2 Arena'!$F$14),ISERROR('F2-2 Arena'!$F$15)),"✘ Some cells show an error",IF(NOT(AND(IFERROR(AND(ISTEXT('F2-2 Arena'!$F$6),'F2-2 Arena'!$F$6=Key!$E$37),FALSE),IFERROR(AND(ISTEXT('F2-2 Arena'!$F$7),'F2-2 Arena'!$F$7=Key!$F$37),FALSE),IFERROR(AND(ISTEXT('F2-2 Arena'!$F$8),'F2-2 Arena'!$F$8=Key!$G$37),FALSE),IFERROR(AND(ISTEXT('F2-2 Arena'!$F$9),'F2-2 Arena'!$F$9=Key!$H$37),FALSE),IFERROR(AND(ISTEXT('F2-2 Arena'!$F$10),'F2-2 Arena'!$F$10=Key!$I$37),FALSE),IFERROR(AND(ISTEXT('F2-2 Arena'!$F$11),'F2-2 Arena'!$F$11=Key!$J$37),FALSE),IFERROR(AND(ISTEXT('F2-2 Arena'!$F$12),'F2-2 Arena'!$F$12=Key!$K$37),FALSE),IFERROR(AND(ISTEXT('F2-2 Arena'!$F$13),'F2-2 Arena'!$F$13=Key!$L$37),FALSE),IFERROR(AND(ISTEXT('F2-2 Arena'!$F$14),'F2-2 Arena'!$F$14=Key!$M$37),FALSE),IFERROR(AND(ISTEXT('F2-2 Arena'!$F$15),'F2-2 Arena'!$F$15=Key!$N$37),FALSE))),"✘ TRY AGAIN",IF(AND(OR(ISNUMBER(FIND({"=","(",",","+","-","*","/","&amp;"," ","&lt;","&gt;",":","@","^"}&amp;"IF"&amp;"(",UPPER(_xlfn.FORMULATEXT('F2-2 Arena'!$F$6)))))),"✔ CLEAR","✘ CLOSE · right value, but use IF")))))</f>
        <v/>
      </c>
      <c r="E36" s="22"/>
      <c r="F36" s="23" cm="1" t="str">
        <f t="array" ref="F36">IF(E36="Show hint",Key!$B$37,"")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146</v>
      </c>
      <c r="B37" s="8" t="s">
        <v>229</v>
      </c>
      <c r="C37" s="11" t="s">
        <v>230</v>
      </c>
      <c r="D37" s="21" cm="1" t="str">
        <f t="array" ref="D37">IF(COUNTA('F2-2 Arena'!$G$6,'F2-2 Arena'!$G$7,'F2-2 Arena'!$G$8,'F2-2 Arena'!$G$9,'F2-2 Arena'!$G$10,'F2-2 Arena'!$G$11,'F2-2 Arena'!$G$12,'F2-2 Arena'!$G$13,'F2-2 Arena'!$G$14,'F2-2 Arena'!$G$15)=0,"",IF(OR(NOT(_xlfn.ISFORMULA('F2-2 Arena'!$G$6)),NOT(_xlfn.ISFORMULA('F2-2 Arena'!$G$7)),NOT(_xlfn.ISFORMULA('F2-2 Arena'!$G$8)),NOT(_xlfn.ISFORMULA('F2-2 Arena'!$G$9)),NOT(_xlfn.ISFORMULA('F2-2 Arena'!$G$10)),NOT(_xlfn.ISFORMULA('F2-2 Arena'!$G$11)),NOT(_xlfn.ISFORMULA('F2-2 Arena'!$G$12)),NOT(_xlfn.ISFORMULA('F2-2 Arena'!$G$13)),NOT(_xlfn.ISFORMULA('F2-2 Arena'!$G$14)),NOT(_xlfn.ISFORMULA('F2-2 Arena'!$G$15))),"✘ Some cells aren't formulas yet",IF(OR(ISERROR('F2-2 Arena'!$G$6),ISERROR('F2-2 Arena'!$G$7),ISERROR('F2-2 Arena'!$G$8),ISERROR('F2-2 Arena'!$G$9),ISERROR('F2-2 Arena'!$G$10),ISERROR('F2-2 Arena'!$G$11),ISERROR('F2-2 Arena'!$G$12),ISERROR('F2-2 Arena'!$G$13),ISERROR('F2-2 Arena'!$G$14),ISERROR('F2-2 Arena'!$G$15)),"✘ Some cells show an error",IF(NOT(AND(IFERROR(AND(ISNUMBER('F2-2 Arena'!$G$6),ABS('F2-2 Arena'!$G$6-Key!$E$38)&lt;=1E-9*MAX(1,ABS(Key!$E$38))),FALSE),IFERROR(AND(ISNUMBER('F2-2 Arena'!$G$7),ABS('F2-2 Arena'!$G$7-Key!$F$38)&lt;=1E-9*MAX(1,ABS(Key!$F$38))),FALSE),IFERROR(AND(ISNUMBER('F2-2 Arena'!$G$8),ABS('F2-2 Arena'!$G$8-Key!$G$38)&lt;=1E-9*MAX(1,ABS(Key!$G$38))),FALSE),IFERROR(AND(ISNUMBER('F2-2 Arena'!$G$9),ABS('F2-2 Arena'!$G$9-Key!$H$38)&lt;=1E-9*MAX(1,ABS(Key!$H$38))),FALSE),IFERROR(AND(ISNUMBER('F2-2 Arena'!$G$10),ABS('F2-2 Arena'!$G$10-Key!$I$38)&lt;=1E-9*MAX(1,ABS(Key!$I$38))),FALSE),IFERROR(AND(ISNUMBER('F2-2 Arena'!$G$11),ABS('F2-2 Arena'!$G$11-Key!$J$38)&lt;=1E-9*MAX(1,ABS(Key!$J$38))),FALSE),IFERROR(AND(ISNUMBER('F2-2 Arena'!$G$12),ABS('F2-2 Arena'!$G$12-Key!$K$38)&lt;=1E-9*MAX(1,ABS(Key!$K$38))),FALSE),IFERROR(AND(ISNUMBER('F2-2 Arena'!$G$13),ABS('F2-2 Arena'!$G$13-Key!$L$38)&lt;=1E-9*MAX(1,ABS(Key!$L$38))),FALSE),IFERROR(AND(ISNUMBER('F2-2 Arena'!$G$14),ABS('F2-2 Arena'!$G$14-Key!$M$38)&lt;=1E-9*MAX(1,ABS(Key!$M$38))),FALSE),IFERROR(AND(ISNUMBER('F2-2 Arena'!$G$15),ABS('F2-2 Arena'!$G$15-Key!$N$38)&lt;=1E-9*MAX(1,ABS(Key!$N$38))),FALSE))),"✘ TRY AGAIN",IF(AND(OR(ISNUMBER(FIND({"=","(",",","+","-","*","/","&amp;"," ","&lt;","&gt;",":","@","^"}&amp;"IF"&amp;"(",UPPER(_xlfn.FORMULATEXT('F2-2 Arena'!$G$6)))))),"✔ CLEAR","✘ CLOSE · right value, but use IF")))))</f>
        <v/>
      </c>
      <c r="E37" s="22"/>
      <c r="F37" s="23" cm="1" t="str">
        <f t="array" ref="F37">IF(E37="Show hint",Key!$B$38,"")</f>
        <v/>
      </c>
      <c r="G37" s="24" cm="1">
        <f t="array" ref="G37">IF(LEFT(D37,1)="✔",IF(E37="Show hint",5,10),0)</f>
        <v>0</v>
      </c>
    </row>
    <row r="38" spans="1:7" ht="51.25" customHeight="1">
      <c r="A38" s="18" t="s">
        <v>151</v>
      </c>
      <c r="B38" s="8" t="s">
        <v>233</v>
      </c>
      <c r="C38" s="11" t="s">
        <v>234</v>
      </c>
      <c r="D38" s="21" cm="1" t="str">
        <f t="array" ref="D38">IF(ISBLANK('F2-2 Arena'!$I$6),"",IF(NOT(_xlfn.ISFORMULA('F2-2 Arena'!$I$6)),"✘ That's a typed value · enter a formula",IF(ISERROR('F2-2 Arena'!$I$6),"✘ Your formula returns "&amp;IFERROR(CHOOSE(ERROR.TYPE('F2-2 Arena'!$I$6),"#NULL!","#DIV/0!","#VALUE!","#REF!","#NAME?","#NUM!","#N/A","#GETTING_DATA","#SPILL!","#CONNECT!","#BLOCKED!","#UNKNOWN!","#FIELD!","#CALC!"),"an error"),IF(NOT(AND(IFERROR(AND(ISTEXT('F2-2 Arena'!$I$6),'F2-2 Arena'!$I$6=Key!$C$39),FALSE))),"✘ TRY AGAIN",IF(AND(OR(ISNUMBER(FIND({"=","(",",","+","-","*","/","&amp;"," ","&lt;","&gt;",":","@","^"}&amp;"IF"&amp;"(",UPPER(_xlfn.FORMULATEXT('F2-2 Arena'!$I$6)))))),"✔ CLEAR","✘ CLOSE · right value, but use IF")))))</f>
        <v/>
      </c>
      <c r="E38" s="22"/>
      <c r="F38" s="23" cm="1" t="str">
        <f t="array" ref="F38">IF(E38="Show hint",Key!$B$39,"")</f>
        <v/>
      </c>
      <c r="G38" s="24" cm="1">
        <f t="array" ref="G38">IF(LEFT(D38,1)="✔",IF(E38="Show hint",5,10),0)</f>
        <v>0</v>
      </c>
    </row>
  </sheetData>
  <sheetProtection sheet="1" objects="1" scenarios="1" formatColumns="0" formatRows="0"/>
  <conditionalFormatting sqref="D13:D38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35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Key!$E$31:$H$31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Key!$E$32:$H$32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Key!$E$33:$H$33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type="list" allowBlank="1" showInputMessage="1" showErrorMessage="1" promptTitle="Need a hint?" prompt="Pick 'Show hint' (Alt+Down). This question then gives 5 XP instead of 10." sqref="E38">
      <formula1>"Show hint"</formula1>
    </dataValidation>
  </dataValidations>
  <hyperlinks>
    <hyperlink ref="B31" location="'F2-2 Arena'!A1" display="▶ Open F2-2 Arena (or press Ctrl+PgDn)"/>
    <hyperlink ref="C36" location="'F2-2 Arena'!F6" tooltip="Go to F2-2 Arena, cell F6" display="▶ ARENA C4 (cell F6)"/>
    <hyperlink ref="C37" location="'F2-2 Arena'!G6" tooltip="Go to F2-2 Arena, cell G6" display="▶ ARENA C5 (cell G6)"/>
    <hyperlink ref="C38" location="'F2-2 Arena'!I6" tooltip="Go to F2-2 Arena, cell I6" display="▶ ARENA C6 (cell I6)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cols>
    <col min="1" max="1" width="14.7109375" customWidth="1"/>
    <col min="2" max="5" width="13.7109375" customWidth="1"/>
    <col min="6" max="7" width="14.7109375" customWidth="1"/>
    <col min="8" max="26" width="13.7109375" customWidth="1"/>
  </cols>
  <sheetData>
    <row r="1" spans="1:10">
      <c r="A1" s="1" t="s">
        <v>156</v>
      </c>
    </row>
    <row r="2" spans="1:10">
      <c r="A2" s="3" t="s">
        <v>5</v>
      </c>
    </row>
    <row r="3" spans="1:10">
      <c r="A3" s="25" t="s">
        <v>6</v>
      </c>
      <c r="B3" s="26" t="s">
        <v>157</v>
      </c>
      <c r="D3" s="11" t="s">
        <v>158</v>
      </c>
    </row>
    <row r="5" spans="1:10">
      <c r="B5" s="27" t="s">
        <v>9</v>
      </c>
      <c r="C5" s="27" t="s">
        <v>10</v>
      </c>
      <c r="D5" s="27" t="s">
        <v>11</v>
      </c>
      <c r="E5" s="27" t="s">
        <v>12</v>
      </c>
      <c r="F5" s="27" t="s">
        <v>44</v>
      </c>
      <c r="G5" s="27" t="s">
        <v>159</v>
      </c>
      <c r="I5" s="27" t="s">
        <v>160</v>
      </c>
      <c r="J5" s="7" t="s">
        <v>161</v>
      </c>
    </row>
    <row r="6" spans="1:10">
      <c r="B6" s="5" t="s">
        <v>13</v>
      </c>
      <c r="C6" s="5">
        <v>92</v>
      </c>
      <c r="D6" s="5">
        <v>17</v>
      </c>
      <c r="E6" s="5" t="s">
        <v>14</v>
      </c>
      <c r="F6" s="28"/>
      <c r="G6" s="28"/>
      <c r="I6" s="28"/>
    </row>
    <row r="7" spans="1:10">
      <c r="B7" s="5" t="s">
        <v>15</v>
      </c>
      <c r="C7" s="5">
        <v>48</v>
      </c>
      <c r="D7" s="5">
        <v>22</v>
      </c>
      <c r="E7" s="5" t="s">
        <v>16</v>
      </c>
      <c r="F7" s="28"/>
      <c r="G7" s="28"/>
    </row>
    <row r="8" spans="1:10">
      <c r="B8" s="5" t="s">
        <v>17</v>
      </c>
      <c r="C8" s="5">
        <v>75</v>
      </c>
      <c r="D8" s="5">
        <v>19</v>
      </c>
      <c r="E8" s="5" t="s">
        <v>16</v>
      </c>
      <c r="F8" s="28"/>
      <c r="G8" s="28"/>
    </row>
    <row r="9" spans="1:10">
      <c r="B9" s="5" t="s">
        <v>18</v>
      </c>
      <c r="C9" s="5">
        <v>60</v>
      </c>
      <c r="D9" s="5">
        <v>16</v>
      </c>
      <c r="E9" s="5" t="s">
        <v>14</v>
      </c>
      <c r="F9" s="28"/>
      <c r="G9" s="28"/>
    </row>
    <row r="10" spans="1:10">
      <c r="B10" s="5" t="s">
        <v>19</v>
      </c>
      <c r="C10" s="5">
        <v>88</v>
      </c>
      <c r="D10" s="5">
        <v>30</v>
      </c>
      <c r="E10" s="5" t="s">
        <v>16</v>
      </c>
      <c r="F10" s="28"/>
      <c r="G10" s="28"/>
    </row>
    <row r="11" spans="1:10">
      <c r="B11" s="5" t="s">
        <v>20</v>
      </c>
      <c r="C11" s="5">
        <v>50</v>
      </c>
      <c r="D11" s="5">
        <v>18</v>
      </c>
      <c r="E11" s="5" t="s">
        <v>16</v>
      </c>
      <c r="F11" s="28"/>
      <c r="G11" s="28"/>
    </row>
    <row r="12" spans="1:10">
      <c r="B12" s="5" t="s">
        <v>21</v>
      </c>
      <c r="C12" s="5">
        <v>39</v>
      </c>
      <c r="D12" s="5">
        <v>25</v>
      </c>
      <c r="E12" s="5" t="s">
        <v>14</v>
      </c>
      <c r="F12" s="28"/>
      <c r="G12" s="28"/>
    </row>
    <row r="13" spans="1:10">
      <c r="B13" s="5" t="s">
        <v>22</v>
      </c>
      <c r="C13" s="5">
        <v>81</v>
      </c>
      <c r="D13" s="5">
        <v>41</v>
      </c>
      <c r="E13" s="5" t="s">
        <v>16</v>
      </c>
      <c r="F13" s="28"/>
      <c r="G13" s="28"/>
    </row>
    <row r="14" spans="1:10">
      <c r="B14" s="5" t="s">
        <v>23</v>
      </c>
      <c r="C14" s="5">
        <v>99</v>
      </c>
      <c r="D14" s="5">
        <v>15</v>
      </c>
      <c r="E14" s="5" t="s">
        <v>14</v>
      </c>
      <c r="F14" s="28"/>
      <c r="G14" s="28"/>
    </row>
    <row r="15" spans="1:10">
      <c r="B15" s="5" t="s">
        <v>24</v>
      </c>
      <c r="C15" s="5">
        <v>70</v>
      </c>
      <c r="D15" s="5">
        <v>20</v>
      </c>
      <c r="E15" s="5" t="s">
        <v>14</v>
      </c>
      <c r="F15" s="28"/>
      <c r="G15" s="28"/>
    </row>
  </sheetData>
  <hyperlinks>
    <hyperlink ref="D3" location="'F2-2 Fork in the Road'!A1" display="◀ Back to F2-2 Fork in the Road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329</v>
      </c>
      <c r="B1" s="2"/>
      <c r="C1" s="2"/>
      <c r="D1" s="2"/>
      <c r="E1" s="2"/>
      <c r="F1" s="2"/>
      <c r="G1" s="2"/>
    </row>
    <row r="2" spans="1:7">
      <c r="A2" s="3" t="s">
        <v>330</v>
      </c>
    </row>
    <row r="3" spans="1:7" ht="26" customHeight="1">
      <c r="A3" s="14" cm="1" t="str">
        <f t="array" ref="A3">"SCORE "&amp;TEXT(SUM($G$13:$G$38),"0000")&amp;" / 0190"</f>
        <v>SCORE 0000 / 0190</v>
      </c>
      <c r="C3" s="15" cm="1" t="str">
        <f t="array" ref="C3">IF(SUM($G$13:$G$38)&gt;=190,"★★★",IF(SUM($G$13:$G$38)&gt;=190*0.8,"★★☆",IF(SUM($G$13:$G$38)&gt;=190*0.5,"★☆☆","☆☆☆")))</f>
        <v>☆☆☆</v>
      </c>
      <c r="D3" s="16" cm="1" t="str">
        <f t="array" ref="D3">REPT("█",ROUND(10*SUM($G$13:$G$38)/190,0))&amp;REPT("░",10-ROUND(10*SUM($G$13:$G$38)/190,0))&amp;"  "&amp;TEXT(SUM($G$13:$G$38)/190,"0%")</f>
        <v>░░░░░░░░░░  0%</v>
      </c>
      <c r="F3" s="17" cm="1" t="str">
        <f t="array" ref="F3">IF(SUM($G$13:$G$38)&gt;=190*0.5,"STAGE CLEAR! ▶ Next: F2-4 Multi-Level","")</f>
        <v/>
      </c>
    </row>
    <row r="5" spans="1:7" ht="22" customHeight="1">
      <c r="A5" s="4" t="s">
        <v>28</v>
      </c>
      <c r="B5" s="4"/>
      <c r="C5" s="4"/>
      <c r="D5" s="4"/>
      <c r="E5" s="4"/>
      <c r="F5" s="4"/>
      <c r="G5" s="4"/>
    </row>
    <row r="6" spans="1:7">
      <c r="A6" s="6" t="s">
        <v>29</v>
      </c>
      <c r="B6" s="6" t="s">
        <v>30</v>
      </c>
      <c r="C6" s="6" t="s">
        <v>31</v>
      </c>
      <c r="D6" s="6"/>
      <c r="E6" s="6"/>
      <c r="F6" s="6"/>
      <c r="G6" s="6"/>
    </row>
    <row r="7" spans="1:7" ht="35.5" customHeight="1">
      <c r="A7" s="18" t="s">
        <v>32</v>
      </c>
      <c r="B7" s="8" t="s">
        <v>243</v>
      </c>
      <c r="C7" s="19" t="s">
        <v>205</v>
      </c>
    </row>
    <row r="8" spans="1:7" ht="35.5" customHeight="1">
      <c r="A8" s="18" t="s">
        <v>35</v>
      </c>
      <c r="B8" s="8" t="s">
        <v>244</v>
      </c>
      <c r="C8" s="19" t="s">
        <v>245</v>
      </c>
    </row>
    <row r="9" spans="1:7" ht="35.5" customHeight="1">
      <c r="A9" s="18" t="s">
        <v>38</v>
      </c>
      <c r="B9" s="8" t="s">
        <v>246</v>
      </c>
      <c r="C9" s="19" t="s">
        <v>203</v>
      </c>
    </row>
    <row r="11" spans="1:7" ht="22" customHeight="1">
      <c r="A11" s="4" t="s">
        <v>41</v>
      </c>
      <c r="B11" s="4"/>
      <c r="C11" s="4"/>
      <c r="D11" s="4"/>
      <c r="E11" s="4"/>
      <c r="F11" s="4"/>
      <c r="G11" s="4"/>
    </row>
    <row r="12" spans="1:7">
      <c r="A12" s="6" t="s">
        <v>29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1</v>
      </c>
      <c r="G12" s="6" t="s">
        <v>46</v>
      </c>
    </row>
    <row r="13" spans="1:7" ht="51.25" customHeight="1">
      <c r="A13" s="18" t="s">
        <v>50</v>
      </c>
      <c r="B13" s="8" t="s">
        <v>248</v>
      </c>
      <c r="C13" s="20"/>
      <c r="D13" s="21" cm="1" t="str">
        <f t="array" ref="D13">IFERROR(_xlfn.LET(_xlpm.a,'F2-3 Combo Moves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$40:$J$40),"✔ CLEAR","✘ TRY AGAIN"))),"✘ TRY AGAIN")</f>
        <v/>
      </c>
      <c r="E13" s="22"/>
      <c r="F13" s="23" cm="1" t="str">
        <f t="array" ref="F13">IF(E13="Show hint",Key!$B$40,"")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55</v>
      </c>
      <c r="B14" s="8" t="s">
        <v>250</v>
      </c>
      <c r="C14" s="20"/>
      <c r="D14" s="21" cm="1" t="str">
        <f t="array" ref="D14">IFERROR(_xlfn.LET(_xlpm.a,'F2-3 Combo Moves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$41:$E$41),"✔ CLEAR","✘ TRY AGAIN"))),"✘ TRY AGAIN")</f>
        <v/>
      </c>
      <c r="E14" s="22"/>
      <c r="F14" s="23" cm="1" t="str">
        <f t="array" ref="F14">IF(E14="Show hint",Key!$B$41,"")</f>
        <v/>
      </c>
      <c r="G14" s="24" cm="1">
        <f t="array" ref="G14">IF(LEFT(D14,1)="✔",IF(E14="Show hint",5,10),0)</f>
        <v>0</v>
      </c>
    </row>
    <row r="15" spans="1:7" ht="51.25" customHeight="1">
      <c r="A15" s="18" t="s">
        <v>60</v>
      </c>
      <c r="B15" s="8" t="s">
        <v>252</v>
      </c>
      <c r="C15" s="20"/>
      <c r="D15" s="21" cm="1" t="str">
        <f t="array" ref="D15">IFERROR(_xlfn.LET(_xlpm.a,'F2-3 Combo Moves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$42:$E$42),"✔ CLEAR","✘ TRY AGAIN"))),"✘ TRY AGAIN")</f>
        <v/>
      </c>
      <c r="E15" s="22"/>
      <c r="F15" s="23" cm="1" t="str">
        <f t="array" ref="F15">IF(E15="Show hint",Key!$B$42,"")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65</v>
      </c>
      <c r="B16" s="8" t="s">
        <v>257</v>
      </c>
      <c r="C16" s="20"/>
      <c r="D16" s="21" cm="1" t="str">
        <f t="array" ref="D16">IFERROR(_xlfn.LET(_xlpm.a,'F2-3 Combo Moves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$43:$F$43),"✔ CLEAR","✘ TRY AGAIN"))),"✘ TRY AGAIN")</f>
        <v/>
      </c>
      <c r="E16" s="22"/>
      <c r="F16" s="23" cm="1" t="str">
        <f t="array" ref="F16">IF(E16="Show hint",Key!$B$43,"")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70</v>
      </c>
      <c r="B17" s="8" t="s">
        <v>267</v>
      </c>
      <c r="C17" s="20"/>
      <c r="D17" s="21" cm="1" t="str">
        <f t="array" ref="D17">IFERROR(_xlfn.LET(_xlpm.a,'F2-3 Combo Moves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$44:$K$44),"✔ CLEAR","✘ TRY AGAIN"))),"✘ TRY AGAIN")</f>
        <v/>
      </c>
      <c r="E17" s="22"/>
      <c r="F17" s="23" cm="1" t="str">
        <f t="array" ref="F17">IF(E17="Show hint",Key!$B$44,"")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75</v>
      </c>
      <c r="B18" s="8" t="s">
        <v>271</v>
      </c>
      <c r="C18" s="20"/>
      <c r="D18" s="21" cm="1" t="str">
        <f t="array" ref="D18">IFERROR(_xlfn.LET(_xlpm.a,'F2-3 Combo Moves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$45:$E$45),"✔ CLEAR","✘ TRY AGAIN"))),"✘ TRY AGAIN")</f>
        <v/>
      </c>
      <c r="E18" s="22"/>
      <c r="F18" s="23" cm="1" t="str">
        <f t="array" ref="F18">IF(E18="Show hint",Key!$B$45,"")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80</v>
      </c>
      <c r="B19" s="8" t="s">
        <v>275</v>
      </c>
      <c r="C19" s="20"/>
      <c r="D19" s="21" cm="1" t="str">
        <f t="array" ref="D19">IFERROR(_xlfn.LET(_xlpm.a,'F2-3 Combo Moves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$46:$E$46),"✔ CLEAR","✘ TRY AGAIN"))),"✘ TRY AGAIN")</f>
        <v/>
      </c>
      <c r="E19" s="22"/>
      <c r="F19" s="23" cm="1" t="str">
        <f t="array" ref="F19">IF(E19="Show hint",Key!$B$46,"")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85</v>
      </c>
      <c r="B20" s="8" t="s">
        <v>280</v>
      </c>
      <c r="C20" s="20"/>
      <c r="D20" s="21" cm="1" t="str">
        <f t="array" ref="D20">IFERROR(_xlfn.LET(_xlpm.a,'F2-3 Combo Moves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$47:$F$47),"✔ CLEAR","✘ TRY AGAIN"))),"✘ TRY AGAIN")</f>
        <v/>
      </c>
      <c r="E20" s="22"/>
      <c r="F20" s="23" cm="1" t="str">
        <f t="array" ref="F20">IF(E20="Show hint",Key!$B$47,"")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94</v>
      </c>
      <c r="B21" s="8" t="s">
        <v>285</v>
      </c>
      <c r="C21" s="20"/>
      <c r="D21" s="21" cm="1" t="str">
        <f t="array" ref="D21">IFERROR(_xlfn.LET(_xlpm.a,'F2-3 Combo Moves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$48:$F$48),"✔ CLEAR","✘ TRY AGAIN"))),"✘ TRY AGAIN")</f>
        <v/>
      </c>
      <c r="E21" s="22"/>
      <c r="F21" s="23" cm="1" t="str">
        <f t="array" ref="F21">IF(E21="Show hint",Key!$B$48,"")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108</v>
      </c>
      <c r="B22" s="8" t="s">
        <v>289</v>
      </c>
      <c r="C22" s="20"/>
      <c r="D22" s="21" cm="1" t="str">
        <f t="array" ref="D22">IFERROR(_xlfn.LET(_xlpm.a,'F2-3 Combo Moves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$49:$E$49),"✔ CLEAR","✘ TRY AGAIN"))),"✘ TRY AGAIN")</f>
        <v/>
      </c>
      <c r="E22" s="22"/>
      <c r="F22" s="23" cm="1" t="str">
        <f t="array" ref="F22">IF(E22="Show hint",Key!$B$49,"")</f>
        <v/>
      </c>
      <c r="G22" s="24" cm="1">
        <f t="array" ref="G22">IF(LEFT(D22,1)="✔",IF(E22="Show hint",5,10),0)</f>
        <v>0</v>
      </c>
    </row>
    <row r="24" spans="1:7" ht="22" customHeight="1">
      <c r="A24" s="4" t="s">
        <v>110</v>
      </c>
      <c r="B24" s="4"/>
      <c r="C24" s="4"/>
      <c r="D24" s="4"/>
      <c r="E24" s="4"/>
      <c r="F24" s="4"/>
      <c r="G24" s="4"/>
    </row>
    <row r="25" spans="1:7">
      <c r="A25" s="6" t="s">
        <v>29</v>
      </c>
      <c r="B25" s="6" t="s">
        <v>42</v>
      </c>
      <c r="C25" s="6" t="s">
        <v>43</v>
      </c>
      <c r="D25" s="6" t="s">
        <v>44</v>
      </c>
      <c r="E25" s="6" t="s">
        <v>45</v>
      </c>
      <c r="F25" s="6" t="s">
        <v>1</v>
      </c>
      <c r="G25" s="6" t="s">
        <v>46</v>
      </c>
    </row>
    <row r="26" spans="1:7" ht="35.5" customHeight="1">
      <c r="A26" s="18" t="s">
        <v>114</v>
      </c>
      <c r="B26" s="8" t="s">
        <v>294</v>
      </c>
      <c r="C26" s="20"/>
      <c r="D26" s="21" cm="1" t="str">
        <f t="array" ref="D26">IFERROR(IF('F2-3 Combo Moves'!$C$26&amp;""="","",IF('F2-3 Combo Moves'!$C$26&amp;""=Key!$C$50&amp;"","✔ CLEAR","✘ TRY AGAIN")),"✘ TRY AGAIN")</f>
        <v/>
      </c>
      <c r="E26" s="22"/>
      <c r="F26" s="23" cm="1" t="str">
        <f t="array" ref="F26">IF(E26="Show hint",Key!$B$50,"")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120</v>
      </c>
      <c r="B27" s="8" t="s">
        <v>297</v>
      </c>
      <c r="C27" s="20"/>
      <c r="D27" s="21" cm="1" t="str">
        <f t="array" ref="D27">IFERROR(IF('F2-3 Combo Moves'!$C$27&amp;""="","",IF('F2-3 Combo Moves'!$C$27&amp;""=Key!$C$51&amp;"","✔ CLEAR","✘ TRY AGAIN")),"✘ TRY AGAIN")</f>
        <v/>
      </c>
      <c r="E27" s="22"/>
      <c r="F27" s="23" cm="1" t="str">
        <f t="array" ref="F27">IF(E27="Show hint",Key!$B$51,"")</f>
        <v/>
      </c>
      <c r="G27" s="24" cm="1">
        <f t="array" ref="G27">IF(LEFT(D27,1)="✔",IF(E27="Show hint",5,10),0)</f>
        <v>0</v>
      </c>
    </row>
    <row r="28" spans="1:7" ht="19.75" customHeight="1">
      <c r="A28" s="18" t="s">
        <v>125</v>
      </c>
      <c r="B28" s="8" t="s">
        <v>300</v>
      </c>
      <c r="C28" s="20"/>
      <c r="D28" s="21" cm="1" t="str">
        <f t="array" ref="D28">IFERROR(IF('F2-3 Combo Moves'!$C$28&amp;""="","",IF('F2-3 Combo Moves'!$C$28&amp;""=Key!$C$52&amp;"","✔ CLEAR","✘ TRY AGAIN")),"✘ TRY AGAIN")</f>
        <v/>
      </c>
      <c r="E28" s="22"/>
      <c r="F28" s="23" cm="1" t="str">
        <f t="array" ref="F28">IF(E28="Show hint",Key!$B$52,"")</f>
        <v/>
      </c>
      <c r="G28" s="24" cm="1">
        <f t="array" ref="G28">IF(LEFT(D28,1)="✔",IF(E28="Show hint",5,10),0)</f>
        <v>0</v>
      </c>
    </row>
    <row r="30" spans="1:7" ht="22" customHeight="1">
      <c r="A30" s="4" t="s">
        <v>127</v>
      </c>
      <c r="B30" s="4"/>
      <c r="C30" s="4"/>
      <c r="D30" s="4"/>
      <c r="E30" s="4"/>
      <c r="F30" s="4"/>
      <c r="G30" s="4"/>
    </row>
    <row r="31" spans="1:7">
      <c r="B31" s="11" t="s">
        <v>301</v>
      </c>
    </row>
    <row r="32" spans="1:7">
      <c r="A32" s="6" t="s">
        <v>29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1</v>
      </c>
      <c r="G32" s="6" t="s">
        <v>46</v>
      </c>
    </row>
    <row r="33" spans="1:7" ht="35.5" customHeight="1">
      <c r="A33" s="18" t="s">
        <v>130</v>
      </c>
      <c r="B33" s="8" t="s">
        <v>294</v>
      </c>
      <c r="C33" s="20"/>
      <c r="D33" s="21" cm="1" t="str">
        <f t="array" ref="D33">IFERROR(_xlfn.LET(_xlpm.a,'F2-3 Combo Moves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$53:$J$53),"✔ CLEAR","✘ TRY AGAIN"))),"✘ TRY AGAIN")</f>
        <v/>
      </c>
      <c r="E33" s="22"/>
      <c r="F33" s="23" cm="1" t="str">
        <f t="array" ref="F33">IF(E33="Show hint",Key!$B$53,"")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132</v>
      </c>
      <c r="B34" s="8" t="s">
        <v>297</v>
      </c>
      <c r="C34" s="20"/>
      <c r="D34" s="21" cm="1" t="str">
        <f t="array" ref="D34">IFERROR(_xlfn.LET(_xlpm.a,'F2-3 Combo Moves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$54:$J$54),"✔ CLEAR","✘ TRY AGAIN"))),"✘ TRY AGAIN")</f>
        <v/>
      </c>
      <c r="E34" s="22"/>
      <c r="F34" s="23" cm="1" t="str">
        <f t="array" ref="F34">IF(E34="Show hint",Key!$B$54,"")</f>
        <v/>
      </c>
      <c r="G34" s="24" cm="1">
        <f t="array" ref="G34">IF(LEFT(D34,1)="✔",IF(E34="Show hint",5,10),0)</f>
        <v>0</v>
      </c>
    </row>
    <row r="35" spans="1:7" ht="19.75" customHeight="1">
      <c r="A35" s="18" t="s">
        <v>138</v>
      </c>
      <c r="B35" s="8" t="s">
        <v>300</v>
      </c>
      <c r="C35" s="20"/>
      <c r="D35" s="21" cm="1" t="str">
        <f t="array" ref="D35">IFERROR(_xlfn.LET(_xlpm.a,'F2-3 Combo Moves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$55:$J$55),"✔ CLEAR","✘ TRY AGAIN"))),"✘ TRY AGAIN")</f>
        <v/>
      </c>
      <c r="E35" s="22"/>
      <c r="F35" s="23" cm="1" t="str">
        <f t="array" ref="F35">IF(E35="Show hint",Key!$B$55,"")</f>
        <v/>
      </c>
      <c r="G35" s="24" cm="1">
        <f t="array" ref="G35">IF(LEFT(D35,1)="✔",IF(E35="Show hint",5,10),0)</f>
        <v>0</v>
      </c>
    </row>
    <row r="36" spans="1:7" ht="51.25" customHeight="1">
      <c r="A36" s="18" t="s">
        <v>141</v>
      </c>
      <c r="B36" s="8" t="s">
        <v>322</v>
      </c>
      <c r="C36" s="11" t="s">
        <v>226</v>
      </c>
      <c r="D36" s="21" cm="1" t="str">
        <f t="array" ref="D36">IF(COUNTA('F2-3 Arena'!$F$6,'F2-3 Arena'!$F$7,'F2-3 Arena'!$F$8,'F2-3 Arena'!$F$9,'F2-3 Arena'!$F$10,'F2-3 Arena'!$F$11,'F2-3 Arena'!$F$12,'F2-3 Arena'!$F$13,'F2-3 Arena'!$F$14,'F2-3 Arena'!$F$15)=0,"",IF(OR(NOT(_xlfn.ISFORMULA('F2-3 Arena'!$F$6)),NOT(_xlfn.ISFORMULA('F2-3 Arena'!$F$7)),NOT(_xlfn.ISFORMULA('F2-3 Arena'!$F$8)),NOT(_xlfn.ISFORMULA('F2-3 Arena'!$F$9)),NOT(_xlfn.ISFORMULA('F2-3 Arena'!$F$10)),NOT(_xlfn.ISFORMULA('F2-3 Arena'!$F$11)),NOT(_xlfn.ISFORMULA('F2-3 Arena'!$F$12)),NOT(_xlfn.ISFORMULA('F2-3 Arena'!$F$13)),NOT(_xlfn.ISFORMULA('F2-3 Arena'!$F$14)),NOT(_xlfn.ISFORMULA('F2-3 Arena'!$F$15))),"✘ Some cells aren't formulas yet",IF(OR(ISERROR('F2-3 Arena'!$F$6),ISERROR('F2-3 Arena'!$F$7),ISERROR('F2-3 Arena'!$F$8),ISERROR('F2-3 Arena'!$F$9),ISERROR('F2-3 Arena'!$F$10),ISERROR('F2-3 Arena'!$F$11),ISERROR('F2-3 Arena'!$F$12),ISERROR('F2-3 Arena'!$F$13),ISERROR('F2-3 Arena'!$F$14),ISERROR('F2-3 Arena'!$F$15)),"✘ Some cells show an error",IF(NOT(AND(IFERROR(AND(ISTEXT('F2-3 Arena'!$F$6),'F2-3 Arena'!$F$6=Key!$E$56),FALSE),IFERROR(AND(ISTEXT('F2-3 Arena'!$F$7),'F2-3 Arena'!$F$7=Key!$F$56),FALSE),IFERROR(AND(ISTEXT('F2-3 Arena'!$F$8),'F2-3 Arena'!$F$8=Key!$G$56),FALSE),IFERROR(AND(ISTEXT('F2-3 Arena'!$F$9),'F2-3 Arena'!$F$9=Key!$H$56),FALSE),IFERROR(AND(ISTEXT('F2-3 Arena'!$F$10),'F2-3 Arena'!$F$10=Key!$I$56),FALSE),IFERROR(AND(ISTEXT('F2-3 Arena'!$F$11),'F2-3 Arena'!$F$11=Key!$J$56),FALSE),IFERROR(AND(ISTEXT('F2-3 Arena'!$F$12),'F2-3 Arena'!$F$12=Key!$K$56),FALSE),IFERROR(AND(ISTEXT('F2-3 Arena'!$F$13),'F2-3 Arena'!$F$13=Key!$L$56),FALSE),IFERROR(AND(ISTEXT('F2-3 Arena'!$F$14),'F2-3 Arena'!$F$14=Key!$M$56),FALSE),IFERROR(AND(ISTEXT('F2-3 Arena'!$F$15),'F2-3 Arena'!$F$15=Key!$N$56),FALSE))),"✘ TRY AGAIN",IF(AND(OR(ISNUMBER(FIND({"=","(",",","+","-","*","/","&amp;"," ","&lt;","&gt;",":","@","^"}&amp;"AND"&amp;"(",UPPER(_xlfn.FORMULATEXT('F2-3 Arena'!$F$6)))))),"✔ CLEAR","✘ CLOSE · right value, but use AND")))))</f>
        <v/>
      </c>
      <c r="E36" s="22"/>
      <c r="F36" s="23" cm="1" t="str">
        <f t="array" ref="F36">IF(E36="Show hint",Key!$B$56,"")</f>
        <v/>
      </c>
      <c r="G36" s="24" cm="1">
        <f t="array" ref="G36">IF(LEFT(D36,1)="✔",IF(E36="Show hint",5,10),0)</f>
        <v>0</v>
      </c>
    </row>
    <row r="37" spans="1:7" ht="51.25" customHeight="1">
      <c r="A37" s="18" t="s">
        <v>146</v>
      </c>
      <c r="B37" s="8" t="s">
        <v>325</v>
      </c>
      <c r="C37" s="11" t="s">
        <v>230</v>
      </c>
      <c r="D37" s="21" cm="1" t="str">
        <f t="array" ref="D37">IF(COUNTA('F2-3 Arena'!$G$6,'F2-3 Arena'!$G$7,'F2-3 Arena'!$G$8,'F2-3 Arena'!$G$9,'F2-3 Arena'!$G$10,'F2-3 Arena'!$G$11,'F2-3 Arena'!$G$12,'F2-3 Arena'!$G$13,'F2-3 Arena'!$G$14,'F2-3 Arena'!$G$15)=0,"",IF(OR(NOT(_xlfn.ISFORMULA('F2-3 Arena'!$G$6)),NOT(_xlfn.ISFORMULA('F2-3 Arena'!$G$7)),NOT(_xlfn.ISFORMULA('F2-3 Arena'!$G$8)),NOT(_xlfn.ISFORMULA('F2-3 Arena'!$G$9)),NOT(_xlfn.ISFORMULA('F2-3 Arena'!$G$10)),NOT(_xlfn.ISFORMULA('F2-3 Arena'!$G$11)),NOT(_xlfn.ISFORMULA('F2-3 Arena'!$G$12)),NOT(_xlfn.ISFORMULA('F2-3 Arena'!$G$13)),NOT(_xlfn.ISFORMULA('F2-3 Arena'!$G$14)),NOT(_xlfn.ISFORMULA('F2-3 Arena'!$G$15))),"✘ Some cells aren't formulas yet",IF(OR(ISERROR('F2-3 Arena'!$G$6),ISERROR('F2-3 Arena'!$G$7),ISERROR('F2-3 Arena'!$G$8),ISERROR('F2-3 Arena'!$G$9),ISERROR('F2-3 Arena'!$G$10),ISERROR('F2-3 Arena'!$G$11),ISERROR('F2-3 Arena'!$G$12),ISERROR('F2-3 Arena'!$G$13),ISERROR('F2-3 Arena'!$G$14),ISERROR('F2-3 Arena'!$G$15)),"✘ Some cells show an error",IF(NOT(AND(IFERROR(AND(ISTEXT('F2-3 Arena'!$G$6),'F2-3 Arena'!$G$6=Key!$E$57),FALSE),IFERROR(AND(ISTEXT('F2-3 Arena'!$G$7),'F2-3 Arena'!$G$7=Key!$F$57),FALSE),IFERROR(AND(ISTEXT('F2-3 Arena'!$G$8),'F2-3 Arena'!$G$8=Key!$G$57),FALSE),IFERROR(AND(ISTEXT('F2-3 Arena'!$G$9),'F2-3 Arena'!$G$9=Key!$H$57),FALSE),IFERROR(AND(ISTEXT('F2-3 Arena'!$G$10),'F2-3 Arena'!$G$10=Key!$I$57),FALSE),IFERROR(AND(ISTEXT('F2-3 Arena'!$G$11),'F2-3 Arena'!$G$11=Key!$J$57),FALSE),IFERROR(AND(ISTEXT('F2-3 Arena'!$G$12),'F2-3 Arena'!$G$12=Key!$K$57),FALSE),IFERROR(AND(ISTEXT('F2-3 Arena'!$G$13),'F2-3 Arena'!$G$13=Key!$L$57),FALSE),IFERROR(AND(ISTEXT('F2-3 Arena'!$G$14),'F2-3 Arena'!$G$14=Key!$M$57),FALSE),IFERROR(AND(ISTEXT('F2-3 Arena'!$G$15),'F2-3 Arena'!$G$15=Key!$N$57),FALSE))),"✘ TRY AGAIN",IF(AND(OR(ISNUMBER(FIND({"=","(",",","+","-","*","/","&amp;"," ","&lt;","&gt;",":","@","^"}&amp;"OR"&amp;"(",UPPER(_xlfn.FORMULATEXT('F2-3 Arena'!$G$6)))))),"✔ CLEAR","✘ CLOSE · right value, but use OR")))))</f>
        <v/>
      </c>
      <c r="E37" s="22"/>
      <c r="F37" s="23" cm="1" t="str">
        <f t="array" ref="F37">IF(E37="Show hint",Key!$B$57,"")</f>
        <v/>
      </c>
      <c r="G37" s="24" cm="1">
        <f t="array" ref="G37">IF(LEFT(D37,1)="✔",IF(E37="Show hint",5,10),0)</f>
        <v>0</v>
      </c>
    </row>
    <row r="38" spans="1:7" ht="35.5" customHeight="1">
      <c r="A38" s="18" t="s">
        <v>151</v>
      </c>
      <c r="B38" s="8" t="s">
        <v>328</v>
      </c>
      <c r="C38" s="11" t="s">
        <v>234</v>
      </c>
      <c r="D38" s="21" cm="1" t="str">
        <f t="array" ref="D38">IF(ISBLANK('F2-3 Arena'!$I$6),"",IF(NOT(_xlfn.ISFORMULA('F2-3 Arena'!$I$6)),"✘ That's a typed value · enter a formula",IF(ISERROR('F2-3 Arena'!$I$6),"✘ Your formula returns "&amp;IFERROR(CHOOSE(ERROR.TYPE('F2-3 Arena'!$I$6),"#NULL!","#DIV/0!","#VALUE!","#REF!","#NAME?","#NUM!","#N/A","#GETTING_DATA","#SPILL!","#CONNECT!","#BLOCKED!","#UNKNOWN!","#FIELD!","#CALC!"),"an error"),IF(NOT(AND(IFERROR(AND(ISLOGICAL('F2-3 Arena'!$I$6),'F2-3 Arena'!$I$6=(Key!$C$58="TRUE")),FALSE))),"✘ TRY AGAIN",IF(AND(OR(ISNUMBER(FIND({"=","(",",","+","-","*","/","&amp;"," ","&lt;","&gt;",":","@","^"}&amp;"NOT"&amp;"(",UPPER(_xlfn.FORMULATEXT('F2-3 Arena'!$I$6)))))),"✔ CLEAR","✘ CLOSE · right value, but use NOT")))))</f>
        <v/>
      </c>
      <c r="E38" s="22"/>
      <c r="F38" s="23" cm="1" t="str">
        <f t="array" ref="F38">IF(E38="Show hint",Key!$B$58,"")</f>
        <v/>
      </c>
      <c r="G38" s="24" cm="1">
        <f t="array" ref="G38">IF(LEFT(D38,1)="✔",IF(E38="Show hint",5,10),0)</f>
        <v>0</v>
      </c>
    </row>
  </sheetData>
  <sheetProtection sheet="1" objects="1" scenarios="1" formatColumns="0" formatRows="0"/>
  <conditionalFormatting sqref="D13:D38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35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Key!$E$50:$H$50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Key!$E$51:$H$51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Key!$E$52:$H$52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type="list" allowBlank="1" showInputMessage="1" showErrorMessage="1" promptTitle="Need a hint?" prompt="Pick 'Show hint' (Alt+Down). This question then gives 5 XP instead of 10." sqref="E38">
      <formula1>"Show hint"</formula1>
    </dataValidation>
  </dataValidations>
  <hyperlinks>
    <hyperlink ref="B31" location="'F2-3 Arena'!A1" display="▶ Open F2-3 Arena (or press Ctrl+PgDn)"/>
    <hyperlink ref="C36" location="'F2-3 Arena'!F6" tooltip="Go to F2-3 Arena, cell F6" display="▶ ARENA C4 (cell F6)"/>
    <hyperlink ref="C37" location="'F2-3 Arena'!G6" tooltip="Go to F2-3 Arena, cell G6" display="▶ ARENA C5 (cell G6)"/>
    <hyperlink ref="C38" location="'F2-3 Arena'!I6" tooltip="Go to F2-3 Arena, cell I6" display="▶ ARENA C6 (cell I6)"/>
  </hyperlink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cols>
    <col min="1" max="1" width="14.7109375" customWidth="1"/>
    <col min="2" max="5" width="13.7109375" customWidth="1"/>
    <col min="6" max="7" width="14.7109375" customWidth="1"/>
    <col min="8" max="26" width="13.7109375" customWidth="1"/>
  </cols>
  <sheetData>
    <row r="1" spans="1:9">
      <c r="A1" s="1" t="s">
        <v>237</v>
      </c>
    </row>
    <row r="2" spans="1:9">
      <c r="A2" s="3" t="s">
        <v>5</v>
      </c>
    </row>
    <row r="3" spans="1:9">
      <c r="A3" s="25" t="s">
        <v>6</v>
      </c>
      <c r="B3" s="26" t="s">
        <v>238</v>
      </c>
      <c r="D3" s="11" t="s">
        <v>239</v>
      </c>
    </row>
    <row r="5" spans="1:9">
      <c r="B5" s="27" t="s">
        <v>9</v>
      </c>
      <c r="C5" s="27" t="s">
        <v>10</v>
      </c>
      <c r="D5" s="27" t="s">
        <v>11</v>
      </c>
      <c r="E5" s="27" t="s">
        <v>12</v>
      </c>
      <c r="F5" s="27" t="s">
        <v>240</v>
      </c>
      <c r="G5" s="27" t="s">
        <v>241</v>
      </c>
      <c r="I5" s="27" t="s">
        <v>242</v>
      </c>
    </row>
    <row r="6" spans="1:9">
      <c r="B6" s="5" t="s">
        <v>13</v>
      </c>
      <c r="C6" s="5">
        <v>92</v>
      </c>
      <c r="D6" s="5">
        <v>17</v>
      </c>
      <c r="E6" s="5" t="s">
        <v>14</v>
      </c>
      <c r="F6" s="28"/>
      <c r="G6" s="28"/>
      <c r="I6" s="28"/>
    </row>
    <row r="7" spans="1:9">
      <c r="B7" s="5" t="s">
        <v>15</v>
      </c>
      <c r="C7" s="5">
        <v>48</v>
      </c>
      <c r="D7" s="5">
        <v>22</v>
      </c>
      <c r="E7" s="5" t="s">
        <v>16</v>
      </c>
      <c r="F7" s="28"/>
      <c r="G7" s="28"/>
    </row>
    <row r="8" spans="1:9">
      <c r="B8" s="5" t="s">
        <v>17</v>
      </c>
      <c r="C8" s="5">
        <v>75</v>
      </c>
      <c r="D8" s="5">
        <v>19</v>
      </c>
      <c r="E8" s="5" t="s">
        <v>16</v>
      </c>
      <c r="F8" s="28"/>
      <c r="G8" s="28"/>
    </row>
    <row r="9" spans="1:9">
      <c r="B9" s="5" t="s">
        <v>18</v>
      </c>
      <c r="C9" s="5">
        <v>60</v>
      </c>
      <c r="D9" s="5">
        <v>16</v>
      </c>
      <c r="E9" s="5" t="s">
        <v>14</v>
      </c>
      <c r="F9" s="28"/>
      <c r="G9" s="28"/>
    </row>
    <row r="10" spans="1:9">
      <c r="B10" s="5" t="s">
        <v>19</v>
      </c>
      <c r="C10" s="5">
        <v>88</v>
      </c>
      <c r="D10" s="5">
        <v>30</v>
      </c>
      <c r="E10" s="5" t="s">
        <v>16</v>
      </c>
      <c r="F10" s="28"/>
      <c r="G10" s="28"/>
    </row>
    <row r="11" spans="1:9">
      <c r="B11" s="5" t="s">
        <v>20</v>
      </c>
      <c r="C11" s="5">
        <v>50</v>
      </c>
      <c r="D11" s="5">
        <v>18</v>
      </c>
      <c r="E11" s="5" t="s">
        <v>16</v>
      </c>
      <c r="F11" s="28"/>
      <c r="G11" s="28"/>
    </row>
    <row r="12" spans="1:9">
      <c r="B12" s="5" t="s">
        <v>21</v>
      </c>
      <c r="C12" s="5">
        <v>39</v>
      </c>
      <c r="D12" s="5">
        <v>25</v>
      </c>
      <c r="E12" s="5" t="s">
        <v>14</v>
      </c>
      <c r="F12" s="28"/>
      <c r="G12" s="28"/>
    </row>
    <row r="13" spans="1:9">
      <c r="B13" s="5" t="s">
        <v>22</v>
      </c>
      <c r="C13" s="5">
        <v>81</v>
      </c>
      <c r="D13" s="5">
        <v>41</v>
      </c>
      <c r="E13" s="5" t="s">
        <v>16</v>
      </c>
      <c r="F13" s="28"/>
      <c r="G13" s="28"/>
    </row>
    <row r="14" spans="1:9">
      <c r="B14" s="5" t="s">
        <v>23</v>
      </c>
      <c r="C14" s="5">
        <v>99</v>
      </c>
      <c r="D14" s="5">
        <v>15</v>
      </c>
      <c r="E14" s="5" t="s">
        <v>14</v>
      </c>
      <c r="F14" s="28"/>
      <c r="G14" s="28"/>
    </row>
    <row r="15" spans="1:9">
      <c r="B15" s="5" t="s">
        <v>24</v>
      </c>
      <c r="C15" s="5">
        <v>70</v>
      </c>
      <c r="D15" s="5">
        <v>20</v>
      </c>
      <c r="E15" s="5" t="s">
        <v>14</v>
      </c>
      <c r="F15" s="28"/>
      <c r="G15" s="28"/>
    </row>
  </sheetData>
  <hyperlinks>
    <hyperlink ref="D3" location="'F2-3 Combo Moves'!A1" display="◀ Back to F2-3 Combo Moves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419</v>
      </c>
      <c r="B1" s="2"/>
      <c r="C1" s="2"/>
      <c r="D1" s="2"/>
      <c r="E1" s="2"/>
      <c r="F1" s="2"/>
      <c r="G1" s="2"/>
    </row>
    <row r="2" spans="1:7">
      <c r="A2" s="3" t="s">
        <v>420</v>
      </c>
    </row>
    <row r="3" spans="1:7" ht="26" customHeight="1">
      <c r="A3" s="14" cm="1" t="str">
        <f t="array" ref="A3">"SCORE "&amp;TEXT(SUM($G$13:$G$38),"0000")&amp;" / 0190"</f>
        <v>SCORE 0000 / 0190</v>
      </c>
      <c r="C3" s="15" cm="1" t="str">
        <f t="array" ref="C3">IF(SUM($G$13:$G$38)&gt;=190,"★★★",IF(SUM($G$13:$G$38)&gt;=190*0.8,"★★☆",IF(SUM($G$13:$G$38)&gt;=190*0.5,"★☆☆","☆☆☆")))</f>
        <v>☆☆☆</v>
      </c>
      <c r="D3" s="16" cm="1" t="str">
        <f t="array" ref="D3">REPT("█",ROUND(10*SUM($G$13:$G$38)/190,0))&amp;REPT("░",10-ROUND(10*SUM($G$13:$G$38)/190,0))&amp;"  "&amp;TEXT(SUM($G$13:$G$38)/190,"0%")</f>
        <v>░░░░░░░░░░  0%</v>
      </c>
      <c r="F3" s="17" cm="1" t="str">
        <f t="array" ref="F3">IF(SUM($G$13:$G$38)&gt;=190*0.5,"STAGE CLEAR! ▶ Next: F2-5 Error Shield","")</f>
        <v/>
      </c>
    </row>
    <row r="5" spans="1:7" ht="22" customHeight="1">
      <c r="A5" s="4" t="s">
        <v>28</v>
      </c>
      <c r="B5" s="4"/>
      <c r="C5" s="4"/>
      <c r="D5" s="4"/>
      <c r="E5" s="4"/>
      <c r="F5" s="4"/>
      <c r="G5" s="4"/>
    </row>
    <row r="6" spans="1:7">
      <c r="A6" s="6" t="s">
        <v>29</v>
      </c>
      <c r="B6" s="6" t="s">
        <v>30</v>
      </c>
      <c r="C6" s="6" t="s">
        <v>31</v>
      </c>
      <c r="D6" s="6"/>
      <c r="E6" s="6"/>
      <c r="F6" s="6"/>
      <c r="G6" s="6"/>
    </row>
    <row r="7" spans="1:7" ht="51.25" customHeight="1">
      <c r="A7" s="18" t="s">
        <v>32</v>
      </c>
      <c r="B7" s="8" t="s">
        <v>338</v>
      </c>
      <c r="C7" s="19" t="s">
        <v>119</v>
      </c>
    </row>
    <row r="8" spans="1:7" ht="67" customHeight="1">
      <c r="A8" s="18" t="s">
        <v>35</v>
      </c>
      <c r="B8" s="8" t="s">
        <v>339</v>
      </c>
      <c r="C8" s="19" t="s">
        <v>293</v>
      </c>
    </row>
    <row r="9" spans="1:7" ht="51.25" customHeight="1">
      <c r="A9" s="18" t="s">
        <v>38</v>
      </c>
      <c r="B9" s="8" t="s">
        <v>340</v>
      </c>
      <c r="C9" s="19" t="s">
        <v>113</v>
      </c>
    </row>
    <row r="11" spans="1:7" ht="22" customHeight="1">
      <c r="A11" s="4" t="s">
        <v>41</v>
      </c>
      <c r="B11" s="4"/>
      <c r="C11" s="4"/>
      <c r="D11" s="4"/>
      <c r="E11" s="4"/>
      <c r="F11" s="4"/>
      <c r="G11" s="4"/>
    </row>
    <row r="12" spans="1:7">
      <c r="A12" s="6" t="s">
        <v>29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1</v>
      </c>
      <c r="G12" s="6" t="s">
        <v>46</v>
      </c>
    </row>
    <row r="13" spans="1:7" ht="35.5" customHeight="1">
      <c r="A13" s="18" t="s">
        <v>50</v>
      </c>
      <c r="B13" s="8" t="s">
        <v>342</v>
      </c>
      <c r="C13" s="20"/>
      <c r="D13" s="21" cm="1" t="str">
        <f t="array" ref="D13">IFERROR(_xlfn.LET(_xlpm.a,'F2-4 Multi-Level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$59:$J$59),"✔ CLEAR","✘ TRY AGAIN"))),"✘ TRY AGAIN")</f>
        <v/>
      </c>
      <c r="E13" s="22"/>
      <c r="F13" s="23" cm="1" t="str">
        <f t="array" ref="F13">IF(E13="Show hint",Key!$B$59,"")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55</v>
      </c>
      <c r="B14" s="8" t="s">
        <v>344</v>
      </c>
      <c r="C14" s="20"/>
      <c r="D14" s="21" cm="1" t="str">
        <f t="array" ref="D14">IFERROR(_xlfn.LET(_xlpm.a,'F2-4 Multi-Level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$60:$J$60),"✔ CLEAR","✘ TRY AGAIN"))),"✘ TRY AGAIN")</f>
        <v/>
      </c>
      <c r="E14" s="22"/>
      <c r="F14" s="23" cm="1" t="str">
        <f t="array" ref="F14">IF(E14="Show hint",Key!$B$60,"")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60</v>
      </c>
      <c r="B15" s="8" t="s">
        <v>346</v>
      </c>
      <c r="C15" s="20"/>
      <c r="D15" s="21" cm="1" t="str">
        <f t="array" ref="D15">IFERROR(_xlfn.LET(_xlpm.a,'F2-4 Multi-Level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$61:$J$61),"✔ CLEAR","✘ TRY AGAIN"))),"✘ TRY AGAIN")</f>
        <v/>
      </c>
      <c r="E15" s="22"/>
      <c r="F15" s="23" cm="1" t="str">
        <f t="array" ref="F15">IF(E15="Show hint",Key!$B$61,"")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65</v>
      </c>
      <c r="B16" s="8" t="s">
        <v>350</v>
      </c>
      <c r="C16" s="20"/>
      <c r="D16" s="21" cm="1" t="str">
        <f t="array" ref="D16">IFERROR(_xlfn.LET(_xlpm.a,'F2-4 Multi-Level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$62:$E$62),"✔ CLEAR","✘ TRY AGAIN"))),"✘ TRY AGAIN")</f>
        <v/>
      </c>
      <c r="E16" s="22"/>
      <c r="F16" s="23" cm="1" t="str">
        <f t="array" ref="F16">IF(E16="Show hint",Key!$B$62,"")</f>
        <v/>
      </c>
      <c r="G16" s="24" cm="1">
        <f t="array" ref="G16">IF(LEFT(D16,1)="✔",IF(E16="Show hint",5,10),0)</f>
        <v>0</v>
      </c>
    </row>
    <row r="17" spans="1:7" ht="51.25" customHeight="1">
      <c r="A17" s="18" t="s">
        <v>70</v>
      </c>
      <c r="B17" s="8" t="s">
        <v>356</v>
      </c>
      <c r="C17" s="20"/>
      <c r="D17" s="21" cm="1" t="str">
        <f t="array" ref="D17">IFERROR(_xlfn.LET(_xlpm.a,'F2-4 Multi-Level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$63:$G$63),"✔ CLEAR","✘ TRY AGAIN"))),"✘ TRY AGAIN")</f>
        <v/>
      </c>
      <c r="E17" s="22"/>
      <c r="F17" s="23" cm="1" t="str">
        <f t="array" ref="F17">IF(E17="Show hint",Key!$B$63,"")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75</v>
      </c>
      <c r="B18" s="8" t="s">
        <v>363</v>
      </c>
      <c r="C18" s="20"/>
      <c r="D18" s="21" cm="1" t="str">
        <f t="array" ref="D18">IFERROR(_xlfn.LET(_xlpm.a,'F2-4 Multi-Level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$64:$H$64),"✔ CLEAR","✘ TRY AGAIN"))),"✘ TRY AGAIN")</f>
        <v/>
      </c>
      <c r="E18" s="22"/>
      <c r="F18" s="23" cm="1" t="str">
        <f t="array" ref="F18">IF(E18="Show hint",Key!$B$64,"")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80</v>
      </c>
      <c r="B19" s="8" t="s">
        <v>368</v>
      </c>
      <c r="C19" s="20"/>
      <c r="D19" s="21" cm="1" t="str">
        <f t="array" ref="D19">IFERROR(_xlfn.LET(_xlpm.a,'F2-4 Multi-Level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$65:$F$65),"✔ CLEAR","✘ TRY AGAIN"))),"✘ TRY AGAIN")</f>
        <v/>
      </c>
      <c r="E19" s="22"/>
      <c r="F19" s="23" cm="1" t="str">
        <f t="array" ref="F19">IF(E19="Show hint",Key!$B$65,"")</f>
        <v/>
      </c>
      <c r="G19" s="24" cm="1">
        <f t="array" ref="G19">IF(LEFT(D19,1)="✔",IF(E19="Show hint",5,10),0)</f>
        <v>0</v>
      </c>
    </row>
    <row r="20" spans="1:7" ht="19.75" customHeight="1">
      <c r="A20" s="18" t="s">
        <v>85</v>
      </c>
      <c r="B20" s="8" t="s">
        <v>372</v>
      </c>
      <c r="C20" s="20"/>
      <c r="D20" s="21" cm="1" t="str">
        <f t="array" ref="D20">IFERROR(_xlfn.LET(_xlpm.a,'F2-4 Multi-Level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$66:$E$66),"✔ CLEAR","✘ TRY AGAIN"))),"✘ TRY AGAIN")</f>
        <v/>
      </c>
      <c r="E20" s="22"/>
      <c r="F20" s="23" cm="1" t="str">
        <f t="array" ref="F20">IF(E20="Show hint",Key!$B$66,"")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94</v>
      </c>
      <c r="B21" s="8" t="s">
        <v>379</v>
      </c>
      <c r="C21" s="20"/>
      <c r="D21" s="21" cm="1" t="str">
        <f t="array" ref="D21">IFERROR(_xlfn.LET(_xlpm.a,'F2-4 Multi-Level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$67:$H$67),"✔ CLEAR","✘ TRY AGAIN"))),"✘ TRY AGAIN")</f>
        <v/>
      </c>
      <c r="E21" s="22"/>
      <c r="F21" s="23" cm="1" t="str">
        <f t="array" ref="F21">IF(E21="Show hint",Key!$B$67,"")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108</v>
      </c>
      <c r="B22" s="8" t="s">
        <v>388</v>
      </c>
      <c r="C22" s="20"/>
      <c r="D22" s="21" cm="1" t="str">
        <f t="array" ref="D22">IFERROR(_xlfn.LET(_xlpm.a,'F2-4 Multi-Level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$68:$J$68),"✔ CLEAR","✘ TRY AGAIN"))),"✘ TRY AGAIN")</f>
        <v/>
      </c>
      <c r="E22" s="22"/>
      <c r="F22" s="23" cm="1" t="str">
        <f t="array" ref="F22">IF(E22="Show hint",Key!$B$68,"")</f>
        <v/>
      </c>
      <c r="G22" s="24" cm="1">
        <f t="array" ref="G22">IF(LEFT(D22,1)="✔",IF(E22="Show hint",5,10),0)</f>
        <v>0</v>
      </c>
    </row>
    <row r="24" spans="1:7" ht="22" customHeight="1">
      <c r="A24" s="4" t="s">
        <v>110</v>
      </c>
      <c r="B24" s="4"/>
      <c r="C24" s="4"/>
      <c r="D24" s="4"/>
      <c r="E24" s="4"/>
      <c r="F24" s="4"/>
      <c r="G24" s="4"/>
    </row>
    <row r="25" spans="1:7">
      <c r="A25" s="6" t="s">
        <v>29</v>
      </c>
      <c r="B25" s="6" t="s">
        <v>42</v>
      </c>
      <c r="C25" s="6" t="s">
        <v>43</v>
      </c>
      <c r="D25" s="6" t="s">
        <v>44</v>
      </c>
      <c r="E25" s="6" t="s">
        <v>45</v>
      </c>
      <c r="F25" s="6" t="s">
        <v>1</v>
      </c>
      <c r="G25" s="6" t="s">
        <v>46</v>
      </c>
    </row>
    <row r="26" spans="1:7" ht="35.5" customHeight="1">
      <c r="A26" s="18" t="s">
        <v>114</v>
      </c>
      <c r="B26" s="8" t="s">
        <v>391</v>
      </c>
      <c r="C26" s="20"/>
      <c r="D26" s="21" cm="1" t="str">
        <f t="array" ref="D26">IFERROR(IF('F2-4 Multi-Level'!$C$26&amp;""="","",IF('F2-4 Multi-Level'!$C$26&amp;""=Key!$C$69&amp;"","✔ CLEAR","✘ TRY AGAIN")),"✘ TRY AGAIN")</f>
        <v/>
      </c>
      <c r="E26" s="22"/>
      <c r="F26" s="23" cm="1" t="str">
        <f t="array" ref="F26">IF(E26="Show hint",Key!$B$69,"")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120</v>
      </c>
      <c r="B27" s="8" t="s">
        <v>394</v>
      </c>
      <c r="C27" s="20"/>
      <c r="D27" s="21" cm="1" t="str">
        <f t="array" ref="D27">IFERROR(IF('F2-4 Multi-Level'!$C$27&amp;""="","",IF('F2-4 Multi-Level'!$C$27&amp;""=Key!$C$70&amp;"","✔ CLEAR","✘ TRY AGAIN")),"✘ TRY AGAIN")</f>
        <v/>
      </c>
      <c r="E27" s="22"/>
      <c r="F27" s="23" cm="1" t="str">
        <f t="array" ref="F27">IF(E27="Show hint",Key!$B$70,"")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125</v>
      </c>
      <c r="B28" s="8" t="s">
        <v>397</v>
      </c>
      <c r="C28" s="20"/>
      <c r="D28" s="21" cm="1" t="str">
        <f t="array" ref="D28">IFERROR(IF('F2-4 Multi-Level'!$C$28&amp;""="","",IF('F2-4 Multi-Level'!$C$28&amp;""=Key!$C$71&amp;"","✔ CLEAR","✘ TRY AGAIN")),"✘ TRY AGAIN")</f>
        <v/>
      </c>
      <c r="E28" s="22"/>
      <c r="F28" s="23" cm="1" t="str">
        <f t="array" ref="F28">IF(E28="Show hint",Key!$B$71,"")</f>
        <v/>
      </c>
      <c r="G28" s="24" cm="1">
        <f t="array" ref="G28">IF(LEFT(D28,1)="✔",IF(E28="Show hint",5,10),0)</f>
        <v>0</v>
      </c>
    </row>
    <row r="30" spans="1:7" ht="22" customHeight="1">
      <c r="A30" s="4" t="s">
        <v>127</v>
      </c>
      <c r="B30" s="4"/>
      <c r="C30" s="4"/>
      <c r="D30" s="4"/>
      <c r="E30" s="4"/>
      <c r="F30" s="4"/>
      <c r="G30" s="4"/>
    </row>
    <row r="31" spans="1:7">
      <c r="B31" s="11" t="s">
        <v>398</v>
      </c>
    </row>
    <row r="32" spans="1:7">
      <c r="A32" s="6" t="s">
        <v>29</v>
      </c>
      <c r="B32" s="6" t="s">
        <v>42</v>
      </c>
      <c r="C32" s="6" t="s">
        <v>43</v>
      </c>
      <c r="D32" s="6" t="s">
        <v>44</v>
      </c>
      <c r="E32" s="6" t="s">
        <v>45</v>
      </c>
      <c r="F32" s="6" t="s">
        <v>1</v>
      </c>
      <c r="G32" s="6" t="s">
        <v>46</v>
      </c>
    </row>
    <row r="33" spans="1:7" ht="35.5" customHeight="1">
      <c r="A33" s="18" t="s">
        <v>130</v>
      </c>
      <c r="B33" s="8" t="s">
        <v>391</v>
      </c>
      <c r="C33" s="20"/>
      <c r="D33" s="21" cm="1" t="str">
        <f t="array" ref="D33">IFERROR(_xlfn.LET(_xlpm.a,'F2-4 Multi-Level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$72:$F$72),"✔ CLEAR","✘ TRY AGAIN"))),"✘ TRY AGAIN")</f>
        <v/>
      </c>
      <c r="E33" s="22"/>
      <c r="F33" s="23" cm="1" t="str">
        <f t="array" ref="F33">IF(E33="Show hint",Key!$B$72,"")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132</v>
      </c>
      <c r="B34" s="8" t="s">
        <v>394</v>
      </c>
      <c r="C34" s="20"/>
      <c r="D34" s="21" cm="1" t="str">
        <f t="array" ref="D34">IFERROR(_xlfn.LET(_xlpm.a,'F2-4 Multi-Level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$73:$J$73),"✔ CLEAR","✘ TRY AGAIN"))),"✘ TRY AGAIN")</f>
        <v/>
      </c>
      <c r="E34" s="22"/>
      <c r="F34" s="23" cm="1" t="str">
        <f t="array" ref="F34">IF(E34="Show hint",Key!$B$73,"")</f>
        <v/>
      </c>
      <c r="G34" s="24" cm="1">
        <f t="array" ref="G34">IF(LEFT(D34,1)="✔",IF(E34="Show hint",5,10),0)</f>
        <v>0</v>
      </c>
    </row>
    <row r="35" spans="1:7" ht="35.5" customHeight="1">
      <c r="A35" s="18" t="s">
        <v>138</v>
      </c>
      <c r="B35" s="8" t="s">
        <v>397</v>
      </c>
      <c r="C35" s="20"/>
      <c r="D35" s="21" cm="1" t="str">
        <f t="array" ref="D35">IFERROR(_xlfn.LET(_xlpm.a,'F2-4 Multi-Level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$74:$E$74),"✔ CLEAR","✘ TRY AGAIN"))),"✘ TRY AGAIN")</f>
        <v/>
      </c>
      <c r="E35" s="22"/>
      <c r="F35" s="23" cm="1" t="str">
        <f t="array" ref="F35">IF(E35="Show hint",Key!$B$74,"")</f>
        <v/>
      </c>
      <c r="G35" s="24" cm="1">
        <f t="array" ref="G35">IF(LEFT(D35,1)="✔",IF(E35="Show hint",5,10),0)</f>
        <v>0</v>
      </c>
    </row>
    <row r="36" spans="1:7" ht="51.25" customHeight="1">
      <c r="A36" s="18" t="s">
        <v>141</v>
      </c>
      <c r="B36" s="8" t="s">
        <v>411</v>
      </c>
      <c r="C36" s="11" t="s">
        <v>226</v>
      </c>
      <c r="D36" s="21" cm="1" t="str">
        <f t="array" ref="D36">IF(COUNTA('F2-4 Arena'!$F$6,'F2-4 Arena'!$F$7,'F2-4 Arena'!$F$8,'F2-4 Arena'!$F$9,'F2-4 Arena'!$F$10,'F2-4 Arena'!$F$11,'F2-4 Arena'!$F$12,'F2-4 Arena'!$F$13,'F2-4 Arena'!$F$14,'F2-4 Arena'!$F$15)=0,"",IF(OR(NOT(_xlfn.ISFORMULA('F2-4 Arena'!$F$6)),NOT(_xlfn.ISFORMULA('F2-4 Arena'!$F$7)),NOT(_xlfn.ISFORMULA('F2-4 Arena'!$F$8)),NOT(_xlfn.ISFORMULA('F2-4 Arena'!$F$9)),NOT(_xlfn.ISFORMULA('F2-4 Arena'!$F$10)),NOT(_xlfn.ISFORMULA('F2-4 Arena'!$F$11)),NOT(_xlfn.ISFORMULA('F2-4 Arena'!$F$12)),NOT(_xlfn.ISFORMULA('F2-4 Arena'!$F$13)),NOT(_xlfn.ISFORMULA('F2-4 Arena'!$F$14)),NOT(_xlfn.ISFORMULA('F2-4 Arena'!$F$15))),"✘ Some cells aren't formulas yet",IF(OR(ISERROR('F2-4 Arena'!$F$6),ISERROR('F2-4 Arena'!$F$7),ISERROR('F2-4 Arena'!$F$8),ISERROR('F2-4 Arena'!$F$9),ISERROR('F2-4 Arena'!$F$10),ISERROR('F2-4 Arena'!$F$11),ISERROR('F2-4 Arena'!$F$12),ISERROR('F2-4 Arena'!$F$13),ISERROR('F2-4 Arena'!$F$14),ISERROR('F2-4 Arena'!$F$15)),"✘ Some cells show an error",IF(NOT(AND(IFERROR(AND(ISTEXT('F2-4 Arena'!$F$6),'F2-4 Arena'!$F$6=Key!$E$75),FALSE),IFERROR(AND(ISTEXT('F2-4 Arena'!$F$7),'F2-4 Arena'!$F$7=Key!$F$75),FALSE),IFERROR(AND(ISTEXT('F2-4 Arena'!$F$8),'F2-4 Arena'!$F$8=Key!$G$75),FALSE),IFERROR(AND(ISTEXT('F2-4 Arena'!$F$9),'F2-4 Arena'!$F$9=Key!$H$75),FALSE),IFERROR(AND(ISTEXT('F2-4 Arena'!$F$10),'F2-4 Arena'!$F$10=Key!$I$75),FALSE),IFERROR(AND(ISTEXT('F2-4 Arena'!$F$11),'F2-4 Arena'!$F$11=Key!$J$75),FALSE),IFERROR(AND(ISTEXT('F2-4 Arena'!$F$12),'F2-4 Arena'!$F$12=Key!$K$75),FALSE),IFERROR(AND(ISTEXT('F2-4 Arena'!$F$13),'F2-4 Arena'!$F$13=Key!$L$75),FALSE),IFERROR(AND(ISTEXT('F2-4 Arena'!$F$14),'F2-4 Arena'!$F$14=Key!$M$75),FALSE),IFERROR(AND(ISTEXT('F2-4 Arena'!$F$15),'F2-4 Arena'!$F$15=Key!$N$75),FALSE))),"✘ TRY AGAIN",IF(AND(OR(ISNUMBER(FIND({"=","(",",","+","-","*","/","&amp;"," ","&lt;","&gt;",":","@","^"}&amp;"IF"&amp;"(",UPPER(_xlfn.FORMULATEXT('F2-4 Arena'!$F$6)))))),"✔ CLEAR","✘ CLOSE · right value, but use IF")))))</f>
        <v/>
      </c>
      <c r="E36" s="22"/>
      <c r="F36" s="23" cm="1" t="str">
        <f t="array" ref="F36">IF(E36="Show hint",Key!$B$75,"")</f>
        <v/>
      </c>
      <c r="G36" s="24" cm="1">
        <f t="array" ref="G36">IF(LEFT(D36,1)="✔",IF(E36="Show hint",5,10),0)</f>
        <v>0</v>
      </c>
    </row>
    <row r="37" spans="1:7" ht="51.25" customHeight="1">
      <c r="A37" s="18" t="s">
        <v>146</v>
      </c>
      <c r="B37" s="8" t="s">
        <v>414</v>
      </c>
      <c r="C37" s="11" t="s">
        <v>230</v>
      </c>
      <c r="D37" s="21" cm="1" t="str">
        <f t="array" ref="D37">IF(COUNTA('F2-4 Arena'!$G$6,'F2-4 Arena'!$G$7,'F2-4 Arena'!$G$8,'F2-4 Arena'!$G$9,'F2-4 Arena'!$G$10,'F2-4 Arena'!$G$11,'F2-4 Arena'!$G$12,'F2-4 Arena'!$G$13,'F2-4 Arena'!$G$14,'F2-4 Arena'!$G$15)=0,"",IF(OR(NOT(_xlfn.ISFORMULA('F2-4 Arena'!$G$6)),NOT(_xlfn.ISFORMULA('F2-4 Arena'!$G$7)),NOT(_xlfn.ISFORMULA('F2-4 Arena'!$G$8)),NOT(_xlfn.ISFORMULA('F2-4 Arena'!$G$9)),NOT(_xlfn.ISFORMULA('F2-4 Arena'!$G$10)),NOT(_xlfn.ISFORMULA('F2-4 Arena'!$G$11)),NOT(_xlfn.ISFORMULA('F2-4 Arena'!$G$12)),NOT(_xlfn.ISFORMULA('F2-4 Arena'!$G$13)),NOT(_xlfn.ISFORMULA('F2-4 Arena'!$G$14)),NOT(_xlfn.ISFORMULA('F2-4 Arena'!$G$15))),"✘ Some cells aren't formulas yet",IF(OR(ISERROR('F2-4 Arena'!$G$6),ISERROR('F2-4 Arena'!$G$7),ISERROR('F2-4 Arena'!$G$8),ISERROR('F2-4 Arena'!$G$9),ISERROR('F2-4 Arena'!$G$10),ISERROR('F2-4 Arena'!$G$11),ISERROR('F2-4 Arena'!$G$12),ISERROR('F2-4 Arena'!$G$13),ISERROR('F2-4 Arena'!$G$14),ISERROR('F2-4 Arena'!$G$15)),"✘ Some cells show an error",IF(NOT(AND(IFERROR(AND(ISTEXT('F2-4 Arena'!$G$6),'F2-4 Arena'!$G$6=Key!$E$76),FALSE),IFERROR(AND(ISTEXT('F2-4 Arena'!$G$7),'F2-4 Arena'!$G$7=Key!$F$76),FALSE),IFERROR(AND(ISTEXT('F2-4 Arena'!$G$8),'F2-4 Arena'!$G$8=Key!$G$76),FALSE),IFERROR(AND(ISTEXT('F2-4 Arena'!$G$9),'F2-4 Arena'!$G$9=Key!$H$76),FALSE),IFERROR(AND(ISTEXT('F2-4 Arena'!$G$10),'F2-4 Arena'!$G$10=Key!$I$76),FALSE),IFERROR(AND(ISTEXT('F2-4 Arena'!$G$11),'F2-4 Arena'!$G$11=Key!$J$76),FALSE),IFERROR(AND(ISTEXT('F2-4 Arena'!$G$12),'F2-4 Arena'!$G$12=Key!$K$76),FALSE),IFERROR(AND(ISTEXT('F2-4 Arena'!$G$13),'F2-4 Arena'!$G$13=Key!$L$76),FALSE),IFERROR(AND(ISTEXT('F2-4 Arena'!$G$14),'F2-4 Arena'!$G$14=Key!$M$76),FALSE),IFERROR(AND(ISTEXT('F2-4 Arena'!$G$15),'F2-4 Arena'!$G$15=Key!$N$76),FALSE))),"✘ TRY AGAIN",IF(AND(OR(ISNUMBER(FIND({"=","(",",","+","-","*","/","&amp;"," ","&lt;","&gt;",":","@","^"}&amp;"IFS"&amp;"(",UPPER(_xlfn.FORMULATEXT('F2-4 Arena'!$G$6)))))),"✔ CLEAR","✘ CLOSE · right value, but use IFS")))))</f>
        <v/>
      </c>
      <c r="E37" s="22"/>
      <c r="F37" s="23" cm="1" t="str">
        <f t="array" ref="F37">IF(E37="Show hint",Key!$B$76,"")</f>
        <v/>
      </c>
      <c r="G37" s="24" cm="1">
        <f t="array" ref="G37">IF(LEFT(D37,1)="✔",IF(E37="Show hint",5,10),0)</f>
        <v>0</v>
      </c>
    </row>
    <row r="38" spans="1:7" ht="51.25" customHeight="1">
      <c r="A38" s="18" t="s">
        <v>151</v>
      </c>
      <c r="B38" s="8" t="s">
        <v>418</v>
      </c>
      <c r="C38" s="20"/>
      <c r="D38" s="21" cm="1" t="str">
        <f t="array" ref="D38">IFERROR(_xlfn.LET(_xlpm.a,'F2-4 Multi-Level'!$C$38,IF(TRIM(_xlpm.a&amp;"")="","",IF(SUBSTITUTE(SUBSTITUTE(UPPER(_xlpm.a&amp;"")," ",""),"$","")=Key!$C$77,"✔ CLEAR","✘ TRY AGAIN"))),"✘ TRY AGAIN")</f>
        <v/>
      </c>
      <c r="E38" s="22"/>
      <c r="F38" s="23" cm="1" t="str">
        <f t="array" ref="F38">IF(E38="Show hint",Key!$B$77,"")</f>
        <v/>
      </c>
      <c r="G38" s="24" cm="1">
        <f t="array" ref="G38">IF(LEFT(D38,1)="✔",IF(E38="Show hint",5,10),0)</f>
        <v>0</v>
      </c>
    </row>
  </sheetData>
  <sheetProtection sheet="1" objects="1" scenarios="1" formatColumns="0" formatRows="0"/>
  <conditionalFormatting sqref="D13:D38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36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Key!$E$69:$H$69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Key!$E$70:$H$70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Key!$E$71:$H$71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what you found" prompt="Do the move in the arena, then type the word or number you found here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</dataValidations>
  <hyperlinks>
    <hyperlink ref="B31" location="'F2-4 Arena'!A1" display="▶ Open F2-4 Arena (or press Ctrl+PgDn)"/>
    <hyperlink ref="C36" location="'F2-4 Arena'!F6" tooltip="Go to F2-4 Arena, cell F6" display="▶ ARENA C4 (cell F6)"/>
    <hyperlink ref="C37" location="'F2-4 Arena'!G6" tooltip="Go to F2-4 Arena, cell G6" display="▶ ARENA C5 (cell G6)"/>
  </hyperlink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cols>
    <col min="1" max="1" width="14.7109375" customWidth="1"/>
    <col min="2" max="5" width="13.7109375" customWidth="1"/>
    <col min="6" max="7" width="14.7109375" customWidth="1"/>
    <col min="8" max="26" width="13.7109375" customWidth="1"/>
  </cols>
  <sheetData>
    <row r="1" spans="1:9">
      <c r="A1" s="1" t="s">
        <v>331</v>
      </c>
    </row>
    <row r="2" spans="1:9">
      <c r="A2" s="3" t="s">
        <v>5</v>
      </c>
    </row>
    <row r="3" spans="1:9">
      <c r="A3" s="25" t="s">
        <v>6</v>
      </c>
      <c r="B3" s="26" t="s">
        <v>332</v>
      </c>
      <c r="D3" s="11" t="s">
        <v>333</v>
      </c>
    </row>
    <row r="5" spans="1:9">
      <c r="B5" s="27" t="s">
        <v>9</v>
      </c>
      <c r="C5" s="27" t="s">
        <v>10</v>
      </c>
      <c r="D5" s="27" t="s">
        <v>11</v>
      </c>
      <c r="E5" s="27" t="s">
        <v>12</v>
      </c>
      <c r="F5" s="27" t="s">
        <v>334</v>
      </c>
      <c r="G5" s="27" t="s">
        <v>335</v>
      </c>
      <c r="I5" s="27" t="s">
        <v>336</v>
      </c>
    </row>
    <row r="6" spans="1:9">
      <c r="B6" s="5" t="s">
        <v>13</v>
      </c>
      <c r="C6" s="5">
        <v>92</v>
      </c>
      <c r="D6" s="5">
        <v>17</v>
      </c>
      <c r="E6" s="5" t="s">
        <v>14</v>
      </c>
      <c r="F6" s="28"/>
      <c r="G6" s="28"/>
      <c r="I6" s="5" t="s">
        <v>337</v>
      </c>
    </row>
    <row r="7" spans="1:9">
      <c r="B7" s="5" t="s">
        <v>15</v>
      </c>
      <c r="C7" s="5">
        <v>48</v>
      </c>
      <c r="D7" s="5">
        <v>22</v>
      </c>
      <c r="E7" s="5" t="s">
        <v>16</v>
      </c>
      <c r="F7" s="28"/>
      <c r="G7" s="28"/>
    </row>
    <row r="8" spans="1:9">
      <c r="B8" s="5" t="s">
        <v>17</v>
      </c>
      <c r="C8" s="5">
        <v>75</v>
      </c>
      <c r="D8" s="5">
        <v>19</v>
      </c>
      <c r="E8" s="5" t="s">
        <v>16</v>
      </c>
      <c r="F8" s="28"/>
      <c r="G8" s="28"/>
    </row>
    <row r="9" spans="1:9">
      <c r="B9" s="5" t="s">
        <v>18</v>
      </c>
      <c r="C9" s="5">
        <v>60</v>
      </c>
      <c r="D9" s="5">
        <v>16</v>
      </c>
      <c r="E9" s="5" t="s">
        <v>14</v>
      </c>
      <c r="F9" s="28"/>
      <c r="G9" s="28"/>
    </row>
    <row r="10" spans="1:9">
      <c r="B10" s="5" t="s">
        <v>19</v>
      </c>
      <c r="C10" s="5">
        <v>88</v>
      </c>
      <c r="D10" s="5">
        <v>30</v>
      </c>
      <c r="E10" s="5" t="s">
        <v>16</v>
      </c>
      <c r="F10" s="28"/>
      <c r="G10" s="28"/>
    </row>
    <row r="11" spans="1:9">
      <c r="B11" s="5" t="s">
        <v>20</v>
      </c>
      <c r="C11" s="5">
        <v>50</v>
      </c>
      <c r="D11" s="5">
        <v>18</v>
      </c>
      <c r="E11" s="5" t="s">
        <v>16</v>
      </c>
      <c r="F11" s="28"/>
      <c r="G11" s="28"/>
    </row>
    <row r="12" spans="1:9">
      <c r="B12" s="5" t="s">
        <v>21</v>
      </c>
      <c r="C12" s="5">
        <v>39</v>
      </c>
      <c r="D12" s="5">
        <v>25</v>
      </c>
      <c r="E12" s="5" t="s">
        <v>14</v>
      </c>
      <c r="F12" s="28"/>
      <c r="G12" s="28"/>
    </row>
    <row r="13" spans="1:9">
      <c r="B13" s="5" t="s">
        <v>22</v>
      </c>
      <c r="C13" s="5">
        <v>81</v>
      </c>
      <c r="D13" s="5">
        <v>41</v>
      </c>
      <c r="E13" s="5" t="s">
        <v>16</v>
      </c>
      <c r="F13" s="28"/>
      <c r="G13" s="28"/>
    </row>
    <row r="14" spans="1:9">
      <c r="B14" s="5" t="s">
        <v>23</v>
      </c>
      <c r="C14" s="5">
        <v>99</v>
      </c>
      <c r="D14" s="5">
        <v>15</v>
      </c>
      <c r="E14" s="5" t="s">
        <v>14</v>
      </c>
      <c r="F14" s="28"/>
      <c r="G14" s="28"/>
    </row>
    <row r="15" spans="1:9">
      <c r="B15" s="5" t="s">
        <v>24</v>
      </c>
      <c r="C15" s="5">
        <v>70</v>
      </c>
      <c r="D15" s="5">
        <v>20</v>
      </c>
      <c r="E15" s="5" t="s">
        <v>14</v>
      </c>
      <c r="F15" s="28"/>
      <c r="G15" s="28"/>
    </row>
  </sheetData>
  <hyperlinks>
    <hyperlink ref="D3" location="'F2-4 Multi-Level'!A1" display="◀ Back to F2-4 Multi-Level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42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549</v>
      </c>
      <c r="B1" s="2"/>
      <c r="C1" s="2"/>
      <c r="D1" s="2"/>
      <c r="E1" s="2"/>
      <c r="F1" s="2"/>
      <c r="G1" s="2"/>
    </row>
    <row r="2" spans="1:7">
      <c r="A2" s="3" t="s">
        <v>550</v>
      </c>
    </row>
    <row r="3" spans="1:7" ht="26" customHeight="1">
      <c r="A3" s="14" cm="1" t="str">
        <f t="array" ref="A3">"SCORE "&amp;TEXT(SUM($G$14:$G$42),"0000")&amp;" / 0220"</f>
        <v>SCORE 0000 / 0220</v>
      </c>
      <c r="C3" s="15" cm="1" t="str">
        <f t="array" ref="C3">IF(SUM($G$14:$G$42)&gt;=220,"★★★",IF(SUM($G$14:$G$42)&gt;=220*0.8,"★★☆",IF(SUM($G$14:$G$42)&gt;=220*0.5,"★☆☆","☆☆☆")))</f>
        <v>☆☆☆</v>
      </c>
      <c r="D3" s="16" cm="1" t="str">
        <f t="array" ref="D3">REPT("█",ROUND(10*SUM($G$14:$G$42)/220,0))&amp;REPT("░",10-ROUND(10*SUM($G$14:$G$42)/220,0))&amp;"  "&amp;TEXT(SUM($G$14:$G$42)/220,"0%")</f>
        <v>░░░░░░░░░░  0%</v>
      </c>
      <c r="F3" s="17" cm="1" t="str">
        <f t="array" ref="F3">IF(SUM($G$14:$G$42)&gt;=220*0.5,"STAGE CLEAR! ▶ Next: Boss","")</f>
        <v/>
      </c>
    </row>
    <row r="5" spans="1:7" ht="22" customHeight="1">
      <c r="A5" s="4" t="s">
        <v>28</v>
      </c>
      <c r="B5" s="4"/>
      <c r="C5" s="4"/>
      <c r="D5" s="4"/>
      <c r="E5" s="4"/>
      <c r="F5" s="4"/>
      <c r="G5" s="4"/>
    </row>
    <row r="6" spans="1:7">
      <c r="A6" s="6" t="s">
        <v>29</v>
      </c>
      <c r="B6" s="6" t="s">
        <v>30</v>
      </c>
      <c r="C6" s="6" t="s">
        <v>31</v>
      </c>
      <c r="D6" s="6"/>
      <c r="E6" s="6"/>
      <c r="F6" s="6"/>
      <c r="G6" s="6"/>
    </row>
    <row r="7" spans="1:7" ht="51.25" customHeight="1">
      <c r="A7" s="18" t="s">
        <v>32</v>
      </c>
      <c r="B7" s="8" t="s">
        <v>441</v>
      </c>
      <c r="C7" s="19" t="s">
        <v>442</v>
      </c>
    </row>
    <row r="8" spans="1:7" ht="51.25" customHeight="1">
      <c r="A8" s="18" t="s">
        <v>35</v>
      </c>
      <c r="B8" s="8" t="s">
        <v>443</v>
      </c>
      <c r="C8" s="19" t="s">
        <v>292</v>
      </c>
    </row>
    <row r="9" spans="1:7" ht="35.5" customHeight="1">
      <c r="A9" s="18" t="s">
        <v>38</v>
      </c>
      <c r="B9" s="8" t="s">
        <v>444</v>
      </c>
      <c r="C9" s="19" t="s">
        <v>204</v>
      </c>
    </row>
    <row r="10" spans="1:7" ht="51.25" customHeight="1">
      <c r="A10" s="18" t="s">
        <v>445</v>
      </c>
      <c r="B10" s="8" t="s">
        <v>446</v>
      </c>
      <c r="C10" s="19" t="s">
        <v>447</v>
      </c>
    </row>
    <row r="12" spans="1:7" ht="22" customHeight="1">
      <c r="A12" s="4" t="s">
        <v>41</v>
      </c>
      <c r="B12" s="4"/>
      <c r="C12" s="4"/>
      <c r="D12" s="4"/>
      <c r="E12" s="4"/>
      <c r="F12" s="4"/>
      <c r="G12" s="4"/>
    </row>
    <row r="13" spans="1:7">
      <c r="A13" s="6" t="s">
        <v>29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1</v>
      </c>
      <c r="G13" s="6" t="s">
        <v>46</v>
      </c>
    </row>
    <row r="14" spans="1:7" ht="35.5" customHeight="1">
      <c r="A14" s="18" t="s">
        <v>50</v>
      </c>
      <c r="B14" s="8" t="s">
        <v>449</v>
      </c>
      <c r="C14" s="20"/>
      <c r="D14" s="21" cm="1" t="str">
        <f t="array" ref="D14">IFERROR(_xlfn.LET(_xlpm.a,'F2-5 Error Shield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$78:$F$78),"✔ CLEAR","✘ TRY AGAIN"))),"✘ TRY AGAIN")</f>
        <v/>
      </c>
      <c r="E14" s="22"/>
      <c r="F14" s="23" cm="1" t="str">
        <f t="array" ref="F14">IF(E14="Show hint",Key!$B$78,"")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55</v>
      </c>
      <c r="B15" s="8" t="s">
        <v>451</v>
      </c>
      <c r="C15" s="20"/>
      <c r="D15" s="21" cm="1" t="str">
        <f t="array" ref="D15">IFERROR(_xlfn.LET(_xlpm.a,'F2-5 Error Shield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$79:$J$79),"✔ CLEAR","✘ TRY AGAIN"))),"✘ TRY AGAIN")</f>
        <v/>
      </c>
      <c r="E15" s="22"/>
      <c r="F15" s="23" cm="1" t="str">
        <f t="array" ref="F15">IF(E15="Show hint",Key!$B$79,"")</f>
        <v/>
      </c>
      <c r="G15" s="24" cm="1">
        <f t="array" ref="G15">IF(LEFT(D15,1)="✔",IF(E15="Show hint",5,10),0)</f>
        <v>0</v>
      </c>
    </row>
    <row r="16" spans="1:7" ht="51.25" customHeight="1">
      <c r="A16" s="18" t="s">
        <v>60</v>
      </c>
      <c r="B16" s="8" t="s">
        <v>453</v>
      </c>
      <c r="C16" s="20"/>
      <c r="D16" s="21" cm="1" t="str">
        <f t="array" ref="D16">IFERROR(_xlfn.LET(_xlpm.a,'F2-5 Error Shield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$80:$E$80),"✔ CLEAR","✘ TRY AGAIN"))),"✘ TRY AGAIN")</f>
        <v/>
      </c>
      <c r="E16" s="22"/>
      <c r="F16" s="23" cm="1" t="str">
        <f t="array" ref="F16">IF(E16="Show hint",Key!$B$80,"")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65</v>
      </c>
      <c r="B17" s="8" t="s">
        <v>167</v>
      </c>
      <c r="C17" s="20"/>
      <c r="D17" s="21" cm="1" t="str">
        <f t="array" ref="D17">IFERROR(_xlfn.LET(_xlpm.a,'F2-5 Error Shield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$81:$E$81),"✔ CLEAR","✘ TRY AGAIN"))),"✘ TRY AGAIN")</f>
        <v/>
      </c>
      <c r="E17" s="22"/>
      <c r="F17" s="23" cm="1" t="str">
        <f t="array" ref="F17">IF(E17="Show hint",Key!$B$81,"")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70</v>
      </c>
      <c r="B18" s="8" t="s">
        <v>169</v>
      </c>
      <c r="C18" s="20"/>
      <c r="D18" s="21" cm="1" t="str">
        <f t="array" ref="D18">IFERROR(_xlfn.LET(_xlpm.a,'F2-5 Error Shield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$82:$E$82),"✔ CLEAR","✘ TRY AGAIN"))),"✘ TRY AGAIN")</f>
        <v/>
      </c>
      <c r="E18" s="22"/>
      <c r="F18" s="23" cm="1" t="str">
        <f t="array" ref="F18">IF(E18="Show hint",Key!$B$82,"")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75</v>
      </c>
      <c r="B19" s="8" t="s">
        <v>171</v>
      </c>
      <c r="C19" s="20"/>
      <c r="D19" s="21" cm="1" t="str">
        <f t="array" ref="D19">IFERROR(_xlfn.LET(_xlpm.a,'F2-5 Error Shield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$83:$H$83),"✔ CLEAR","✘ TRY AGAIN"))),"✘ TRY AGAIN")</f>
        <v/>
      </c>
      <c r="E19" s="22"/>
      <c r="F19" s="23" cm="1" t="str">
        <f t="array" ref="F19">IF(E19="Show hint",Key!$B$83,"")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80</v>
      </c>
      <c r="B20" s="8" t="s">
        <v>465</v>
      </c>
      <c r="C20" s="20"/>
      <c r="D20" s="21" cm="1" t="str">
        <f t="array" ref="D20">IFERROR(_xlfn.LET(_xlpm.a,'F2-5 Error Shield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$84:$J$84),"✔ CLEAR","✘ TRY AGAIN"))),"✘ TRY AGAIN")</f>
        <v/>
      </c>
      <c r="E20" s="22"/>
      <c r="F20" s="23" cm="1" t="str">
        <f t="array" ref="F20">IF(E20="Show hint",Key!$B$84,"")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85</v>
      </c>
      <c r="B21" s="8" t="s">
        <v>474</v>
      </c>
      <c r="C21" s="20"/>
      <c r="D21" s="21" cm="1" t="str">
        <f t="array" ref="D21">IFERROR(_xlfn.LET(_xlpm.a,'F2-5 Error Shield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$85:$J$85),"✔ CLEAR","✘ TRY AGAIN"))),"✘ TRY AGAIN")</f>
        <v/>
      </c>
      <c r="E21" s="22"/>
      <c r="F21" s="23" cm="1" t="str">
        <f t="array" ref="F21">IF(E21="Show hint",Key!$B$85,"")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94</v>
      </c>
      <c r="B22" s="8" t="s">
        <v>483</v>
      </c>
      <c r="C22" s="20"/>
      <c r="D22" s="21" cm="1" t="str">
        <f t="array" ref="D22">IFERROR(_xlfn.LET(_xlpm.a,'F2-5 Error Shield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$86:$J$86),"✔ CLEAR","✘ TRY AGAIN"))),"✘ TRY AGAIN")</f>
        <v/>
      </c>
      <c r="E22" s="22"/>
      <c r="F22" s="23" cm="1" t="str">
        <f t="array" ref="F22">IF(E22="Show hint",Key!$B$86,"")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108</v>
      </c>
      <c r="B23" s="8" t="s">
        <v>492</v>
      </c>
      <c r="C23" s="20"/>
      <c r="D23" s="21" cm="1" t="str">
        <f t="array" ref="D23">IFERROR(_xlfn.LET(_xlpm.a,'F2-5 Error Shield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$87:$J$87),"✔ CLEAR","✘ TRY AGAIN"))),"✘ TRY AGAIN")</f>
        <v/>
      </c>
      <c r="E23" s="22"/>
      <c r="F23" s="23" cm="1" t="str">
        <f t="array" ref="F23">IF(E23="Show hint",Key!$B$87,"")</f>
        <v/>
      </c>
      <c r="G23" s="24" cm="1">
        <f t="array" ref="G23">IF(LEFT(D23,1)="✔",IF(E23="Show hint",5,10),0)</f>
        <v>0</v>
      </c>
    </row>
    <row r="25" spans="1:7" ht="22" customHeight="1">
      <c r="A25" s="4" t="s">
        <v>110</v>
      </c>
      <c r="B25" s="4"/>
      <c r="C25" s="4"/>
      <c r="D25" s="4"/>
      <c r="E25" s="4"/>
      <c r="F25" s="4"/>
      <c r="G25" s="4"/>
    </row>
    <row r="26" spans="1:7">
      <c r="A26" s="6" t="s">
        <v>29</v>
      </c>
      <c r="B26" s="6" t="s">
        <v>42</v>
      </c>
      <c r="C26" s="6" t="s">
        <v>43</v>
      </c>
      <c r="D26" s="6" t="s">
        <v>44</v>
      </c>
      <c r="E26" s="6" t="s">
        <v>45</v>
      </c>
      <c r="F26" s="6" t="s">
        <v>1</v>
      </c>
      <c r="G26" s="6" t="s">
        <v>46</v>
      </c>
    </row>
    <row r="27" spans="1:7" ht="35.5" customHeight="1">
      <c r="A27" s="18" t="s">
        <v>114</v>
      </c>
      <c r="B27" s="8" t="s">
        <v>495</v>
      </c>
      <c r="C27" s="20"/>
      <c r="D27" s="21" cm="1" t="str">
        <f t="array" ref="D27">IFERROR(IF('F2-5 Error Shield'!$C$27&amp;""="","",IF('F2-5 Error Shield'!$C$27&amp;""=Key!$C$88&amp;"","✔ CLEAR","✘ TRY AGAIN")),"✘ TRY AGAIN")</f>
        <v/>
      </c>
      <c r="E27" s="22"/>
      <c r="F27" s="23" cm="1" t="str">
        <f t="array" ref="F27">IF(E27="Show hint",Key!$B$88,"")</f>
        <v/>
      </c>
      <c r="G27" s="24" cm="1">
        <f t="array" ref="G27">IF(LEFT(D27,1)="✔",IF(E27="Show hint",5,10),0)</f>
        <v>0</v>
      </c>
    </row>
    <row r="28" spans="1:7" ht="19.75" customHeight="1">
      <c r="A28" s="18" t="s">
        <v>120</v>
      </c>
      <c r="B28" s="8" t="s">
        <v>498</v>
      </c>
      <c r="C28" s="20"/>
      <c r="D28" s="21" cm="1" t="str">
        <f t="array" ref="D28">IFERROR(IF('F2-5 Error Shield'!$C$28&amp;""="","",IF('F2-5 Error Shield'!$C$28&amp;""=Key!$C$89&amp;"","✔ CLEAR","✘ TRY AGAIN")),"✘ TRY AGAIN")</f>
        <v/>
      </c>
      <c r="E28" s="22"/>
      <c r="F28" s="23" cm="1" t="str">
        <f t="array" ref="F28">IF(E28="Show hint",Key!$B$89,"")</f>
        <v/>
      </c>
      <c r="G28" s="24" cm="1">
        <f t="array" ref="G28">IF(LEFT(D28,1)="✔",IF(E28="Show hint",5,10),0)</f>
        <v>0</v>
      </c>
    </row>
    <row r="29" spans="1:7" ht="19.75" customHeight="1">
      <c r="A29" s="18" t="s">
        <v>125</v>
      </c>
      <c r="B29" s="8" t="s">
        <v>501</v>
      </c>
      <c r="C29" s="20"/>
      <c r="D29" s="21" cm="1" t="str">
        <f t="array" ref="D29">IFERROR(IF('F2-5 Error Shield'!$C$29&amp;""="","",IF('F2-5 Error Shield'!$C$29&amp;""=Key!$C$90&amp;"","✔ CLEAR","✘ TRY AGAIN")),"✘ TRY AGAIN")</f>
        <v/>
      </c>
      <c r="E29" s="22"/>
      <c r="F29" s="23" cm="1" t="str">
        <f t="array" ref="F29">IF(E29="Show hint",Key!$B$90,"")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504</v>
      </c>
      <c r="B30" s="8" t="s">
        <v>505</v>
      </c>
      <c r="C30" s="20"/>
      <c r="D30" s="21" cm="1" t="str">
        <f t="array" ref="D30">IFERROR(IF('F2-5 Error Shield'!$C$30&amp;""="","",IF('F2-5 Error Shield'!$C$30&amp;""=Key!$C$91&amp;"","✔ CLEAR","✘ TRY AGAIN")),"✘ TRY AGAIN")</f>
        <v/>
      </c>
      <c r="E30" s="22"/>
      <c r="F30" s="23" cm="1" t="str">
        <f t="array" ref="F30">IF(E30="Show hint",Key!$B$91,"")</f>
        <v/>
      </c>
      <c r="G30" s="24" cm="1">
        <f t="array" ref="G30">IF(LEFT(D30,1)="✔",IF(E30="Show hint",5,10),0)</f>
        <v>0</v>
      </c>
    </row>
    <row r="32" spans="1:7" ht="22" customHeight="1">
      <c r="A32" s="4" t="s">
        <v>127</v>
      </c>
      <c r="B32" s="4"/>
      <c r="C32" s="4"/>
      <c r="D32" s="4"/>
      <c r="E32" s="4"/>
      <c r="F32" s="4"/>
      <c r="G32" s="4"/>
    </row>
    <row r="33" spans="1:7">
      <c r="B33" s="11" t="s">
        <v>506</v>
      </c>
    </row>
    <row r="34" spans="1:7">
      <c r="A34" s="6" t="s">
        <v>29</v>
      </c>
      <c r="B34" s="6" t="s">
        <v>42</v>
      </c>
      <c r="C34" s="6" t="s">
        <v>43</v>
      </c>
      <c r="D34" s="6" t="s">
        <v>44</v>
      </c>
      <c r="E34" s="6" t="s">
        <v>45</v>
      </c>
      <c r="F34" s="6" t="s">
        <v>1</v>
      </c>
      <c r="G34" s="6" t="s">
        <v>46</v>
      </c>
    </row>
    <row r="35" spans="1:7" ht="35.5" customHeight="1">
      <c r="A35" s="18" t="s">
        <v>130</v>
      </c>
      <c r="B35" s="8" t="s">
        <v>495</v>
      </c>
      <c r="C35" s="20"/>
      <c r="D35" s="21" cm="1" t="str">
        <f t="array" ref="D35">IFERROR(_xlfn.LET(_xlpm.a,'F2-5 Error Shield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$92:$J$92),"✔ CLEAR","✘ TRY AGAIN"))),"✘ TRY AGAIN")</f>
        <v/>
      </c>
      <c r="E35" s="22"/>
      <c r="F35" s="23" cm="1" t="str">
        <f t="array" ref="F35">IF(E35="Show hint",Key!$B$92,"")</f>
        <v/>
      </c>
      <c r="G35" s="24" cm="1">
        <f t="array" ref="G35">IF(LEFT(D35,1)="✔",IF(E35="Show hint",5,10),0)</f>
        <v>0</v>
      </c>
    </row>
    <row r="36" spans="1:7" ht="19.75" customHeight="1">
      <c r="A36" s="18" t="s">
        <v>132</v>
      </c>
      <c r="B36" s="8" t="s">
        <v>498</v>
      </c>
      <c r="C36" s="20"/>
      <c r="D36" s="21" cm="1" t="str">
        <f t="array" ref="D36">IFERROR(_xlfn.LET(_xlpm.a,'F2-5 Error Shield'!$C$36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$93:$J$93),"✔ CLEAR","✘ TRY AGAIN"))),"✘ TRY AGAIN")</f>
        <v/>
      </c>
      <c r="E36" s="22"/>
      <c r="F36" s="23" cm="1" t="str">
        <f t="array" ref="F36">IF(E36="Show hint",Key!$B$93,"")</f>
        <v/>
      </c>
      <c r="G36" s="24" cm="1">
        <f t="array" ref="G36">IF(LEFT(D36,1)="✔",IF(E36="Show hint",5,10),0)</f>
        <v>0</v>
      </c>
    </row>
    <row r="37" spans="1:7" ht="19.75" customHeight="1">
      <c r="A37" s="18" t="s">
        <v>138</v>
      </c>
      <c r="B37" s="8" t="s">
        <v>501</v>
      </c>
      <c r="C37" s="20"/>
      <c r="D37" s="21" cm="1" t="str">
        <f t="array" ref="D37">IFERROR(_xlfn.LET(_xlpm.a,'F2-5 Error Shield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$94:$J$94),"✔ CLEAR","✘ TRY AGAIN"))),"✘ TRY AGAIN")</f>
        <v/>
      </c>
      <c r="E37" s="22"/>
      <c r="F37" s="23" cm="1" t="str">
        <f t="array" ref="F37">IF(E37="Show hint",Key!$B$94,"")</f>
        <v/>
      </c>
      <c r="G37" s="24" cm="1">
        <f t="array" ref="G37">IF(LEFT(D37,1)="✔",IF(E37="Show hint",5,10),0)</f>
        <v>0</v>
      </c>
    </row>
    <row r="38" spans="1:7" ht="35.5" customHeight="1">
      <c r="A38" s="18" t="s">
        <v>141</v>
      </c>
      <c r="B38" s="8" t="s">
        <v>505</v>
      </c>
      <c r="C38" s="20"/>
      <c r="D38" s="21" cm="1" t="str">
        <f t="array" ref="D38">IFERROR(_xlfn.LET(_xlpm.a,'F2-5 Error Shield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$95:$J$95),"✔ CLEAR","✘ TRY AGAIN"))),"✘ TRY AGAIN")</f>
        <v/>
      </c>
      <c r="E38" s="22"/>
      <c r="F38" s="23" cm="1" t="str">
        <f t="array" ref="F38">IF(E38="Show hint",Key!$B$95,"")</f>
        <v/>
      </c>
      <c r="G38" s="24" cm="1">
        <f t="array" ref="G38">IF(LEFT(D38,1)="✔",IF(E38="Show hint",5,10),0)</f>
        <v>0</v>
      </c>
    </row>
    <row r="39" spans="1:7" ht="51.25" customHeight="1">
      <c r="A39" s="18" t="s">
        <v>146</v>
      </c>
      <c r="B39" s="8" t="s">
        <v>533</v>
      </c>
      <c r="C39" s="11" t="s">
        <v>534</v>
      </c>
      <c r="D39" s="21" cm="1" t="str">
        <f t="array" ref="D39">IF(COUNTA('F2-5 Arena'!$E$6,'F2-5 Arena'!$E$7,'F2-5 Arena'!$E$8,'F2-5 Arena'!$E$9,'F2-5 Arena'!$E$10,'F2-5 Arena'!$E$11)=0,"",IF(OR(NOT(_xlfn.ISFORMULA('F2-5 Arena'!$E$6)),NOT(_xlfn.ISFORMULA('F2-5 Arena'!$E$7)),NOT(_xlfn.ISFORMULA('F2-5 Arena'!$E$8)),NOT(_xlfn.ISFORMULA('F2-5 Arena'!$E$9)),NOT(_xlfn.ISFORMULA('F2-5 Arena'!$E$10)),NOT(_xlfn.ISFORMULA('F2-5 Arena'!$E$11))),"✘ Some cells aren't formulas yet",IF(OR(ISERROR('F2-5 Arena'!$E$6),ISERROR('F2-5 Arena'!$E$7),ISERROR('F2-5 Arena'!$E$8),ISERROR('F2-5 Arena'!$E$9),ISERROR('F2-5 Arena'!$E$10),ISERROR('F2-5 Arena'!$E$11)),"✘ Some cells show an error",IF(NOT(AND(IFERROR(AND(ISNUMBER('F2-5 Arena'!$E$6),ABS('F2-5 Arena'!$E$6-Key!$E$96)&lt;=1E-9*MAX(1,ABS(Key!$E$96))),FALSE),IFERROR(AND(ISNUMBER('F2-5 Arena'!$E$7),ABS('F2-5 Arena'!$E$7-Key!$F$96)&lt;=1E-9*MAX(1,ABS(Key!$F$96))),FALSE),IFERROR(AND(ISNUMBER('F2-5 Arena'!$E$8),ABS('F2-5 Arena'!$E$8-Key!$G$96)&lt;=1E-9*MAX(1,ABS(Key!$G$96))),FALSE),IFERROR(AND(ISNUMBER('F2-5 Arena'!$E$9),ABS('F2-5 Arena'!$E$9-Key!$H$96)&lt;=1E-9*MAX(1,ABS(Key!$H$96))),FALSE),IFERROR(AND(ISNUMBER('F2-5 Arena'!$E$10),ABS('F2-5 Arena'!$E$10-Key!$I$96)&lt;=1E-9*MAX(1,ABS(Key!$I$96))),FALSE),IFERROR(AND(ISNUMBER('F2-5 Arena'!$E$11),ABS('F2-5 Arena'!$E$11-Key!$J$96)&lt;=1E-9*MAX(1,ABS(Key!$J$96))),FALSE))),"✘ TRY AGAIN",IF(AND(OR(ISNUMBER(FIND({"=","(",",","+","-","*","/","&amp;"," ","&lt;","&gt;",":","@","^"}&amp;"IFERROR"&amp;"(",UPPER(_xlfn.FORMULATEXT('F2-5 Arena'!$E$6)))))),"✔ CLEAR","✘ CLOSE · right value, but use IFERROR")))))</f>
        <v/>
      </c>
      <c r="E39" s="22"/>
      <c r="F39" s="23" cm="1" t="str">
        <f t="array" ref="F39">IF(E39="Show hint",Key!$B$96,"")</f>
        <v/>
      </c>
      <c r="G39" s="24" cm="1">
        <f t="array" ref="G39">IF(LEFT(D39,1)="✔",IF(E39="Show hint",5,10),0)</f>
        <v>0</v>
      </c>
    </row>
    <row r="40" spans="1:7" ht="35.5" customHeight="1">
      <c r="A40" s="18" t="s">
        <v>151</v>
      </c>
      <c r="B40" s="8" t="s">
        <v>537</v>
      </c>
      <c r="C40" s="11" t="s">
        <v>538</v>
      </c>
      <c r="D40" s="21" cm="1" t="str">
        <f t="array" ref="D40">IF(ISBLANK('F2-5 Arena'!$F$14),"",IF(NOT(_xlfn.ISFORMULA('F2-5 Arena'!$F$14)),"✘ That's a typed value · enter a formula",IF(ISERROR('F2-5 Arena'!$F$14),"✘ Your formula returns "&amp;IFERROR(CHOOSE(ERROR.TYPE('F2-5 Arena'!$F$14),"#NULL!","#DIV/0!","#VALUE!","#REF!","#NAME?","#NUM!","#N/A","#GETTING_DATA","#SPILL!","#CONNECT!","#BLOCKED!","#UNKNOWN!","#FIELD!","#CALC!"),"an error"),IF(NOT(AND(IFERROR(AND(ISTEXT('F2-5 Arena'!$F$14),'F2-5 Arena'!$F$14=Key!$C$97),FALSE))),"✘ TRY AGAIN",IF(AND(OR(ISNUMBER(FIND({"=","(",",","+","-","*","/","&amp;"," ","&lt;","&gt;",":","@","^"}&amp;"IFNA"&amp;"(",UPPER(_xlfn.FORMULATEXT('F2-5 Arena'!$F$14)))))),"✔ CLEAR","✘ CLOSE · right value, but use IFNA")))))</f>
        <v/>
      </c>
      <c r="E40" s="22"/>
      <c r="F40" s="23" cm="1" t="str">
        <f t="array" ref="F40">IF(E40="Show hint",Key!$B$97,"")</f>
        <v/>
      </c>
      <c r="G40" s="24" cm="1">
        <f t="array" ref="G40">IF(LEFT(D40,1)="✔",IF(E40="Show hint",5,10),0)</f>
        <v>0</v>
      </c>
    </row>
    <row r="41" spans="1:7" ht="51.25" customHeight="1">
      <c r="A41" s="18" t="s">
        <v>541</v>
      </c>
      <c r="B41" s="8" t="s">
        <v>542</v>
      </c>
      <c r="C41" s="11" t="s">
        <v>543</v>
      </c>
      <c r="D41" s="21" cm="1" t="str">
        <f t="array" ref="D41">IF(COUNTA('F2-5 Arena'!$C$17,'F2-5 Arena'!$C$18,'F2-5 Arena'!$C$19,'F2-5 Arena'!$C$20,'F2-5 Arena'!$C$21)=0,"",IF(OR(NOT(_xlfn.ISFORMULA('F2-5 Arena'!$C$17)),NOT(_xlfn.ISFORMULA('F2-5 Arena'!$C$18)),NOT(_xlfn.ISFORMULA('F2-5 Arena'!$C$19)),NOT(_xlfn.ISFORMULA('F2-5 Arena'!$C$20)),NOT(_xlfn.ISFORMULA('F2-5 Arena'!$C$21))),"✘ Some cells aren't formulas yet",IF(OR(ISERROR('F2-5 Arena'!$C$17),ISERROR('F2-5 Arena'!$C$18),ISERROR('F2-5 Arena'!$C$19),ISERROR('F2-5 Arena'!$C$20),ISERROR('F2-5 Arena'!$C$21)),"✘ Some cells show an error",IF(NOT(AND(IFERROR(AND(ISTEXT('F2-5 Arena'!$C$17),'F2-5 Arena'!$C$17=Key!$E$98),FALSE),IFERROR(AND(ISTEXT('F2-5 Arena'!$C$18),'F2-5 Arena'!$C$18=Key!$F$98),FALSE),IFERROR(AND(ISTEXT('F2-5 Arena'!$C$19),'F2-5 Arena'!$C$19=Key!$G$98),FALSE),IFERROR(AND(ISTEXT('F2-5 Arena'!$C$20),'F2-5 Arena'!$C$20=Key!$H$98),FALSE),IFERROR(AND(ISTEXT('F2-5 Arena'!$C$21),'F2-5 Arena'!$C$21=Key!$I$98),FALSE))),"✘ TRY AGAIN",IF(AND(OR(ISNUMBER(FIND({"=","(",",","+","-","*","/","&amp;"," ","&lt;","&gt;",":","@","^"}&amp;"ISBLANK"&amp;"(",UPPER(_xlfn.FORMULATEXT('F2-5 Arena'!$C$17)))))),"✔ CLEAR","✘ CLOSE · right value, but use ISBLANK")))))</f>
        <v/>
      </c>
      <c r="E41" s="22"/>
      <c r="F41" s="23" cm="1" t="str">
        <f t="array" ref="F41">IF(E41="Show hint",Key!$B$98,"")</f>
        <v/>
      </c>
      <c r="G41" s="24" cm="1">
        <f t="array" ref="G41">IF(LEFT(D41,1)="✔",IF(E41="Show hint",5,10),0)</f>
        <v>0</v>
      </c>
    </row>
    <row r="42" spans="1:7" ht="51.25" customHeight="1">
      <c r="A42" s="18" t="s">
        <v>546</v>
      </c>
      <c r="B42" s="8" t="s">
        <v>547</v>
      </c>
      <c r="C42" s="11" t="s">
        <v>548</v>
      </c>
      <c r="D42" s="21" cm="1" t="str">
        <f t="array" ref="D42">IF(COUNTA('F2-5 Arena'!$E$23,'F2-5 Arena'!$E$24,'F2-5 Arena'!$E$25,'F2-5 Arena'!$E$26,'F2-5 Arena'!$E$27)=0,"",IF(OR(NOT(_xlfn.ISFORMULA('F2-5 Arena'!$E$23)),NOT(_xlfn.ISFORMULA('F2-5 Arena'!$E$24)),NOT(_xlfn.ISFORMULA('F2-5 Arena'!$E$25)),NOT(_xlfn.ISFORMULA('F2-5 Arena'!$E$26)),NOT(_xlfn.ISFORMULA('F2-5 Arena'!$E$27))),"✘ Some cells aren't formulas yet",IF(OR(ISERROR('F2-5 Arena'!$E$23),ISERROR('F2-5 Arena'!$E$24),ISERROR('F2-5 Arena'!$E$25),ISERROR('F2-5 Arena'!$E$26),ISERROR('F2-5 Arena'!$E$27)),"✘ Some cells show an error",IF(NOT(AND(IFERROR(AND(ISTEXT('F2-5 Arena'!$E$23),'F2-5 Arena'!$E$23=Key!$E$99),FALSE),IFERROR(AND(ISTEXT('F2-5 Arena'!$E$24),'F2-5 Arena'!$E$24=Key!$F$99),FALSE),IFERROR(AND(ISTEXT('F2-5 Arena'!$E$25),'F2-5 Arena'!$E$25=Key!$G$99),FALSE),IFERROR(AND(ISTEXT('F2-5 Arena'!$E$26),'F2-5 Arena'!$E$26=Key!$H$99),FALSE),IFERROR(AND(ISTEXT('F2-5 Arena'!$E$27),'F2-5 Arena'!$E$27=Key!$I$99),FALSE))),"✘ TRY AGAIN",IF(AND(OR(ISNUMBER(FIND({"=","(",",","+","-","*","/","&amp;"," ","&lt;","&gt;",":","@","^"}&amp;"ISNUMBER"&amp;"(",UPPER(_xlfn.FORMULATEXT('F2-5 Arena'!$E$23)))))),"✔ CLEAR","✘ CLOSE · right value, but use ISNUMBER")))))</f>
        <v/>
      </c>
      <c r="E42" s="22"/>
      <c r="F42" s="23" cm="1" t="str">
        <f t="array" ref="F42">IF(E42="Show hint",Key!$B$99,"")</f>
        <v/>
      </c>
      <c r="G42" s="24" cm="1">
        <f t="array" ref="G42">IF(LEFT(D42,1)="✔",IF(E42="Show hint",5,10),0)</f>
        <v>0</v>
      </c>
    </row>
  </sheetData>
  <sheetProtection sheet="1" objects="1" scenarios="1" formatColumns="0" formatRows="0"/>
  <conditionalFormatting sqref="D14:D42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40"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Key!$E$88:$H$88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Key!$E$89:$H$89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Key!$E$90:$H$90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Key!$E$91:$H$91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type="list" allowBlank="1" showInputMessage="1" showErrorMessage="1" promptTitle="Need a hint?" prompt="Pick 'Show hint' (Alt+Down). This question then gives 5 XP instead of 10." sqref="E41">
      <formula1>"Show hint"</formula1>
    </dataValidation>
    <dataValidation type="list" allowBlank="1" showInputMessage="1" showErrorMessage="1" promptTitle="Need a hint?" prompt="Pick 'Show hint' (Alt+Down). This question then gives 5 XP instead of 10." sqref="E42">
      <formula1>"Show hint"</formula1>
    </dataValidation>
  </dataValidations>
  <hyperlinks>
    <hyperlink ref="B33" location="'F2-5 Arena'!A1" display="▶ Open F2-5 Arena (or press Ctrl+PgDn)"/>
    <hyperlink ref="C39" location="'F2-5 Arena'!E6" tooltip="Go to F2-5 Arena, cell E6" display="▶ ARENA C5 (cell E6)"/>
    <hyperlink ref="C40" location="'F2-5 Arena'!F14" tooltip="Go to F2-5 Arena, cell F14" display="▶ ARENA C6 (cell F14)"/>
    <hyperlink ref="C41" location="'F2-5 Arena'!C17" tooltip="Go to F2-5 Arena, cell C17" display="▶ ARENA C7 (cell C17)"/>
    <hyperlink ref="C42" location="'F2-5 Arena'!E23" tooltip="Go to F2-5 Arena, cell E23" display="▶ ARENA C8 (cell E23)"/>
  </hyperlink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1" width="14.7109375" customWidth="1"/>
    <col min="2" max="26" width="13.7109375" customWidth="1"/>
  </cols>
  <sheetData>
    <row r="1" spans="1:6">
      <c r="A1" s="1" t="s">
        <v>421</v>
      </c>
    </row>
    <row r="2" spans="1:6">
      <c r="A2" s="3" t="s">
        <v>5</v>
      </c>
    </row>
    <row r="3" spans="1:6">
      <c r="A3" s="25" t="s">
        <v>6</v>
      </c>
      <c r="B3" s="26" t="s">
        <v>422</v>
      </c>
      <c r="D3" s="11" t="s">
        <v>423</v>
      </c>
    </row>
    <row r="5" spans="1:6">
      <c r="B5" s="27" t="s">
        <v>424</v>
      </c>
      <c r="C5" s="27" t="s">
        <v>425</v>
      </c>
      <c r="D5" s="27" t="s">
        <v>426</v>
      </c>
      <c r="E5" s="27" t="s">
        <v>433</v>
      </c>
    </row>
    <row r="6" spans="1:6">
      <c r="B6" s="5" t="s">
        <v>427</v>
      </c>
      <c r="C6" s="5">
        <v>120</v>
      </c>
      <c r="D6" s="5">
        <v>10</v>
      </c>
      <c r="E6" s="28"/>
    </row>
    <row r="7" spans="1:6">
      <c r="B7" s="5" t="s">
        <v>428</v>
      </c>
      <c r="C7" s="5">
        <v>90</v>
      </c>
      <c r="D7" s="5">
        <v>0</v>
      </c>
      <c r="E7" s="28"/>
    </row>
    <row r="8" spans="1:6">
      <c r="B8" s="5" t="s">
        <v>429</v>
      </c>
      <c r="C8" s="5">
        <v>60</v>
      </c>
      <c r="D8" s="5">
        <v>4</v>
      </c>
      <c r="E8" s="28"/>
    </row>
    <row r="9" spans="1:6">
      <c r="B9" s="5" t="s">
        <v>430</v>
      </c>
      <c r="C9" s="5">
        <v>0</v>
      </c>
      <c r="D9" s="5">
        <v>0</v>
      </c>
      <c r="E9" s="28"/>
    </row>
    <row r="10" spans="1:6">
      <c r="B10" s="5" t="s">
        <v>431</v>
      </c>
      <c r="C10" s="5">
        <v>45</v>
      </c>
      <c r="D10" s="5">
        <v>9</v>
      </c>
      <c r="E10" s="28"/>
    </row>
    <row r="11" spans="1:6">
      <c r="B11" s="5" t="s">
        <v>432</v>
      </c>
      <c r="C11" s="5">
        <v>30</v>
      </c>
      <c r="D11" s="5">
        <v>0</v>
      </c>
      <c r="E11" s="28"/>
    </row>
    <row r="14" spans="1:6">
      <c r="B14" s="7" t="s">
        <v>434</v>
      </c>
      <c r="D14" s="5" cm="1" t="str">
        <f t="array" ref="D14">NA()</f>
        <v>#N/A</v>
      </c>
      <c r="E14" s="7" t="s">
        <v>435</v>
      </c>
      <c r="F14" s="28"/>
    </row>
    <row r="16" spans="1:6">
      <c r="B16" s="27" t="s">
        <v>9</v>
      </c>
      <c r="C16" s="27" t="s">
        <v>436</v>
      </c>
    </row>
    <row r="17" spans="2:5">
      <c r="B17" s="5" t="s">
        <v>13</v>
      </c>
      <c r="C17" s="28"/>
    </row>
    <row r="18" spans="2:5">
      <c r="C18" s="28"/>
    </row>
    <row r="19" spans="2:5">
      <c r="B19" s="5" t="s">
        <v>17</v>
      </c>
      <c r="C19" s="28"/>
    </row>
    <row r="20" spans="2:5">
      <c r="C20" s="28"/>
    </row>
    <row r="21" spans="2:5">
      <c r="B21" s="5" t="s">
        <v>19</v>
      </c>
      <c r="C21" s="28"/>
    </row>
    <row r="22" spans="2:5">
      <c r="D22" s="27" t="s">
        <v>437</v>
      </c>
      <c r="E22" s="27" t="s">
        <v>440</v>
      </c>
    </row>
    <row r="23" spans="2:5">
      <c r="D23" s="5">
        <v>12</v>
      </c>
      <c r="E23" s="28"/>
    </row>
    <row r="24" spans="2:5">
      <c r="D24" s="5" t="s">
        <v>438</v>
      </c>
      <c r="E24" s="28"/>
    </row>
    <row r="25" spans="2:5">
      <c r="D25" s="5">
        <v>7.5</v>
      </c>
      <c r="E25" s="28"/>
    </row>
    <row r="26" spans="2:5">
      <c r="D26" s="5" t="s">
        <v>439</v>
      </c>
      <c r="E26" s="28"/>
    </row>
    <row r="27" spans="2:5">
      <c r="D27" s="5">
        <v>3</v>
      </c>
      <c r="E27" s="28"/>
    </row>
  </sheetData>
  <hyperlinks>
    <hyperlink ref="D3" location="'F2-5 Error Shield'!A1" display="◀ Back to F2-5 Error Shield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3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624</v>
      </c>
      <c r="B1" s="2"/>
      <c r="C1" s="2"/>
      <c r="D1" s="2"/>
      <c r="E1" s="2"/>
      <c r="F1" s="2"/>
      <c r="G1" s="2"/>
    </row>
    <row r="2" spans="1:7">
      <c r="A2" s="3" t="s">
        <v>625</v>
      </c>
    </row>
    <row r="3" spans="1:7" ht="26" customHeight="1">
      <c r="A3" s="14" cm="1" t="str">
        <f t="array" ref="A3">"SCORE "&amp;TEXT(SUM($G$14:$G$33),"0000")&amp;" / 0160"</f>
        <v>SCORE 0000 / 0160</v>
      </c>
      <c r="C3" s="15" cm="1" t="str">
        <f t="array" ref="C3">IF(SUM($G$14:$G$33)&gt;=160,"★★★",IF(SUM($G$14:$G$33)&gt;=160*0.8,"★★☆",IF(SUM($G$14:$G$33)&gt;=160*0.5,"★☆☆","☆☆☆")))</f>
        <v>☆☆☆</v>
      </c>
      <c r="D3" s="16" cm="1" t="str">
        <f t="array" ref="D3">REPT("█",ROUND(10*SUM($G$14:$G$33)/160,0))&amp;REPT("░",10-ROUND(10*SUM($G$14:$G$33)/160,0))&amp;"  "&amp;TEXT(SUM($G$14:$G$33)/160,"0%")</f>
        <v>░░░░░░░░░░  0%</v>
      </c>
    </row>
    <row r="5" spans="1:7" ht="22" customHeight="1">
      <c r="A5" s="4" t="s">
        <v>560</v>
      </c>
      <c r="B5" s="4"/>
      <c r="C5" s="4"/>
      <c r="D5" s="4"/>
      <c r="E5" s="4"/>
      <c r="F5" s="4"/>
      <c r="G5" s="4"/>
    </row>
    <row r="6" spans="1:7">
      <c r="B6" s="7" t="s">
        <v>561</v>
      </c>
      <c r="C6" s="29"/>
    </row>
    <row r="7" spans="1:7">
      <c r="B7" s="7" t="s">
        <v>562</v>
      </c>
      <c r="C7" s="29"/>
    </row>
    <row r="8" spans="1:7">
      <c r="B8" s="7" t="s">
        <v>563</v>
      </c>
      <c r="C8" s="30" cm="1" t="str">
        <f t="array" ref="C8">IF(OR(C6="",C7=""),"",ROUND(MOD(C7-C6,1)*1440,0))</f>
        <v/>
      </c>
    </row>
    <row r="9" spans="1:7">
      <c r="B9" s="7" t="s">
        <v>564</v>
      </c>
      <c r="C9" s="30">
        <v>15</v>
      </c>
    </row>
    <row r="10" spans="1:7">
      <c r="B10" s="7" t="s">
        <v>565</v>
      </c>
      <c r="C10" s="12" cm="1" t="str">
        <f t="array" ref="C10">IF(AND(SUM('F2-1 True or False'!$G$13:$G$38)&gt;=190*0.5,SUM('F2-2 Fork in the Road'!$G$13:$G$38)&gt;=190*0.5,SUM('F2-3 Combo Moves'!$G$13:$G$38)&gt;=190*0.5,SUM('F2-4 Multi-Level'!$G$13:$G$38)&gt;=190*0.5,SUM('F2-5 Error Shield'!$G$14:$G$42)&gt;=220*0.5),"OPEN","LOCKED")</f>
        <v>LOCKED</v>
      </c>
      <c r="D10" s="31" cm="1" t="str">
        <f t="array" ref="D10">IF(C10="OPEN","Gate open · go!","Earn ★ on every stage to open the gate")</f>
        <v>Earn ★ on every stage to open the gate</v>
      </c>
    </row>
    <row r="12" spans="1:7" ht="22" customHeight="1">
      <c r="A12" s="4" t="s">
        <v>566</v>
      </c>
      <c r="B12" s="4"/>
      <c r="C12" s="4"/>
      <c r="D12" s="4"/>
      <c r="E12" s="4"/>
      <c r="F12" s="4"/>
      <c r="G12" s="4"/>
    </row>
    <row r="13" spans="1:7">
      <c r="A13" s="6" t="s">
        <v>29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1</v>
      </c>
      <c r="G13" s="6" t="s">
        <v>46</v>
      </c>
    </row>
    <row r="14" spans="1:7" ht="35.5" customHeight="1">
      <c r="A14" s="18" t="s">
        <v>568</v>
      </c>
      <c r="B14" s="31" cm="1" t="str">
        <f t="array" ref="B14">IF($C$10="OPEN","Which function replaces any error with your own value?  (from F2-5 Error Shield)","LOCKED · earn ★ on every stage to open the Boss gate")</f>
        <v>LOCKED · earn ★ on every stage to open the Boss gate</v>
      </c>
      <c r="C14" s="20"/>
      <c r="D14" s="21" cm="1" t="str">
        <f t="array" ref="D14">IF($C$10="OPEN",IFERROR(_xlfn.LET(_xlpm.a,Boss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$100:$J$100),"✔ CLEAR","✘ TRY AGAIN"))),"✘ TRY AGAIN"),"LOCKED")</f>
        <v>LOCKED</v>
      </c>
      <c r="E14" s="22"/>
      <c r="F14" s="23" cm="1" t="str">
        <f t="array" ref="F14">IF(E14="Show hint",Key!$B$100,"")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570</v>
      </c>
      <c r="B15" s="31" cm="1" t="str">
        <f t="array" ref="B15">IF($C$10="OPEN","Which function replaces only the #N/A error?  (from F2-5 Error Shield)","LOCKED · earn ★ on every stage to open the Boss gate")</f>
        <v>LOCKED · earn ★ on every stage to open the Boss gate</v>
      </c>
      <c r="C15" s="20"/>
      <c r="D15" s="21" cm="1" t="str">
        <f t="array" ref="D15">IF($C$10="OPEN",IFERROR(_xlfn.LET(_xlpm.a,Boss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$101:$J$101),"✔ CLEAR","✘ TRY AGAIN"))),"✘ TRY AGAIN"),"LOCKED")</f>
        <v>LOCKED</v>
      </c>
      <c r="E15" s="22"/>
      <c r="F15" s="23" cm="1" t="str">
        <f t="array" ref="F15">IF(E15="Show hint",Key!$B$101,"")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572</v>
      </c>
      <c r="B16" s="31" cm="1" t="str">
        <f t="array" ref="B16">IF($C$10="OPEN","Which function is TRUE when a cell is empty?  (from F2-5 Error Shield)","LOCKED · earn ★ on every stage to open the Boss gate")</f>
        <v>LOCKED · earn ★ on every stage to open the Boss gate</v>
      </c>
      <c r="C16" s="20"/>
      <c r="D16" s="21" cm="1" t="str">
        <f t="array" ref="D16">IF($C$10="OPEN",IFERROR(_xlfn.LET(_xlpm.a,Boss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$102:$J$102),"✔ CLEAR","✘ TRY AGAIN"))),"✘ TRY AGAIN"),"LOCKED")</f>
        <v>LOCKED</v>
      </c>
      <c r="E16" s="22"/>
      <c r="F16" s="23" cm="1" t="str">
        <f t="array" ref="F16">IF(E16="Show hint",Key!$B$102,"")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574</v>
      </c>
      <c r="B17" s="31" cm="1" t="str">
        <f t="array" ref="B17">IF($C$10="OPEN","Which function is TRUE when a value is a number?  (from F2-5 Error Shield)","LOCKED · earn ★ on every stage to open the Boss gate")</f>
        <v>LOCKED · earn ★ on every stage to open the Boss gate</v>
      </c>
      <c r="C17" s="20"/>
      <c r="D17" s="21" cm="1" t="str">
        <f t="array" ref="D17">IF($C$10="OPEN",IFERROR(_xlfn.LET(_xlpm.a,Boss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$103:$J$103),"✔ CLEAR","✘ TRY AGAIN"))),"✘ TRY AGAIN"),"LOCKED")</f>
        <v>LOCKED</v>
      </c>
      <c r="E17" s="22"/>
      <c r="F17" s="23" cm="1" t="str">
        <f t="array" ref="F17">IF(E17="Show hint",Key!$B$103,"")</f>
        <v/>
      </c>
      <c r="G17" s="24" cm="1">
        <f t="array" ref="G17">IF(LEFT(D17,1)="✔",IF(E17="Show hint",5,10),0)</f>
        <v>0</v>
      </c>
    </row>
    <row r="18" spans="1:7" ht="51.25" customHeight="1">
      <c r="A18" s="18" t="s">
        <v>576</v>
      </c>
      <c r="B18" s="31" cm="1" t="str">
        <f t="array" ref="B18">IF($C$10="OPEN","Which function returns one value when a test is TRUE and another when FALSE?  (from F2-2 Fork in the Road)","LOCKED · earn ★ on every stage to open the Boss gate")</f>
        <v>LOCKED · earn ★ on every stage to open the Boss gate</v>
      </c>
      <c r="C18" s="20"/>
      <c r="D18" s="21" cm="1" t="str">
        <f t="array" ref="D18">IF($C$10="OPEN",IFERROR(_xlfn.LET(_xlpm.a,Boss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$104:$J$104),"✔ CLEAR","✘ TRY AGAIN"))),"✘ TRY AGAIN"),"LOCKED")</f>
        <v>LOCKED</v>
      </c>
      <c r="E18" s="22"/>
      <c r="F18" s="23" cm="1" t="str">
        <f t="array" ref="F18">IF(E18="Show hint",Key!$B$104,"")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578</v>
      </c>
      <c r="B19" s="31" cm="1" t="str">
        <f t="array" ref="B19">IF($C$10="OPEN","In =IF"&amp;"(B2&gt;100,B2*0.9,B2), what is returned when B2 is 50?  (from F2-2 Fork in the Road)","LOCKED · earn ★ on every stage to open the Boss gate")</f>
        <v>LOCKED · earn ★ on every stage to open the Boss gate</v>
      </c>
      <c r="C19" s="20"/>
      <c r="D19" s="21" cm="1" t="str">
        <f t="array" ref="D19">IF($C$10="OPEN",IFERROR(_xlfn.LET(_xlpm.a,Boss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$105:$E$105),"✔ CLEAR","✘ TRY AGAIN"))),"✘ TRY AGAIN"),"LOCKED")</f>
        <v>LOCKED</v>
      </c>
      <c r="E19" s="22"/>
      <c r="F19" s="23" cm="1" t="str">
        <f t="array" ref="F19">IF(E19="Show hint",Key!$B$105,"")</f>
        <v/>
      </c>
      <c r="G19" s="24" cm="1">
        <f t="array" ref="G19">IF(LEFT(D19,1)="✔",IF(E19="Show hint",5,10),0)</f>
        <v>0</v>
      </c>
    </row>
    <row r="20" spans="1:7" ht="51.25" customHeight="1">
      <c r="A20" s="18" t="s">
        <v>580</v>
      </c>
      <c r="B20" s="31" cm="1" t="str">
        <f t="array" ref="B20">IF($C$10="OPEN","What do you type in a formula for an empty, blank-looking result?  (from F2-2 Fork in the Road)","LOCKED · earn ★ on every stage to open the Boss gate")</f>
        <v>LOCKED · earn ★ on every stage to open the Boss gate</v>
      </c>
      <c r="C20" s="20"/>
      <c r="D20" s="21" cm="1" t="str">
        <f t="array" ref="D20">IF($C$10="OPEN",IFERROR(_xlfn.LET(_xlpm.a,Boss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$106:$E$106),"✔ CLEAR","✘ TRY AGAIN"))),"✘ TRY AGAIN"),"LOCKED")</f>
        <v>LOCKED</v>
      </c>
      <c r="E20" s="22"/>
      <c r="F20" s="23" cm="1" t="str">
        <f t="array" ref="F20">IF(E20="Show hint",Key!$B$106,"")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589</v>
      </c>
      <c r="B21" s="31" cm="1" t="str">
        <f t="array" ref="B21">IF($C$10="OPEN","Which function counts every non-empty cell?  (from F1-2 Big Six)","LOCKED · earn ★ on every stage to open the Boss gate")</f>
        <v>LOCKED · earn ★ on every stage to open the Boss gate</v>
      </c>
      <c r="C21" s="20"/>
      <c r="D21" s="21" cm="1" t="str">
        <f t="array" ref="D21">IF($C$10="OPEN",IFERROR(_xlfn.LET(_xlpm.a,Boss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$107:$J$107),"✔ CLEAR","✘ TRY AGAIN"))),"✘ TRY AGAIN"),"LOCKED")</f>
        <v>LOCKED</v>
      </c>
      <c r="E21" s="22"/>
      <c r="F21" s="23" cm="1" t="str">
        <f t="array" ref="F21">IF(E21="Show hint",Key!$B$107,"")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590</v>
      </c>
      <c r="B23" s="4"/>
      <c r="C23" s="4"/>
      <c r="D23" s="4"/>
      <c r="E23" s="4"/>
      <c r="F23" s="4"/>
      <c r="G23" s="4"/>
    </row>
    <row r="24" spans="1:7">
      <c r="B24" s="11" t="s">
        <v>591</v>
      </c>
    </row>
    <row r="25" spans="1:7">
      <c r="A25" s="6" t="s">
        <v>29</v>
      </c>
      <c r="B25" s="6" t="s">
        <v>42</v>
      </c>
      <c r="C25" s="6" t="s">
        <v>43</v>
      </c>
      <c r="D25" s="6" t="s">
        <v>44</v>
      </c>
      <c r="E25" s="6" t="s">
        <v>45</v>
      </c>
      <c r="F25" s="6" t="s">
        <v>1</v>
      </c>
      <c r="G25" s="6" t="s">
        <v>46</v>
      </c>
    </row>
    <row r="26" spans="1:7" ht="35.5" customHeight="1">
      <c r="A26" s="18" t="s">
        <v>594</v>
      </c>
      <c r="B26" s="31" cm="1" t="str">
        <f t="array" ref="B26">IF($C$10="OPEN","In F6 return ""Pass"" for a Score of 60 or more, otherwise ""Fail"". Fill down to F15.","LOCKED · earn ★ on every stage to open the Boss gate")</f>
        <v>LOCKED · earn ★ on every stage to open the Boss gate</v>
      </c>
      <c r="C26" s="11" t="s">
        <v>595</v>
      </c>
      <c r="D26" s="21" cm="1" t="str">
        <f t="array" ref="D26">IF($C$10="OPEN",IF(COUNTA('Boss Arena'!$F$6,'Boss Arena'!$F$7,'Boss Arena'!$F$8,'Boss Arena'!$F$9,'Boss Arena'!$F$10,'Boss Arena'!$F$11,'Boss Arena'!$F$12,'Boss Arena'!$F$13,'Boss Arena'!$F$14,'Boss Arena'!$F$15)=0,"",IF(OR(NOT(_xlfn.ISFORMULA('Boss Arena'!$F$6)),NOT(_xlfn.ISFORMULA('Boss Arena'!$F$7)),NOT(_xlfn.ISFORMULA('Boss Arena'!$F$8)),NOT(_xlfn.ISFORMULA('Boss Arena'!$F$9)),NOT(_xlfn.ISFORMULA('Boss Arena'!$F$10)),NOT(_xlfn.ISFORMULA('Boss Arena'!$F$11)),NOT(_xlfn.ISFORMULA('Boss Arena'!$F$12)),NOT(_xlfn.ISFORMULA('Boss Arena'!$F$13)),NOT(_xlfn.ISFORMULA('Boss Arena'!$F$14)),NOT(_xlfn.ISFORMULA('Boss Arena'!$F$15))),"✘ Some cells aren't formulas yet",IF(OR(ISERROR('Boss Arena'!$F$6),ISERROR('Boss Arena'!$F$7),ISERROR('Boss Arena'!$F$8),ISERROR('Boss Arena'!$F$9),ISERROR('Boss Arena'!$F$10),ISERROR('Boss Arena'!$F$11),ISERROR('Boss Arena'!$F$12),ISERROR('Boss Arena'!$F$13),ISERROR('Boss Arena'!$F$14),ISERROR('Boss Arena'!$F$15)),"✘ Some cells show an error",IF(NOT(AND(IFERROR(AND(ISTEXT('Boss Arena'!$F$6),'Boss Arena'!$F$6=Key!$E$108),FALSE),IFERROR(AND(ISTEXT('Boss Arena'!$F$7),'Boss Arena'!$F$7=Key!$F$108),FALSE),IFERROR(AND(ISTEXT('Boss Arena'!$F$8),'Boss Arena'!$F$8=Key!$G$108),FALSE),IFERROR(AND(ISTEXT('Boss Arena'!$F$9),'Boss Arena'!$F$9=Key!$H$108),FALSE),IFERROR(AND(ISTEXT('Boss Arena'!$F$10),'Boss Arena'!$F$10=Key!$I$108),FALSE),IFERROR(AND(ISTEXT('Boss Arena'!$F$11),'Boss Arena'!$F$11=Key!$J$108),FALSE),IFERROR(AND(ISTEXT('Boss Arena'!$F$12),'Boss Arena'!$F$12=Key!$K$108),FALSE),IFERROR(AND(ISTEXT('Boss Arena'!$F$13),'Boss Arena'!$F$13=Key!$L$108),FALSE),IFERROR(AND(ISTEXT('Boss Arena'!$F$14),'Boss Arena'!$F$14=Key!$M$108),FALSE),IFERROR(AND(ISTEXT('Boss Arena'!$F$15),'Boss Arena'!$F$15=Key!$N$108),FALSE))),"✘ TRY AGAIN",IF(AND(OR(ISNUMBER(FIND({"=","(",",","+","-","*","/","&amp;"," ","&lt;","&gt;",":","@","^"}&amp;"IF"&amp;"(",UPPER(_xlfn.FORMULATEXT('Boss Arena'!$F$6)))))),"✔ CLEAR","✘ CLOSE · right value, but use IF"))))),"LOCKED")</f>
        <v>LOCKED</v>
      </c>
      <c r="E26" s="22"/>
      <c r="F26" s="23" cm="1" t="str">
        <f t="array" ref="F26">IF(E26="Show hint",Key!$B$108,"")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598</v>
      </c>
      <c r="B27" s="31" cm="1" t="str">
        <f t="array" ref="B27">IF($C$10="OPEN","In G6 return ""Yes"" when Age is 18+ AND Score is 70+, otherwise ""No"". Fill down to G15.","LOCKED · earn ★ on every stage to open the Boss gate")</f>
        <v>LOCKED · earn ★ on every stage to open the Boss gate</v>
      </c>
      <c r="C27" s="11" t="s">
        <v>599</v>
      </c>
      <c r="D27" s="21" cm="1" t="str">
        <f t="array" ref="D27">IF($C$10="OPEN",IF(COUNTA('Boss Arena'!$G$6,'Boss Arena'!$G$7,'Boss Arena'!$G$8,'Boss Arena'!$G$9,'Boss Arena'!$G$10,'Boss Arena'!$G$11,'Boss Arena'!$G$12,'Boss Arena'!$G$13,'Boss Arena'!$G$14,'Boss Arena'!$G$15)=0,"",IF(OR(NOT(_xlfn.ISFORMULA('Boss Arena'!$G$6)),NOT(_xlfn.ISFORMULA('Boss Arena'!$G$7)),NOT(_xlfn.ISFORMULA('Boss Arena'!$G$8)),NOT(_xlfn.ISFORMULA('Boss Arena'!$G$9)),NOT(_xlfn.ISFORMULA('Boss Arena'!$G$10)),NOT(_xlfn.ISFORMULA('Boss Arena'!$G$11)),NOT(_xlfn.ISFORMULA('Boss Arena'!$G$12)),NOT(_xlfn.ISFORMULA('Boss Arena'!$G$13)),NOT(_xlfn.ISFORMULA('Boss Arena'!$G$14)),NOT(_xlfn.ISFORMULA('Boss Arena'!$G$15))),"✘ Some cells aren't formulas yet",IF(OR(ISERROR('Boss Arena'!$G$6),ISERROR('Boss Arena'!$G$7),ISERROR('Boss Arena'!$G$8),ISERROR('Boss Arena'!$G$9),ISERROR('Boss Arena'!$G$10),ISERROR('Boss Arena'!$G$11),ISERROR('Boss Arena'!$G$12),ISERROR('Boss Arena'!$G$13),ISERROR('Boss Arena'!$G$14),ISERROR('Boss Arena'!$G$15)),"✘ Some cells show an error",IF(NOT(AND(IFERROR(AND(ISTEXT('Boss Arena'!$G$6),'Boss Arena'!$G$6=Key!$E$109),FALSE),IFERROR(AND(ISTEXT('Boss Arena'!$G$7),'Boss Arena'!$G$7=Key!$F$109),FALSE),IFERROR(AND(ISTEXT('Boss Arena'!$G$8),'Boss Arena'!$G$8=Key!$G$109),FALSE),IFERROR(AND(ISTEXT('Boss Arena'!$G$9),'Boss Arena'!$G$9=Key!$H$109),FALSE),IFERROR(AND(ISTEXT('Boss Arena'!$G$10),'Boss Arena'!$G$10=Key!$I$109),FALSE),IFERROR(AND(ISTEXT('Boss Arena'!$G$11),'Boss Arena'!$G$11=Key!$J$109),FALSE),IFERROR(AND(ISTEXT('Boss Arena'!$G$12),'Boss Arena'!$G$12=Key!$K$109),FALSE),IFERROR(AND(ISTEXT('Boss Arena'!$G$13),'Boss Arena'!$G$13=Key!$L$109),FALSE),IFERROR(AND(ISTEXT('Boss Arena'!$G$14),'Boss Arena'!$G$14=Key!$M$109),FALSE),IFERROR(AND(ISTEXT('Boss Arena'!$G$15),'Boss Arena'!$G$15=Key!$N$109),FALSE))),"✘ TRY AGAIN",IF(AND(OR(ISNUMBER(FIND({"=","(",",","+","-","*","/","&amp;"," ","&lt;","&gt;",":","@","^"}&amp;"AND"&amp;"(",UPPER(_xlfn.FORMULATEXT('Boss Arena'!$G$6)))))),"✔ CLEAR","✘ CLOSE · right value, but use AND"))))),"LOCKED")</f>
        <v>LOCKED</v>
      </c>
      <c r="E27" s="22"/>
      <c r="F27" s="23" cm="1" t="str">
        <f t="array" ref="F27">IF(E27="Show hint",Key!$B$109,"")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602</v>
      </c>
      <c r="B28" s="31" cm="1" t="str">
        <f t="array" ref="B28">IF($C$10="OPEN","In H6 return ""Star"" when Score is 95+ OR Age is 40+, otherwise ""No"". Fill down to H15.","LOCKED · earn ★ on every stage to open the Boss gate")</f>
        <v>LOCKED · earn ★ on every stage to open the Boss gate</v>
      </c>
      <c r="C28" s="11" t="s">
        <v>603</v>
      </c>
      <c r="D28" s="21" cm="1" t="str">
        <f t="array" ref="D28">IF($C$10="OPEN",IF(COUNTA('Boss Arena'!$H$6,'Boss Arena'!$H$7,'Boss Arena'!$H$8,'Boss Arena'!$H$9,'Boss Arena'!$H$10,'Boss Arena'!$H$11,'Boss Arena'!$H$12,'Boss Arena'!$H$13,'Boss Arena'!$H$14,'Boss Arena'!$H$15)=0,"",IF(OR(NOT(_xlfn.ISFORMULA('Boss Arena'!$H$6)),NOT(_xlfn.ISFORMULA('Boss Arena'!$H$7)),NOT(_xlfn.ISFORMULA('Boss Arena'!$H$8)),NOT(_xlfn.ISFORMULA('Boss Arena'!$H$9)),NOT(_xlfn.ISFORMULA('Boss Arena'!$H$10)),NOT(_xlfn.ISFORMULA('Boss Arena'!$H$11)),NOT(_xlfn.ISFORMULA('Boss Arena'!$H$12)),NOT(_xlfn.ISFORMULA('Boss Arena'!$H$13)),NOT(_xlfn.ISFORMULA('Boss Arena'!$H$14)),NOT(_xlfn.ISFORMULA('Boss Arena'!$H$15))),"✘ Some cells aren't formulas yet",IF(OR(ISERROR('Boss Arena'!$H$6),ISERROR('Boss Arena'!$H$7),ISERROR('Boss Arena'!$H$8),ISERROR('Boss Arena'!$H$9),ISERROR('Boss Arena'!$H$10),ISERROR('Boss Arena'!$H$11),ISERROR('Boss Arena'!$H$12),ISERROR('Boss Arena'!$H$13),ISERROR('Boss Arena'!$H$14),ISERROR('Boss Arena'!$H$15)),"✘ Some cells show an error",IF(NOT(AND(IFERROR(AND(ISTEXT('Boss Arena'!$H$6),'Boss Arena'!$H$6=Key!$E$110),FALSE),IFERROR(AND(ISTEXT('Boss Arena'!$H$7),'Boss Arena'!$H$7=Key!$F$110),FALSE),IFERROR(AND(ISTEXT('Boss Arena'!$H$8),'Boss Arena'!$H$8=Key!$G$110),FALSE),IFERROR(AND(ISTEXT('Boss Arena'!$H$9),'Boss Arena'!$H$9=Key!$H$110),FALSE),IFERROR(AND(ISTEXT('Boss Arena'!$H$10),'Boss Arena'!$H$10=Key!$I$110),FALSE),IFERROR(AND(ISTEXT('Boss Arena'!$H$11),'Boss Arena'!$H$11=Key!$J$110),FALSE),IFERROR(AND(ISTEXT('Boss Arena'!$H$12),'Boss Arena'!$H$12=Key!$K$110),FALSE),IFERROR(AND(ISTEXT('Boss Arena'!$H$13),'Boss Arena'!$H$13=Key!$L$110),FALSE),IFERROR(AND(ISTEXT('Boss Arena'!$H$14),'Boss Arena'!$H$14=Key!$M$110),FALSE),IFERROR(AND(ISTEXT('Boss Arena'!$H$15),'Boss Arena'!$H$15=Key!$N$110),FALSE))),"✘ TRY AGAIN",IF(AND(OR(ISNUMBER(FIND({"=","(",",","+","-","*","/","&amp;"," ","&lt;","&gt;",":","@","^"}&amp;"OR"&amp;"(",UPPER(_xlfn.FORMULATEXT('Boss Arena'!$H$6)))))),"✔ CLEAR","✘ CLOSE · right value, but use OR"))))),"LOCKED")</f>
        <v>LOCKED</v>
      </c>
      <c r="E28" s="22"/>
      <c r="F28" s="23" cm="1" t="str">
        <f t="array" ref="F28">IF(E28="Show hint",Key!$B$110,"")</f>
        <v/>
      </c>
      <c r="G28" s="24" cm="1">
        <f t="array" ref="G28">IF(LEFT(D28,1)="✔",IF(E28="Show hint",5,10),0)</f>
        <v>0</v>
      </c>
    </row>
    <row r="29" spans="1:7" ht="51.25" customHeight="1">
      <c r="A29" s="18" t="s">
        <v>606</v>
      </c>
      <c r="B29" s="31" cm="1" t="str">
        <f t="array" ref="B29">IF($C$10="OPEN","In I6 use IFS: ""Gold"" for 90+, ""Silver"" for 75+, ""Bronze"" for 60+, otherwise ""None"". Fill down.","LOCKED · earn ★ on every stage to open the Boss gate")</f>
        <v>LOCKED · earn ★ on every stage to open the Boss gate</v>
      </c>
      <c r="C29" s="11" t="s">
        <v>607</v>
      </c>
      <c r="D29" s="21" cm="1" t="str">
        <f t="array" ref="D29">IF($C$10="OPEN",IF(COUNTA('Boss Arena'!$I$6,'Boss Arena'!$I$7,'Boss Arena'!$I$8,'Boss Arena'!$I$9,'Boss Arena'!$I$10,'Boss Arena'!$I$11,'Boss Arena'!$I$12,'Boss Arena'!$I$13,'Boss Arena'!$I$14,'Boss Arena'!$I$15)=0,"",IF(OR(NOT(_xlfn.ISFORMULA('Boss Arena'!$I$6)),NOT(_xlfn.ISFORMULA('Boss Arena'!$I$7)),NOT(_xlfn.ISFORMULA('Boss Arena'!$I$8)),NOT(_xlfn.ISFORMULA('Boss Arena'!$I$9)),NOT(_xlfn.ISFORMULA('Boss Arena'!$I$10)),NOT(_xlfn.ISFORMULA('Boss Arena'!$I$11)),NOT(_xlfn.ISFORMULA('Boss Arena'!$I$12)),NOT(_xlfn.ISFORMULA('Boss Arena'!$I$13)),NOT(_xlfn.ISFORMULA('Boss Arena'!$I$14)),NOT(_xlfn.ISFORMULA('Boss Arena'!$I$15))),"✘ Some cells aren't formulas yet",IF(OR(ISERROR('Boss Arena'!$I$6),ISERROR('Boss Arena'!$I$7),ISERROR('Boss Arena'!$I$8),ISERROR('Boss Arena'!$I$9),ISERROR('Boss Arena'!$I$10),ISERROR('Boss Arena'!$I$11),ISERROR('Boss Arena'!$I$12),ISERROR('Boss Arena'!$I$13),ISERROR('Boss Arena'!$I$14),ISERROR('Boss Arena'!$I$15)),"✘ Some cells show an error",IF(NOT(AND(IFERROR(AND(ISTEXT('Boss Arena'!$I$6),'Boss Arena'!$I$6=Key!$E$111),FALSE),IFERROR(AND(ISTEXT('Boss Arena'!$I$7),'Boss Arena'!$I$7=Key!$F$111),FALSE),IFERROR(AND(ISTEXT('Boss Arena'!$I$8),'Boss Arena'!$I$8=Key!$G$111),FALSE),IFERROR(AND(ISTEXT('Boss Arena'!$I$9),'Boss Arena'!$I$9=Key!$H$111),FALSE),IFERROR(AND(ISTEXT('Boss Arena'!$I$10),'Boss Arena'!$I$10=Key!$I$111),FALSE),IFERROR(AND(ISTEXT('Boss Arena'!$I$11),'Boss Arena'!$I$11=Key!$J$111),FALSE),IFERROR(AND(ISTEXT('Boss Arena'!$I$12),'Boss Arena'!$I$12=Key!$K$111),FALSE),IFERROR(AND(ISTEXT('Boss Arena'!$I$13),'Boss Arena'!$I$13=Key!$L$111),FALSE),IFERROR(AND(ISTEXT('Boss Arena'!$I$14),'Boss Arena'!$I$14=Key!$M$111),FALSE),IFERROR(AND(ISTEXT('Boss Arena'!$I$15),'Boss Arena'!$I$15=Key!$N$111),FALSE))),"✘ TRY AGAIN",IF(AND(OR(ISNUMBER(FIND({"=","(",",","+","-","*","/","&amp;"," ","&lt;","&gt;",":","@","^"}&amp;"IFS"&amp;"(",UPPER(_xlfn.FORMULATEXT('Boss Arena'!$I$6)))))),"✔ CLEAR","✘ CLOSE · right value, but use IFS"))))),"LOCKED")</f>
        <v>LOCKED</v>
      </c>
      <c r="E29" s="22"/>
      <c r="F29" s="23" cm="1" t="str">
        <f t="array" ref="F29">IF(E29="Show hint",Key!$B$111,"")</f>
        <v/>
      </c>
      <c r="G29" s="24" cm="1">
        <f t="array" ref="G29">IF(LEFT(D29,1)="✔",IF(E29="Show hint",5,10),0)</f>
        <v>0</v>
      </c>
    </row>
    <row r="30" spans="1:7" ht="51.25" customHeight="1">
      <c r="A30" s="18" t="s">
        <v>610</v>
      </c>
      <c r="B30" s="31" cm="1" t="str">
        <f t="array" ref="B30">IF($C$10="OPEN","In J6 return ""VIP"" for Score 80+ AND Age 18+, otherwise ""Member"" for Score 60+, otherwise ""Guest"". Fill down to J15.","LOCKED · earn ★ on every stage to open the Boss gate")</f>
        <v>LOCKED · earn ★ on every stage to open the Boss gate</v>
      </c>
      <c r="C30" s="11" t="s">
        <v>611</v>
      </c>
      <c r="D30" s="21" cm="1" t="str">
        <f t="array" ref="D30">IF($C$10="OPEN",IF(COUNTA('Boss Arena'!$J$6,'Boss Arena'!$J$7,'Boss Arena'!$J$8,'Boss Arena'!$J$9,'Boss Arena'!$J$10,'Boss Arena'!$J$11,'Boss Arena'!$J$12,'Boss Arena'!$J$13,'Boss Arena'!$J$14,'Boss Arena'!$J$15)=0,"",IF(OR(NOT(_xlfn.ISFORMULA('Boss Arena'!$J$6)),NOT(_xlfn.ISFORMULA('Boss Arena'!$J$7)),NOT(_xlfn.ISFORMULA('Boss Arena'!$J$8)),NOT(_xlfn.ISFORMULA('Boss Arena'!$J$9)),NOT(_xlfn.ISFORMULA('Boss Arena'!$J$10)),NOT(_xlfn.ISFORMULA('Boss Arena'!$J$11)),NOT(_xlfn.ISFORMULA('Boss Arena'!$J$12)),NOT(_xlfn.ISFORMULA('Boss Arena'!$J$13)),NOT(_xlfn.ISFORMULA('Boss Arena'!$J$14)),NOT(_xlfn.ISFORMULA('Boss Arena'!$J$15))),"✘ Some cells aren't formulas yet",IF(OR(ISERROR('Boss Arena'!$J$6),ISERROR('Boss Arena'!$J$7),ISERROR('Boss Arena'!$J$8),ISERROR('Boss Arena'!$J$9),ISERROR('Boss Arena'!$J$10),ISERROR('Boss Arena'!$J$11),ISERROR('Boss Arena'!$J$12),ISERROR('Boss Arena'!$J$13),ISERROR('Boss Arena'!$J$14),ISERROR('Boss Arena'!$J$15)),"✘ Some cells show an error",IF(NOT(AND(IFERROR(AND(ISTEXT('Boss Arena'!$J$6),'Boss Arena'!$J$6=Key!$E$112),FALSE),IFERROR(AND(ISTEXT('Boss Arena'!$J$7),'Boss Arena'!$J$7=Key!$F$112),FALSE),IFERROR(AND(ISTEXT('Boss Arena'!$J$8),'Boss Arena'!$J$8=Key!$G$112),FALSE),IFERROR(AND(ISTEXT('Boss Arena'!$J$9),'Boss Arena'!$J$9=Key!$H$112),FALSE),IFERROR(AND(ISTEXT('Boss Arena'!$J$10),'Boss Arena'!$J$10=Key!$I$112),FALSE),IFERROR(AND(ISTEXT('Boss Arena'!$J$11),'Boss Arena'!$J$11=Key!$J$112),FALSE),IFERROR(AND(ISTEXT('Boss Arena'!$J$12),'Boss Arena'!$J$12=Key!$K$112),FALSE),IFERROR(AND(ISTEXT('Boss Arena'!$J$13),'Boss Arena'!$J$13=Key!$L$112),FALSE),IFERROR(AND(ISTEXT('Boss Arena'!$J$14),'Boss Arena'!$J$14=Key!$M$112),FALSE),IFERROR(AND(ISTEXT('Boss Arena'!$J$15),'Boss Arena'!$J$15=Key!$N$112),FALSE))),"✘ TRY AGAIN",IF(AND(OR(ISNUMBER(FIND({"=","(",",","+","-","*","/","&amp;"," ","&lt;","&gt;",":","@","^"}&amp;"IF"&amp;"(",UPPER(_xlfn.FORMULATEXT('Boss Arena'!$J$6))))),OR(ISNUMBER(FIND({"=","(",",","+","-","*","/","&amp;"," ","&lt;","&gt;",":","@","^"}&amp;"AND"&amp;"(",UPPER(_xlfn.FORMULATEXT('Boss Arena'!$J$6)))))),"✔ CLEAR","✘ CLOSE · right value, but use IF and AND"))))),"LOCKED")</f>
        <v>LOCKED</v>
      </c>
      <c r="E30" s="22"/>
      <c r="F30" s="23" cm="1" t="str">
        <f t="array" ref="F30">IF(E30="Show hint",Key!$B$112,"")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614</v>
      </c>
      <c r="B31" s="31" cm="1" t="str">
        <f t="array" ref="B31">IF($C$10="OPEN","In L6 return TRUE when Ava (row 6) is NOT licensed (E6 is not ""Yes""). Use NOT.","LOCKED · earn ★ on every stage to open the Boss gate")</f>
        <v>LOCKED · earn ★ on every stage to open the Boss gate</v>
      </c>
      <c r="C31" s="11" t="s">
        <v>615</v>
      </c>
      <c r="D31" s="21" cm="1" t="str">
        <f t="array" ref="D31">IF($C$10="OPEN",IF(ISBLANK('Boss Arena'!$L$6),"",IF(NOT(_xlfn.ISFORMULA('Boss Arena'!$L$6)),"✘ That's a typed value · enter a formula",IF(ISERROR('Boss Arena'!$L$6),"✘ Your formula returns "&amp;IFERROR(CHOOSE(ERROR.TYPE('Boss Arena'!$L$6),"#NULL!","#DIV/0!","#VALUE!","#REF!","#NAME?","#NUM!","#N/A","#GETTING_DATA","#SPILL!","#CONNECT!","#BLOCKED!","#UNKNOWN!","#FIELD!","#CALC!"),"an error"),IF(NOT(AND(IFERROR(AND(ISLOGICAL('Boss Arena'!$L$6),'Boss Arena'!$L$6=(Key!$C$113="TRUE")),FALSE))),"✘ TRY AGAIN",IF(AND(OR(ISNUMBER(FIND({"=","(",",","+","-","*","/","&amp;"," ","&lt;","&gt;",":","@","^"}&amp;"NOT"&amp;"(",UPPER(_xlfn.FORMULATEXT('Boss Arena'!$L$6)))))),"✔ CLEAR","✘ CLOSE · right value, but use NOT"))))),"LOCKED")</f>
        <v>LOCKED</v>
      </c>
      <c r="E31" s="22"/>
      <c r="F31" s="23" cm="1" t="str">
        <f t="array" ref="F31">IF(E31="Show hint",Key!$B$113,"")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618</v>
      </c>
      <c r="B32" s="31" cm="1" t="str">
        <f t="array" ref="B32">IF($C$10="OPEN","In E21 divide Total by Units with an IFERROR shield (0 on errors). Fill down to E26.","LOCKED · earn ★ on every stage to open the Boss gate")</f>
        <v>LOCKED · earn ★ on every stage to open the Boss gate</v>
      </c>
      <c r="C32" s="11" t="s">
        <v>619</v>
      </c>
      <c r="D32" s="21" cm="1" t="str">
        <f t="array" ref="D32">IF($C$10="OPEN",IF(COUNTA('Boss Arena'!$E$21,'Boss Arena'!$E$22,'Boss Arena'!$E$23,'Boss Arena'!$E$24,'Boss Arena'!$E$25,'Boss Arena'!$E$26)=0,"",IF(OR(NOT(_xlfn.ISFORMULA('Boss Arena'!$E$21)),NOT(_xlfn.ISFORMULA('Boss Arena'!$E$22)),NOT(_xlfn.ISFORMULA('Boss Arena'!$E$23)),NOT(_xlfn.ISFORMULA('Boss Arena'!$E$24)),NOT(_xlfn.ISFORMULA('Boss Arena'!$E$25)),NOT(_xlfn.ISFORMULA('Boss Arena'!$E$26))),"✘ Some cells aren't formulas yet",IF(OR(ISERROR('Boss Arena'!$E$21),ISERROR('Boss Arena'!$E$22),ISERROR('Boss Arena'!$E$23),ISERROR('Boss Arena'!$E$24),ISERROR('Boss Arena'!$E$25),ISERROR('Boss Arena'!$E$26)),"✘ Some cells show an error",IF(NOT(AND(IFERROR(AND(ISNUMBER('Boss Arena'!$E$21),ABS('Boss Arena'!$E$21-Key!$E$114)&lt;=1E-9*MAX(1,ABS(Key!$E$114))),FALSE),IFERROR(AND(ISNUMBER('Boss Arena'!$E$22),ABS('Boss Arena'!$E$22-Key!$F$114)&lt;=1E-9*MAX(1,ABS(Key!$F$114))),FALSE),IFERROR(AND(ISNUMBER('Boss Arena'!$E$23),ABS('Boss Arena'!$E$23-Key!$G$114)&lt;=1E-9*MAX(1,ABS(Key!$G$114))),FALSE),IFERROR(AND(ISNUMBER('Boss Arena'!$E$24),ABS('Boss Arena'!$E$24-Key!$H$114)&lt;=1E-9*MAX(1,ABS(Key!$H$114))),FALSE),IFERROR(AND(ISNUMBER('Boss Arena'!$E$25),ABS('Boss Arena'!$E$25-Key!$I$114)&lt;=1E-9*MAX(1,ABS(Key!$I$114))),FALSE),IFERROR(AND(ISNUMBER('Boss Arena'!$E$26),ABS('Boss Arena'!$E$26-Key!$J$114)&lt;=1E-9*MAX(1,ABS(Key!$J$114))),FALSE))),"✘ TRY AGAIN",IF(AND(OR(ISNUMBER(FIND({"=","(",",","+","-","*","/","&amp;"," ","&lt;","&gt;",":","@","^"}&amp;"IFERROR"&amp;"(",UPPER(_xlfn.FORMULATEXT('Boss Arena'!$E$21)))))),"✔ CLEAR","✘ CLOSE · right value, but use IFERROR"))))),"LOCKED")</f>
        <v>LOCKED</v>
      </c>
      <c r="E32" s="22"/>
      <c r="F32" s="23" cm="1" t="str">
        <f t="array" ref="F32">IF(E32="Show hint",Key!$B$114,"")</f>
        <v/>
      </c>
      <c r="G32" s="24" cm="1">
        <f t="array" ref="G32">IF(LEFT(D32,1)="✔",IF(E32="Show hint",5,10),0)</f>
        <v>0</v>
      </c>
    </row>
    <row r="33" spans="1:7" ht="51.25" customHeight="1">
      <c r="A33" s="18" t="s">
        <v>622</v>
      </c>
      <c r="B33" s="31" cm="1" t="str">
        <f t="array" ref="B33">IF($C$10="OPEN","In H21 show ""Missing"" when the Name (G21) is empty, otherwise ""OK"" (use ISBLANK). Fill down to H25.","LOCKED · earn ★ on every stage to open the Boss gate")</f>
        <v>LOCKED · earn ★ on every stage to open the Boss gate</v>
      </c>
      <c r="C33" s="11" t="s">
        <v>623</v>
      </c>
      <c r="D33" s="21" cm="1" t="str">
        <f t="array" ref="D33">IF($C$10="OPEN",IF(COUNTA('Boss Arena'!$H$21,'Boss Arena'!$H$22,'Boss Arena'!$H$23,'Boss Arena'!$H$24,'Boss Arena'!$H$25)=0,"",IF(OR(NOT(_xlfn.ISFORMULA('Boss Arena'!$H$21)),NOT(_xlfn.ISFORMULA('Boss Arena'!$H$22)),NOT(_xlfn.ISFORMULA('Boss Arena'!$H$23)),NOT(_xlfn.ISFORMULA('Boss Arena'!$H$24)),NOT(_xlfn.ISFORMULA('Boss Arena'!$H$25))),"✘ Some cells aren't formulas yet",IF(OR(ISERROR('Boss Arena'!$H$21),ISERROR('Boss Arena'!$H$22),ISERROR('Boss Arena'!$H$23),ISERROR('Boss Arena'!$H$24),ISERROR('Boss Arena'!$H$25)),"✘ Some cells show an error",IF(NOT(AND(IFERROR(AND(ISTEXT('Boss Arena'!$H$21),'Boss Arena'!$H$21=Key!$E$115),FALSE),IFERROR(AND(ISTEXT('Boss Arena'!$H$22),'Boss Arena'!$H$22=Key!$F$115),FALSE),IFERROR(AND(ISTEXT('Boss Arena'!$H$23),'Boss Arena'!$H$23=Key!$G$115),FALSE),IFERROR(AND(ISTEXT('Boss Arena'!$H$24),'Boss Arena'!$H$24=Key!$H$115),FALSE),IFERROR(AND(ISTEXT('Boss Arena'!$H$25),'Boss Arena'!$H$25=Key!$I$115),FALSE))),"✘ TRY AGAIN",IF(AND(OR(ISNUMBER(FIND({"=","(",",","+","-","*","/","&amp;"," ","&lt;","&gt;",":","@","^"}&amp;"ISBLANK"&amp;"(",UPPER(_xlfn.FORMULATEXT('Boss Arena'!$H$21)))))),"✔ CLEAR","✘ CLOSE · right value, but use ISBLANK"))))),"LOCKED")</f>
        <v>LOCKED</v>
      </c>
      <c r="E33" s="22"/>
      <c r="F33" s="23" cm="1" t="str">
        <f t="array" ref="F33">IF(E33="Show hint",Key!$B$115,"")</f>
        <v/>
      </c>
      <c r="G33" s="24" cm="1">
        <f t="array" ref="G33">IF(LEFT(D33,1)="✔",IF(E33="Show hint",5,10),0)</f>
        <v>0</v>
      </c>
    </row>
  </sheetData>
  <sheetProtection sheet="1" objects="1" scenarios="1" formatColumns="0" formatRows="0"/>
  <conditionalFormatting sqref="D14:D33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26">
    <dataValidation allowBlank="1" showInputMessage="1" showErrorMessage="1" promptTitle="Stamp the time" prompt="Press Ctrl+Shift+: to type the current time." sqref="C6"/>
    <dataValidation allowBlank="1" showInputMessage="1" showErrorMessage="1" promptTitle="Stamp the time" prompt="Press Ctrl+Shift+: to type the current time." sqref="C7"/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</dataValidations>
  <hyperlinks>
    <hyperlink ref="B24" location="'Boss Arena'!A1" display="▶ Open Boss Arena (or press Ctrl+PgDn)"/>
    <hyperlink ref="C26" location="'Boss Arena'!F6" tooltip="Go to Boss Arena, cell F6" display="▶ ARENA B1 (cell F6)"/>
    <hyperlink ref="C27" location="'Boss Arena'!G6" tooltip="Go to Boss Arena, cell G6" display="▶ ARENA B2 (cell G6)"/>
    <hyperlink ref="C28" location="'Boss Arena'!H6" tooltip="Go to Boss Arena, cell H6" display="▶ ARENA B3 (cell H6)"/>
    <hyperlink ref="C29" location="'Boss Arena'!I6" tooltip="Go to Boss Arena, cell I6" display="▶ ARENA B4 (cell I6)"/>
    <hyperlink ref="C30" location="'Boss Arena'!J6" tooltip="Go to Boss Arena, cell J6" display="▶ ARENA B5 (cell J6)"/>
    <hyperlink ref="C31" location="'Boss Arena'!L6" tooltip="Go to Boss Arena, cell L6" display="▶ ARENA B6 (cell L6)"/>
    <hyperlink ref="C32" location="'Boss Arena'!E21" tooltip="Go to Boss Arena, cell E21" display="▶ ARENA B7 (cell E21)"/>
    <hyperlink ref="C33" location="'Boss Arena'!H21" tooltip="Go to Boss Arena, cell H21" display="▶ ARENA B8 (cell H21)"/>
  </hyperlink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" width="14.7109375" customWidth="1"/>
    <col min="2" max="9" width="13.7109375" customWidth="1"/>
    <col min="10" max="10" width="12.7109375" customWidth="1"/>
    <col min="11" max="11" width="13.7109375" customWidth="1"/>
    <col min="12" max="12" width="14.7109375" customWidth="1"/>
    <col min="13" max="26" width="13.7109375" customWidth="1"/>
  </cols>
  <sheetData>
    <row r="1" spans="1:12">
      <c r="A1" s="1" t="s">
        <v>551</v>
      </c>
    </row>
    <row r="2" spans="1:12">
      <c r="A2" s="3" t="s">
        <v>5</v>
      </c>
    </row>
    <row r="3" spans="1:12">
      <c r="A3" s="25" t="s">
        <v>6</v>
      </c>
      <c r="B3" s="26" t="s">
        <v>552</v>
      </c>
      <c r="D3" s="11" t="s">
        <v>553</v>
      </c>
    </row>
    <row r="5" spans="1:12">
      <c r="B5" s="27" t="s">
        <v>9</v>
      </c>
      <c r="C5" s="27" t="s">
        <v>10</v>
      </c>
      <c r="D5" s="27" t="s">
        <v>11</v>
      </c>
      <c r="E5" s="27" t="s">
        <v>12</v>
      </c>
      <c r="F5" s="27" t="s">
        <v>554</v>
      </c>
      <c r="G5" s="27" t="s">
        <v>555</v>
      </c>
      <c r="H5" s="27" t="s">
        <v>556</v>
      </c>
      <c r="I5" s="27" t="s">
        <v>557</v>
      </c>
      <c r="J5" s="27" t="s">
        <v>558</v>
      </c>
      <c r="L5" s="27" t="s">
        <v>559</v>
      </c>
    </row>
    <row r="6" spans="1:12">
      <c r="B6" s="5" t="s">
        <v>13</v>
      </c>
      <c r="C6" s="5">
        <v>92</v>
      </c>
      <c r="D6" s="5">
        <v>17</v>
      </c>
      <c r="E6" s="5" t="s">
        <v>14</v>
      </c>
      <c r="F6" s="28"/>
      <c r="G6" s="28"/>
      <c r="H6" s="28"/>
      <c r="I6" s="28"/>
      <c r="J6" s="28"/>
      <c r="L6" s="28"/>
    </row>
    <row r="7" spans="1:12">
      <c r="B7" s="5" t="s">
        <v>15</v>
      </c>
      <c r="C7" s="5">
        <v>48</v>
      </c>
      <c r="D7" s="5">
        <v>22</v>
      </c>
      <c r="E7" s="5" t="s">
        <v>16</v>
      </c>
      <c r="F7" s="28"/>
      <c r="G7" s="28"/>
      <c r="H7" s="28"/>
      <c r="I7" s="28"/>
      <c r="J7" s="28"/>
    </row>
    <row r="8" spans="1:12">
      <c r="B8" s="5" t="s">
        <v>17</v>
      </c>
      <c r="C8" s="5">
        <v>75</v>
      </c>
      <c r="D8" s="5">
        <v>19</v>
      </c>
      <c r="E8" s="5" t="s">
        <v>16</v>
      </c>
      <c r="F8" s="28"/>
      <c r="G8" s="28"/>
      <c r="H8" s="28"/>
      <c r="I8" s="28"/>
      <c r="J8" s="28"/>
    </row>
    <row r="9" spans="1:12">
      <c r="B9" s="5" t="s">
        <v>18</v>
      </c>
      <c r="C9" s="5">
        <v>60</v>
      </c>
      <c r="D9" s="5">
        <v>16</v>
      </c>
      <c r="E9" s="5" t="s">
        <v>14</v>
      </c>
      <c r="F9" s="28"/>
      <c r="G9" s="28"/>
      <c r="H9" s="28"/>
      <c r="I9" s="28"/>
      <c r="J9" s="28"/>
    </row>
    <row r="10" spans="1:12">
      <c r="B10" s="5" t="s">
        <v>19</v>
      </c>
      <c r="C10" s="5">
        <v>88</v>
      </c>
      <c r="D10" s="5">
        <v>30</v>
      </c>
      <c r="E10" s="5" t="s">
        <v>16</v>
      </c>
      <c r="F10" s="28"/>
      <c r="G10" s="28"/>
      <c r="H10" s="28"/>
      <c r="I10" s="28"/>
      <c r="J10" s="28"/>
    </row>
    <row r="11" spans="1:12">
      <c r="B11" s="5" t="s">
        <v>20</v>
      </c>
      <c r="C11" s="5">
        <v>50</v>
      </c>
      <c r="D11" s="5">
        <v>18</v>
      </c>
      <c r="E11" s="5" t="s">
        <v>16</v>
      </c>
      <c r="F11" s="28"/>
      <c r="G11" s="28"/>
      <c r="H11" s="28"/>
      <c r="I11" s="28"/>
      <c r="J11" s="28"/>
    </row>
    <row r="12" spans="1:12">
      <c r="B12" s="5" t="s">
        <v>21</v>
      </c>
      <c r="C12" s="5">
        <v>39</v>
      </c>
      <c r="D12" s="5">
        <v>25</v>
      </c>
      <c r="E12" s="5" t="s">
        <v>14</v>
      </c>
      <c r="F12" s="28"/>
      <c r="G12" s="28"/>
      <c r="H12" s="28"/>
      <c r="I12" s="28"/>
      <c r="J12" s="28"/>
    </row>
    <row r="13" spans="1:12">
      <c r="B13" s="5" t="s">
        <v>22</v>
      </c>
      <c r="C13" s="5">
        <v>81</v>
      </c>
      <c r="D13" s="5">
        <v>41</v>
      </c>
      <c r="E13" s="5" t="s">
        <v>16</v>
      </c>
      <c r="F13" s="28"/>
      <c r="G13" s="28"/>
      <c r="H13" s="28"/>
      <c r="I13" s="28"/>
      <c r="J13" s="28"/>
    </row>
    <row r="14" spans="1:12">
      <c r="B14" s="5" t="s">
        <v>23</v>
      </c>
      <c r="C14" s="5">
        <v>99</v>
      </c>
      <c r="D14" s="5">
        <v>15</v>
      </c>
      <c r="E14" s="5" t="s">
        <v>14</v>
      </c>
      <c r="F14" s="28"/>
      <c r="G14" s="28"/>
      <c r="H14" s="28"/>
      <c r="I14" s="28"/>
      <c r="J14" s="28"/>
    </row>
    <row r="15" spans="1:12">
      <c r="B15" s="5" t="s">
        <v>24</v>
      </c>
      <c r="C15" s="5">
        <v>70</v>
      </c>
      <c r="D15" s="5">
        <v>20</v>
      </c>
      <c r="E15" s="5" t="s">
        <v>14</v>
      </c>
      <c r="F15" s="28"/>
      <c r="G15" s="28"/>
      <c r="H15" s="28"/>
      <c r="I15" s="28"/>
      <c r="J15" s="28"/>
    </row>
    <row r="20" spans="2:8">
      <c r="B20" s="27" t="s">
        <v>424</v>
      </c>
      <c r="C20" s="27" t="s">
        <v>425</v>
      </c>
      <c r="D20" s="27" t="s">
        <v>426</v>
      </c>
      <c r="E20" s="27" t="s">
        <v>433</v>
      </c>
      <c r="G20" s="27" t="s">
        <v>9</v>
      </c>
      <c r="H20" s="27" t="s">
        <v>436</v>
      </c>
    </row>
    <row r="21" spans="2:8">
      <c r="B21" s="5" t="s">
        <v>427</v>
      </c>
      <c r="C21" s="5">
        <v>120</v>
      </c>
      <c r="D21" s="5">
        <v>10</v>
      </c>
      <c r="E21" s="28"/>
      <c r="G21" s="5" t="s">
        <v>13</v>
      </c>
      <c r="H21" s="28"/>
    </row>
    <row r="22" spans="2:8">
      <c r="B22" s="5" t="s">
        <v>428</v>
      </c>
      <c r="C22" s="5">
        <v>90</v>
      </c>
      <c r="D22" s="5">
        <v>0</v>
      </c>
      <c r="E22" s="28"/>
      <c r="H22" s="28"/>
    </row>
    <row r="23" spans="2:8">
      <c r="B23" s="5" t="s">
        <v>429</v>
      </c>
      <c r="C23" s="5">
        <v>60</v>
      </c>
      <c r="D23" s="5">
        <v>4</v>
      </c>
      <c r="E23" s="28"/>
      <c r="G23" s="5" t="s">
        <v>17</v>
      </c>
      <c r="H23" s="28"/>
    </row>
    <row r="24" spans="2:8">
      <c r="B24" s="5" t="s">
        <v>430</v>
      </c>
      <c r="C24" s="5">
        <v>0</v>
      </c>
      <c r="D24" s="5">
        <v>0</v>
      </c>
      <c r="E24" s="28"/>
      <c r="H24" s="28"/>
    </row>
    <row r="25" spans="2:8">
      <c r="B25" s="5" t="s">
        <v>431</v>
      </c>
      <c r="C25" s="5">
        <v>45</v>
      </c>
      <c r="D25" s="5">
        <v>9</v>
      </c>
      <c r="E25" s="28"/>
      <c r="G25" s="5" t="s">
        <v>19</v>
      </c>
      <c r="H25" s="28"/>
    </row>
    <row r="26" spans="2:8">
      <c r="B26" s="5" t="s">
        <v>432</v>
      </c>
      <c r="C26" s="5">
        <v>30</v>
      </c>
      <c r="D26" s="5">
        <v>0</v>
      </c>
      <c r="E26" s="28"/>
    </row>
  </sheetData>
  <hyperlinks>
    <hyperlink ref="D3" location="Boss!A1" display="◀ Back to Boss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D2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50.7109375" customWidth="1"/>
    <col min="4" max="4" width="56.7109375" customWidth="1"/>
  </cols>
  <sheetData>
    <row r="1" spans="1:4" ht="34" customHeight="1">
      <c r="A1" s="1" t="s">
        <v>662</v>
      </c>
      <c r="B1" s="2"/>
      <c r="C1" s="2"/>
      <c r="D1" s="2"/>
    </row>
    <row r="2" spans="1:4">
      <c r="A2" s="3" t="s">
        <v>663</v>
      </c>
    </row>
    <row r="4" spans="1:4">
      <c r="A4" s="6" t="s">
        <v>635</v>
      </c>
      <c r="B4" s="6" t="s">
        <v>31</v>
      </c>
      <c r="C4" s="6" t="s">
        <v>664</v>
      </c>
      <c r="D4" s="6" t="s">
        <v>665</v>
      </c>
    </row>
    <row r="5" spans="1:4" ht="35.5" customHeight="1">
      <c r="A5" s="18" t="s">
        <v>638</v>
      </c>
      <c r="B5" s="19" t="s">
        <v>34</v>
      </c>
      <c r="C5" s="8" t="s">
        <v>666</v>
      </c>
      <c r="D5" s="8" t="s">
        <v>667</v>
      </c>
    </row>
    <row r="6" spans="1:4" ht="35.5" customHeight="1">
      <c r="A6" s="18" t="s">
        <v>638</v>
      </c>
      <c r="B6" s="19" t="s">
        <v>37</v>
      </c>
      <c r="C6" s="8" t="s">
        <v>668</v>
      </c>
      <c r="D6" s="8" t="s">
        <v>669</v>
      </c>
    </row>
    <row r="7" spans="1:4" ht="35.5" customHeight="1">
      <c r="A7" s="18" t="s">
        <v>638</v>
      </c>
      <c r="B7" s="19" t="s">
        <v>40</v>
      </c>
      <c r="C7" s="8" t="s">
        <v>670</v>
      </c>
      <c r="D7" s="8" t="s">
        <v>671</v>
      </c>
    </row>
    <row r="8" spans="1:4" ht="35.5" customHeight="1">
      <c r="A8" s="18" t="s">
        <v>641</v>
      </c>
      <c r="B8" s="19" t="s">
        <v>163</v>
      </c>
      <c r="C8" s="8" t="s">
        <v>672</v>
      </c>
      <c r="D8" s="8" t="s">
        <v>673</v>
      </c>
    </row>
    <row r="9" spans="1:4" ht="35.5" customHeight="1">
      <c r="A9" s="18" t="s">
        <v>641</v>
      </c>
      <c r="B9" s="19" t="s">
        <v>118</v>
      </c>
      <c r="C9" s="8" t="s">
        <v>674</v>
      </c>
      <c r="D9" s="8" t="s">
        <v>675</v>
      </c>
    </row>
    <row r="10" spans="1:4" ht="35.5" customHeight="1">
      <c r="A10" s="18" t="s">
        <v>641</v>
      </c>
      <c r="B10" s="19" t="s">
        <v>124</v>
      </c>
      <c r="C10" s="8" t="s">
        <v>676</v>
      </c>
      <c r="D10" s="8" t="s">
        <v>677</v>
      </c>
    </row>
    <row r="11" spans="1:4" ht="19.75" customHeight="1">
      <c r="A11" s="18" t="s">
        <v>644</v>
      </c>
      <c r="B11" s="19" t="s">
        <v>205</v>
      </c>
      <c r="C11" s="8" t="s">
        <v>678</v>
      </c>
      <c r="D11" s="8" t="s">
        <v>679</v>
      </c>
    </row>
    <row r="12" spans="1:4" ht="19.75" customHeight="1">
      <c r="A12" s="18" t="s">
        <v>644</v>
      </c>
      <c r="B12" s="19" t="s">
        <v>245</v>
      </c>
      <c r="C12" s="8" t="s">
        <v>680</v>
      </c>
      <c r="D12" s="8" t="s">
        <v>681</v>
      </c>
    </row>
    <row r="13" spans="1:4" ht="19.75" customHeight="1">
      <c r="A13" s="18" t="s">
        <v>644</v>
      </c>
      <c r="B13" s="19" t="s">
        <v>203</v>
      </c>
      <c r="C13" s="8" t="s">
        <v>682</v>
      </c>
      <c r="D13" s="8" t="s">
        <v>683</v>
      </c>
    </row>
    <row r="14" spans="1:4" ht="35.5" customHeight="1">
      <c r="A14" s="18" t="s">
        <v>647</v>
      </c>
      <c r="B14" s="19" t="s">
        <v>119</v>
      </c>
      <c r="C14" s="8" t="s">
        <v>684</v>
      </c>
      <c r="D14" s="8" t="s">
        <v>685</v>
      </c>
    </row>
    <row r="15" spans="1:4" ht="35.5" customHeight="1">
      <c r="A15" s="18" t="s">
        <v>647</v>
      </c>
      <c r="B15" s="19" t="s">
        <v>293</v>
      </c>
      <c r="C15" s="8" t="s">
        <v>686</v>
      </c>
      <c r="D15" s="8" t="s">
        <v>687</v>
      </c>
    </row>
    <row r="16" spans="1:4" ht="35.5" customHeight="1">
      <c r="A16" s="18" t="s">
        <v>647</v>
      </c>
      <c r="B16" s="19" t="s">
        <v>113</v>
      </c>
      <c r="C16" s="8" t="s">
        <v>688</v>
      </c>
      <c r="D16" s="8" t="s">
        <v>689</v>
      </c>
    </row>
    <row r="17" spans="1:4" ht="35.5" customHeight="1">
      <c r="A17" s="18" t="s">
        <v>650</v>
      </c>
      <c r="B17" s="19" t="s">
        <v>442</v>
      </c>
      <c r="C17" s="8" t="s">
        <v>690</v>
      </c>
      <c r="D17" s="8" t="s">
        <v>691</v>
      </c>
    </row>
    <row r="18" spans="1:4" ht="35.5" customHeight="1">
      <c r="A18" s="18" t="s">
        <v>650</v>
      </c>
      <c r="B18" s="19" t="s">
        <v>292</v>
      </c>
      <c r="C18" s="8" t="s">
        <v>692</v>
      </c>
      <c r="D18" s="8" t="s">
        <v>693</v>
      </c>
    </row>
    <row r="19" spans="1:4" ht="19.75" customHeight="1">
      <c r="A19" s="18" t="s">
        <v>650</v>
      </c>
      <c r="B19" s="19" t="s">
        <v>204</v>
      </c>
      <c r="C19" s="8" t="s">
        <v>694</v>
      </c>
      <c r="D19" s="8" t="s">
        <v>695</v>
      </c>
    </row>
    <row r="20" spans="1:4" ht="35.5" customHeight="1">
      <c r="A20" s="18" t="s">
        <v>650</v>
      </c>
      <c r="B20" s="19" t="s">
        <v>447</v>
      </c>
      <c r="C20" s="8" t="s">
        <v>696</v>
      </c>
      <c r="D20" s="8" t="s">
        <v>697</v>
      </c>
    </row>
  </sheetData>
  <sheetProtection sheet="1" objects="1" scenarios="1" formatColumns="0" formatRows="0"/>
  <pageMargins left="0.7" right="0.7" top="0.75" bottom="0.7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115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E1" t="s">
        <v>3</v>
      </c>
    </row>
    <row r="2" spans="1:14">
      <c r="A2" t="s">
        <v>47</v>
      </c>
      <c r="B2" t="s">
        <v>48</v>
      </c>
      <c r="E2" t="s">
        <v>49</v>
      </c>
    </row>
    <row r="3" spans="1:14">
      <c r="A3" t="s">
        <v>52</v>
      </c>
      <c r="B3" t="s">
        <v>53</v>
      </c>
      <c r="E3" t="s">
        <v>54</v>
      </c>
    </row>
    <row r="4" spans="1:14">
      <c r="A4" t="s">
        <v>57</v>
      </c>
      <c r="B4" t="s">
        <v>58</v>
      </c>
      <c r="E4" t="s">
        <v>59</v>
      </c>
    </row>
    <row r="5" spans="1:14">
      <c r="A5" t="s">
        <v>62</v>
      </c>
      <c r="B5" t="s">
        <v>63</v>
      </c>
      <c r="E5" t="s">
        <v>64</v>
      </c>
    </row>
    <row r="6" spans="1:14">
      <c r="A6" t="s">
        <v>67</v>
      </c>
      <c r="B6" t="s">
        <v>68</v>
      </c>
      <c r="E6" t="s">
        <v>69</v>
      </c>
    </row>
    <row r="7" spans="1:14">
      <c r="A7" t="s">
        <v>72</v>
      </c>
      <c r="B7" t="s">
        <v>73</v>
      </c>
      <c r="E7" t="s">
        <v>74</v>
      </c>
    </row>
    <row r="8" spans="1:14">
      <c r="A8" t="s">
        <v>77</v>
      </c>
      <c r="B8" t="s">
        <v>78</v>
      </c>
      <c r="E8" t="s">
        <v>79</v>
      </c>
    </row>
    <row r="9" spans="1:14">
      <c r="A9" t="s">
        <v>82</v>
      </c>
      <c r="B9" t="s">
        <v>83</v>
      </c>
      <c r="E9" t="s">
        <v>84</v>
      </c>
    </row>
    <row r="10" spans="1:14">
      <c r="A10" t="s">
        <v>87</v>
      </c>
      <c r="B10" t="s">
        <v>88</v>
      </c>
      <c r="E10" t="s">
        <v>89</v>
      </c>
      <c r="F10" t="s">
        <v>90</v>
      </c>
      <c r="G10" t="s">
        <v>91</v>
      </c>
      <c r="H10" t="s">
        <v>92</v>
      </c>
      <c r="I10" t="s">
        <v>93</v>
      </c>
    </row>
    <row r="11" spans="1:14">
      <c r="A11" t="s">
        <v>96</v>
      </c>
      <c r="B11" t="s">
        <v>97</v>
      </c>
      <c r="E11" t="s">
        <v>98</v>
      </c>
      <c r="F11" t="s">
        <v>99</v>
      </c>
      <c r="G11" t="s">
        <v>100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106</v>
      </c>
      <c r="N11" t="s">
        <v>107</v>
      </c>
    </row>
    <row r="12" spans="1:14">
      <c r="A12" t="s">
        <v>111</v>
      </c>
      <c r="B12" t="s">
        <v>112</v>
      </c>
      <c r="C12" t="s">
        <v>34</v>
      </c>
      <c r="E12" t="s">
        <v>113</v>
      </c>
      <c r="F12" t="s">
        <v>40</v>
      </c>
      <c r="G12" t="s">
        <v>37</v>
      </c>
      <c r="H12" t="s">
        <v>34</v>
      </c>
    </row>
    <row r="13" spans="1:14">
      <c r="A13" t="s">
        <v>116</v>
      </c>
      <c r="B13" t="s">
        <v>117</v>
      </c>
      <c r="C13" t="s">
        <v>37</v>
      </c>
      <c r="E13" t="s">
        <v>118</v>
      </c>
      <c r="F13" t="s">
        <v>34</v>
      </c>
      <c r="G13" t="s">
        <v>119</v>
      </c>
      <c r="H13" t="s">
        <v>37</v>
      </c>
    </row>
    <row r="14" spans="1:14">
      <c r="A14" t="s">
        <v>122</v>
      </c>
      <c r="B14" t="s">
        <v>123</v>
      </c>
      <c r="C14" t="s">
        <v>40</v>
      </c>
      <c r="E14" t="s">
        <v>124</v>
      </c>
      <c r="F14" t="s">
        <v>40</v>
      </c>
      <c r="G14" t="s">
        <v>119</v>
      </c>
      <c r="H14" t="s">
        <v>118</v>
      </c>
    </row>
    <row r="15" spans="1:14">
      <c r="A15" t="s">
        <v>129</v>
      </c>
      <c r="B15" t="s">
        <v>112</v>
      </c>
      <c r="E15" t="s">
        <v>34</v>
      </c>
    </row>
    <row r="16" spans="1:14">
      <c r="A16" t="s">
        <v>131</v>
      </c>
      <c r="B16" t="s">
        <v>117</v>
      </c>
      <c r="E16" t="s">
        <v>37</v>
      </c>
    </row>
    <row r="17" spans="1:8">
      <c r="A17" t="s">
        <v>133</v>
      </c>
      <c r="B17" t="s">
        <v>123</v>
      </c>
      <c r="E17" t="s">
        <v>134</v>
      </c>
      <c r="F17" t="s">
        <v>135</v>
      </c>
      <c r="G17" t="s">
        <v>136</v>
      </c>
      <c r="H17" t="s">
        <v>137</v>
      </c>
    </row>
    <row r="18" spans="1:8">
      <c r="A18" t="s">
        <v>139</v>
      </c>
      <c r="B18" t="s">
        <v>140</v>
      </c>
      <c r="C18" cm="1" t="str">
        <f t="array" ref="C18">IF('F2-1 Arena'!$C$6&gt;=50,"TRUE","FALSE")</f>
        <v>TRUE</v>
      </c>
    </row>
    <row r="19" spans="1:8">
      <c r="A19" t="s">
        <v>144</v>
      </c>
      <c r="B19" t="s">
        <v>145</v>
      </c>
      <c r="C19" cm="1" t="str">
        <f t="array" ref="C19">IF('F2-1 Arena'!$E$7&lt;&gt;"No","TRUE","FALSE")</f>
        <v>TRUE</v>
      </c>
    </row>
    <row r="20" spans="1:8">
      <c r="A20" t="s">
        <v>149</v>
      </c>
      <c r="B20" t="s">
        <v>150</v>
      </c>
      <c r="C20" cm="1" t="str">
        <f t="array" ref="C20">IF('F2-1 Arena'!$E$8="yes","TRUE","FALSE")</f>
        <v>TRUE</v>
      </c>
    </row>
    <row r="21" spans="1:8">
      <c r="A21" t="s">
        <v>166</v>
      </c>
      <c r="B21" t="s">
        <v>112</v>
      </c>
      <c r="E21" t="s">
        <v>34</v>
      </c>
    </row>
    <row r="22" spans="1:8">
      <c r="A22" t="s">
        <v>168</v>
      </c>
      <c r="B22" t="s">
        <v>117</v>
      </c>
      <c r="E22" t="s">
        <v>37</v>
      </c>
    </row>
    <row r="23" spans="1:8">
      <c r="A23" t="s">
        <v>170</v>
      </c>
      <c r="B23" t="s">
        <v>123</v>
      </c>
      <c r="E23" t="s">
        <v>134</v>
      </c>
      <c r="F23" t="s">
        <v>135</v>
      </c>
      <c r="G23" t="s">
        <v>136</v>
      </c>
      <c r="H23" t="s">
        <v>137</v>
      </c>
    </row>
    <row r="24" spans="1:8">
      <c r="A24" t="s">
        <v>172</v>
      </c>
      <c r="B24" t="s">
        <v>173</v>
      </c>
      <c r="E24" t="s">
        <v>174</v>
      </c>
    </row>
    <row r="25" spans="1:8">
      <c r="A25" t="s">
        <v>176</v>
      </c>
      <c r="B25" t="s">
        <v>177</v>
      </c>
      <c r="E25" t="s">
        <v>178</v>
      </c>
    </row>
    <row r="26" spans="1:8">
      <c r="A26" t="s">
        <v>180</v>
      </c>
      <c r="B26" t="s">
        <v>181</v>
      </c>
      <c r="E26" t="s">
        <v>182</v>
      </c>
    </row>
    <row r="27" spans="1:8">
      <c r="A27" t="s">
        <v>184</v>
      </c>
      <c r="B27" t="s">
        <v>185</v>
      </c>
      <c r="E27" t="s">
        <v>186</v>
      </c>
      <c r="F27" t="s">
        <v>187</v>
      </c>
    </row>
    <row r="28" spans="1:8">
      <c r="A28" t="s">
        <v>189</v>
      </c>
      <c r="B28" t="s">
        <v>190</v>
      </c>
      <c r="E28" t="s">
        <v>191</v>
      </c>
    </row>
    <row r="29" spans="1:8">
      <c r="A29" t="s">
        <v>193</v>
      </c>
      <c r="B29" t="s">
        <v>194</v>
      </c>
      <c r="E29" t="s">
        <v>195</v>
      </c>
    </row>
    <row r="30" spans="1:8">
      <c r="A30" t="s">
        <v>197</v>
      </c>
      <c r="B30" t="s">
        <v>198</v>
      </c>
      <c r="E30" t="s">
        <v>199</v>
      </c>
    </row>
    <row r="31" spans="1:8">
      <c r="A31" t="s">
        <v>201</v>
      </c>
      <c r="B31" t="s">
        <v>202</v>
      </c>
      <c r="C31" t="s">
        <v>163</v>
      </c>
      <c r="E31" t="s">
        <v>163</v>
      </c>
      <c r="F31" t="s">
        <v>203</v>
      </c>
      <c r="G31" t="s">
        <v>204</v>
      </c>
      <c r="H31" t="s">
        <v>205</v>
      </c>
    </row>
    <row r="32" spans="1:8">
      <c r="A32" t="s">
        <v>207</v>
      </c>
      <c r="B32" t="s">
        <v>208</v>
      </c>
      <c r="C32" t="s">
        <v>118</v>
      </c>
      <c r="E32" t="s">
        <v>34</v>
      </c>
      <c r="F32" t="s">
        <v>118</v>
      </c>
      <c r="G32" t="s">
        <v>113</v>
      </c>
      <c r="H32" t="s">
        <v>124</v>
      </c>
    </row>
    <row r="33" spans="1:14">
      <c r="A33" t="s">
        <v>210</v>
      </c>
      <c r="B33" t="s">
        <v>211</v>
      </c>
      <c r="C33" t="s">
        <v>124</v>
      </c>
      <c r="E33" t="s">
        <v>113</v>
      </c>
      <c r="F33" t="s">
        <v>119</v>
      </c>
      <c r="G33" t="s">
        <v>124</v>
      </c>
      <c r="H33" t="s">
        <v>40</v>
      </c>
    </row>
    <row r="34" spans="1:14">
      <c r="A34" t="s">
        <v>214</v>
      </c>
      <c r="B34" t="s">
        <v>202</v>
      </c>
      <c r="E34" t="s">
        <v>215</v>
      </c>
      <c r="F34" t="s">
        <v>216</v>
      </c>
      <c r="G34" t="s">
        <v>217</v>
      </c>
      <c r="H34" t="s">
        <v>163</v>
      </c>
      <c r="I34" t="s">
        <v>218</v>
      </c>
      <c r="J34" t="s">
        <v>219</v>
      </c>
    </row>
    <row r="35" spans="1:14">
      <c r="A35" t="s">
        <v>220</v>
      </c>
      <c r="B35" t="s">
        <v>208</v>
      </c>
      <c r="E35" t="s">
        <v>221</v>
      </c>
    </row>
    <row r="36" spans="1:14">
      <c r="A36" t="s">
        <v>222</v>
      </c>
      <c r="B36" t="s">
        <v>211</v>
      </c>
      <c r="E36" t="s">
        <v>124</v>
      </c>
    </row>
    <row r="37" spans="1:14">
      <c r="A37" t="s">
        <v>223</v>
      </c>
      <c r="B37" t="s">
        <v>224</v>
      </c>
      <c r="E37" cm="1" t="str">
        <f t="array" ref="E37">IF('F2-2 Arena'!$C$6&gt;=50,"Pass","Fail")</f>
        <v>Pass</v>
      </c>
      <c r="F37" cm="1" t="str">
        <f t="array" ref="F37">IF('F2-2 Arena'!$C$7&gt;=50,"Pass","Fail")</f>
        <v>Fail</v>
      </c>
      <c r="G37" cm="1" t="str">
        <f t="array" ref="G37">IF('F2-2 Arena'!$C$8&gt;=50,"Pass","Fail")</f>
        <v>Pass</v>
      </c>
      <c r="H37" cm="1" t="str">
        <f t="array" ref="H37">IF('F2-2 Arena'!$C$9&gt;=50,"Pass","Fail")</f>
        <v>Pass</v>
      </c>
      <c r="I37" cm="1" t="str">
        <f t="array" ref="I37">IF('F2-2 Arena'!$C$10&gt;=50,"Pass","Fail")</f>
        <v>Pass</v>
      </c>
      <c r="J37" cm="1" t="str">
        <f t="array" ref="J37">IF('F2-2 Arena'!$C$11&gt;=50,"Pass","Fail")</f>
        <v>Pass</v>
      </c>
      <c r="K37" cm="1" t="str">
        <f t="array" ref="K37">IF('F2-2 Arena'!$C$12&gt;=50,"Pass","Fail")</f>
        <v>Fail</v>
      </c>
      <c r="L37" cm="1" t="str">
        <f t="array" ref="L37">IF('F2-2 Arena'!$C$13&gt;=50,"Pass","Fail")</f>
        <v>Pass</v>
      </c>
      <c r="M37" cm="1" t="str">
        <f t="array" ref="M37">IF('F2-2 Arena'!$C$14&gt;=50,"Pass","Fail")</f>
        <v>Pass</v>
      </c>
      <c r="N37" cm="1" t="str">
        <f t="array" ref="N37">IF('F2-2 Arena'!$C$15&gt;=50,"Pass","Fail")</f>
        <v>Pass</v>
      </c>
    </row>
    <row r="38" spans="1:14">
      <c r="A38" t="s">
        <v>227</v>
      </c>
      <c r="B38" t="s">
        <v>228</v>
      </c>
      <c r="E38" cm="1">
        <f t="array" ref="E38">IF('F2-2 Arena'!$C$6&gt;=80,'F2-2 Arena'!$C$6*10,0)</f>
        <v>920</v>
      </c>
      <c r="F38" cm="1">
        <f t="array" ref="F38">IF('F2-2 Arena'!$C$7&gt;=80,'F2-2 Arena'!$C$7*10,0)</f>
        <v>0</v>
      </c>
      <c r="G38" cm="1">
        <f t="array" ref="G38">IF('F2-2 Arena'!$C$8&gt;=80,'F2-2 Arena'!$C$8*10,0)</f>
        <v>0</v>
      </c>
      <c r="H38" cm="1">
        <f t="array" ref="H38">IF('F2-2 Arena'!$C$9&gt;=80,'F2-2 Arena'!$C$9*10,0)</f>
        <v>0</v>
      </c>
      <c r="I38" cm="1">
        <f t="array" ref="I38">IF('F2-2 Arena'!$C$10&gt;=80,'F2-2 Arena'!$C$10*10,0)</f>
        <v>880</v>
      </c>
      <c r="J38" cm="1">
        <f t="array" ref="J38">IF('F2-2 Arena'!$C$11&gt;=80,'F2-2 Arena'!$C$11*10,0)</f>
        <v>0</v>
      </c>
      <c r="K38" cm="1">
        <f t="array" ref="K38">IF('F2-2 Arena'!$C$12&gt;=80,'F2-2 Arena'!$C$12*10,0)</f>
        <v>0</v>
      </c>
      <c r="L38" cm="1">
        <f t="array" ref="L38">IF('F2-2 Arena'!$C$13&gt;=80,'F2-2 Arena'!$C$13*10,0)</f>
        <v>810</v>
      </c>
      <c r="M38" cm="1">
        <f t="array" ref="M38">IF('F2-2 Arena'!$C$14&gt;=80,'F2-2 Arena'!$C$14*10,0)</f>
        <v>990</v>
      </c>
      <c r="N38" cm="1">
        <f t="array" ref="N38">IF('F2-2 Arena'!$C$15&gt;=80,'F2-2 Arena'!$C$15*10,0)</f>
        <v>0</v>
      </c>
    </row>
    <row r="39" spans="1:14">
      <c r="A39" t="s">
        <v>231</v>
      </c>
      <c r="B39" t="s">
        <v>232</v>
      </c>
      <c r="C39" cm="1" t="str">
        <f t="array" ref="C39">IF('F2-2 Arena'!$J$6="","",'F2-2 Arena'!$J$6*2)</f>
        <v/>
      </c>
    </row>
    <row r="40" spans="1:14">
      <c r="A40" t="s">
        <v>247</v>
      </c>
      <c r="B40" t="s">
        <v>202</v>
      </c>
      <c r="E40" t="s">
        <v>215</v>
      </c>
      <c r="F40" t="s">
        <v>216</v>
      </c>
      <c r="G40" t="s">
        <v>217</v>
      </c>
      <c r="H40" t="s">
        <v>163</v>
      </c>
      <c r="I40" t="s">
        <v>218</v>
      </c>
      <c r="J40" t="s">
        <v>219</v>
      </c>
    </row>
    <row r="41" spans="1:14">
      <c r="A41" t="s">
        <v>249</v>
      </c>
      <c r="B41" t="s">
        <v>208</v>
      </c>
      <c r="E41" t="s">
        <v>221</v>
      </c>
    </row>
    <row r="42" spans="1:14">
      <c r="A42" t="s">
        <v>251</v>
      </c>
      <c r="B42" t="s">
        <v>211</v>
      </c>
      <c r="E42" t="s">
        <v>124</v>
      </c>
    </row>
    <row r="43" spans="1:14">
      <c r="A43" t="s">
        <v>253</v>
      </c>
      <c r="B43" t="s">
        <v>254</v>
      </c>
      <c r="E43" t="s">
        <v>255</v>
      </c>
      <c r="F43" t="s">
        <v>256</v>
      </c>
    </row>
    <row r="44" spans="1:14">
      <c r="A44" t="s">
        <v>258</v>
      </c>
      <c r="B44" t="s">
        <v>259</v>
      </c>
      <c r="E44" t="s">
        <v>260</v>
      </c>
      <c r="F44" t="s">
        <v>261</v>
      </c>
      <c r="G44" t="s">
        <v>262</v>
      </c>
      <c r="H44" t="s">
        <v>263</v>
      </c>
      <c r="I44" t="s">
        <v>264</v>
      </c>
      <c r="J44" t="s">
        <v>265</v>
      </c>
      <c r="K44" t="s">
        <v>266</v>
      </c>
    </row>
    <row r="45" spans="1:14">
      <c r="A45" t="s">
        <v>268</v>
      </c>
      <c r="B45" t="s">
        <v>269</v>
      </c>
      <c r="E45" t="s">
        <v>270</v>
      </c>
    </row>
    <row r="46" spans="1:14">
      <c r="A46" t="s">
        <v>272</v>
      </c>
      <c r="B46" t="s">
        <v>273</v>
      </c>
      <c r="E46" t="s">
        <v>274</v>
      </c>
    </row>
    <row r="47" spans="1:14">
      <c r="A47" t="s">
        <v>276</v>
      </c>
      <c r="B47" t="s">
        <v>277</v>
      </c>
      <c r="E47" t="s">
        <v>278</v>
      </c>
      <c r="F47" t="s">
        <v>279</v>
      </c>
    </row>
    <row r="48" spans="1:14">
      <c r="A48" t="s">
        <v>281</v>
      </c>
      <c r="B48" t="s">
        <v>282</v>
      </c>
      <c r="E48" t="s">
        <v>283</v>
      </c>
      <c r="F48" t="s">
        <v>284</v>
      </c>
    </row>
    <row r="49" spans="1:14">
      <c r="A49" t="s">
        <v>286</v>
      </c>
      <c r="B49" t="s">
        <v>287</v>
      </c>
      <c r="E49" t="s">
        <v>288</v>
      </c>
    </row>
    <row r="50" spans="1:14">
      <c r="A50" t="s">
        <v>290</v>
      </c>
      <c r="B50" t="s">
        <v>291</v>
      </c>
      <c r="C50" t="s">
        <v>205</v>
      </c>
      <c r="E50" t="s">
        <v>205</v>
      </c>
      <c r="F50" t="s">
        <v>292</v>
      </c>
      <c r="G50" t="s">
        <v>204</v>
      </c>
      <c r="H50" t="s">
        <v>293</v>
      </c>
    </row>
    <row r="51" spans="1:14">
      <c r="A51" t="s">
        <v>295</v>
      </c>
      <c r="B51" t="s">
        <v>296</v>
      </c>
      <c r="C51" t="s">
        <v>245</v>
      </c>
      <c r="E51" t="s">
        <v>245</v>
      </c>
      <c r="F51" t="s">
        <v>292</v>
      </c>
      <c r="G51" t="s">
        <v>204</v>
      </c>
      <c r="H51" t="s">
        <v>163</v>
      </c>
    </row>
    <row r="52" spans="1:14">
      <c r="A52" t="s">
        <v>298</v>
      </c>
      <c r="B52" t="s">
        <v>299</v>
      </c>
      <c r="C52" t="s">
        <v>203</v>
      </c>
      <c r="E52" t="s">
        <v>293</v>
      </c>
      <c r="F52" t="s">
        <v>163</v>
      </c>
      <c r="G52" t="s">
        <v>203</v>
      </c>
      <c r="H52" t="s">
        <v>205</v>
      </c>
    </row>
    <row r="53" spans="1:14">
      <c r="A53" t="s">
        <v>302</v>
      </c>
      <c r="B53" t="s">
        <v>291</v>
      </c>
      <c r="E53" t="s">
        <v>303</v>
      </c>
      <c r="F53" t="s">
        <v>304</v>
      </c>
      <c r="G53" t="s">
        <v>305</v>
      </c>
      <c r="H53" t="s">
        <v>205</v>
      </c>
      <c r="I53" t="s">
        <v>306</v>
      </c>
      <c r="J53" t="s">
        <v>307</v>
      </c>
    </row>
    <row r="54" spans="1:14">
      <c r="A54" t="s">
        <v>308</v>
      </c>
      <c r="B54" t="s">
        <v>296</v>
      </c>
      <c r="E54" t="s">
        <v>309</v>
      </c>
      <c r="F54" t="s">
        <v>310</v>
      </c>
      <c r="G54" t="s">
        <v>311</v>
      </c>
      <c r="H54" t="s">
        <v>245</v>
      </c>
      <c r="I54" t="s">
        <v>312</v>
      </c>
      <c r="J54" t="s">
        <v>313</v>
      </c>
    </row>
    <row r="55" spans="1:14">
      <c r="A55" t="s">
        <v>314</v>
      </c>
      <c r="B55" t="s">
        <v>299</v>
      </c>
      <c r="E55" t="s">
        <v>315</v>
      </c>
      <c r="F55" t="s">
        <v>316</v>
      </c>
      <c r="G55" t="s">
        <v>317</v>
      </c>
      <c r="H55" t="s">
        <v>203</v>
      </c>
      <c r="I55" t="s">
        <v>318</v>
      </c>
      <c r="J55" t="s">
        <v>319</v>
      </c>
    </row>
    <row r="56" spans="1:14">
      <c r="A56" t="s">
        <v>320</v>
      </c>
      <c r="B56" t="s">
        <v>321</v>
      </c>
      <c r="E56" cm="1" t="str">
        <f t="array" ref="E56">IF(AND('F2-3 Arena'!$D$6&gt;=18,'F2-3 Arena'!$E$6="Yes"),"Yes","No")</f>
        <v>No</v>
      </c>
      <c r="F56" cm="1" t="str">
        <f t="array" ref="F56">IF(AND('F2-3 Arena'!$D$7&gt;=18,'F2-3 Arena'!$E$7="Yes"),"Yes","No")</f>
        <v>Yes</v>
      </c>
      <c r="G56" cm="1" t="str">
        <f t="array" ref="G56">IF(AND('F2-3 Arena'!$D$8&gt;=18,'F2-3 Arena'!$E$8="Yes"),"Yes","No")</f>
        <v>Yes</v>
      </c>
      <c r="H56" cm="1" t="str">
        <f t="array" ref="H56">IF(AND('F2-3 Arena'!$D$9&gt;=18,'F2-3 Arena'!$E$9="Yes"),"Yes","No")</f>
        <v>No</v>
      </c>
      <c r="I56" cm="1" t="str">
        <f t="array" ref="I56">IF(AND('F2-3 Arena'!$D$10&gt;=18,'F2-3 Arena'!$E$10="Yes"),"Yes","No")</f>
        <v>Yes</v>
      </c>
      <c r="J56" cm="1" t="str">
        <f t="array" ref="J56">IF(AND('F2-3 Arena'!$D$11&gt;=18,'F2-3 Arena'!$E$11="Yes"),"Yes","No")</f>
        <v>Yes</v>
      </c>
      <c r="K56" cm="1" t="str">
        <f t="array" ref="K56">IF(AND('F2-3 Arena'!$D$12&gt;=18,'F2-3 Arena'!$E$12="Yes"),"Yes","No")</f>
        <v>No</v>
      </c>
      <c r="L56" cm="1" t="str">
        <f t="array" ref="L56">IF(AND('F2-3 Arena'!$D$13&gt;=18,'F2-3 Arena'!$E$13="Yes"),"Yes","No")</f>
        <v>Yes</v>
      </c>
      <c r="M56" cm="1" t="str">
        <f t="array" ref="M56">IF(AND('F2-3 Arena'!$D$14&gt;=18,'F2-3 Arena'!$E$14="Yes"),"Yes","No")</f>
        <v>No</v>
      </c>
      <c r="N56" cm="1" t="str">
        <f t="array" ref="N56">IF(AND('F2-3 Arena'!$D$15&gt;=18,'F2-3 Arena'!$E$15="Yes"),"Yes","No")</f>
        <v>No</v>
      </c>
    </row>
    <row r="57" spans="1:14">
      <c r="A57" t="s">
        <v>323</v>
      </c>
      <c r="B57" t="s">
        <v>324</v>
      </c>
      <c r="E57" cm="1" t="str">
        <f t="array" ref="E57">IF(OR('F2-3 Arena'!$C$6&gt;=90,'F2-3 Arena'!$D$6&lt;16),"Prize","No prize")</f>
        <v>Prize</v>
      </c>
      <c r="F57" cm="1" t="str">
        <f t="array" ref="F57">IF(OR('F2-3 Arena'!$C$7&gt;=90,'F2-3 Arena'!$D$7&lt;16),"Prize","No prize")</f>
        <v>No prize</v>
      </c>
      <c r="G57" cm="1" t="str">
        <f t="array" ref="G57">IF(OR('F2-3 Arena'!$C$8&gt;=90,'F2-3 Arena'!$D$8&lt;16),"Prize","No prize")</f>
        <v>No prize</v>
      </c>
      <c r="H57" cm="1" t="str">
        <f t="array" ref="H57">IF(OR('F2-3 Arena'!$C$9&gt;=90,'F2-3 Arena'!$D$9&lt;16),"Prize","No prize")</f>
        <v>No prize</v>
      </c>
      <c r="I57" cm="1" t="str">
        <f t="array" ref="I57">IF(OR('F2-3 Arena'!$C$10&gt;=90,'F2-3 Arena'!$D$10&lt;16),"Prize","No prize")</f>
        <v>No prize</v>
      </c>
      <c r="J57" cm="1" t="str">
        <f t="array" ref="J57">IF(OR('F2-3 Arena'!$C$11&gt;=90,'F2-3 Arena'!$D$11&lt;16),"Prize","No prize")</f>
        <v>No prize</v>
      </c>
      <c r="K57" cm="1" t="str">
        <f t="array" ref="K57">IF(OR('F2-3 Arena'!$C$12&gt;=90,'F2-3 Arena'!$D$12&lt;16),"Prize","No prize")</f>
        <v>No prize</v>
      </c>
      <c r="L57" cm="1" t="str">
        <f t="array" ref="L57">IF(OR('F2-3 Arena'!$C$13&gt;=90,'F2-3 Arena'!$D$13&lt;16),"Prize","No prize")</f>
        <v>No prize</v>
      </c>
      <c r="M57" cm="1" t="str">
        <f t="array" ref="M57">IF(OR('F2-3 Arena'!$C$14&gt;=90,'F2-3 Arena'!$D$14&lt;16),"Prize","No prize")</f>
        <v>Prize</v>
      </c>
      <c r="N57" cm="1" t="str">
        <f t="array" ref="N57">IF(OR('F2-3 Arena'!$C$15&gt;=90,'F2-3 Arena'!$D$15&lt;16),"Prize","No prize")</f>
        <v>No prize</v>
      </c>
    </row>
    <row r="58" spans="1:14">
      <c r="A58" t="s">
        <v>326</v>
      </c>
      <c r="B58" t="s">
        <v>327</v>
      </c>
      <c r="C58" cm="1" t="str">
        <f t="array" ref="C58">IF(NOT('F2-3 Arena'!$E$6="Yes"),"TRUE","FALSE")</f>
        <v>TRUE</v>
      </c>
    </row>
    <row r="59" spans="1:14">
      <c r="A59" t="s">
        <v>341</v>
      </c>
      <c r="B59" t="s">
        <v>291</v>
      </c>
      <c r="E59" t="s">
        <v>303</v>
      </c>
      <c r="F59" t="s">
        <v>304</v>
      </c>
      <c r="G59" t="s">
        <v>305</v>
      </c>
      <c r="H59" t="s">
        <v>205</v>
      </c>
      <c r="I59" t="s">
        <v>306</v>
      </c>
      <c r="J59" t="s">
        <v>307</v>
      </c>
    </row>
    <row r="60" spans="1:14">
      <c r="A60" t="s">
        <v>343</v>
      </c>
      <c r="B60" t="s">
        <v>296</v>
      </c>
      <c r="E60" t="s">
        <v>309</v>
      </c>
      <c r="F60" t="s">
        <v>310</v>
      </c>
      <c r="G60" t="s">
        <v>311</v>
      </c>
      <c r="H60" t="s">
        <v>245</v>
      </c>
      <c r="I60" t="s">
        <v>312</v>
      </c>
      <c r="J60" t="s">
        <v>313</v>
      </c>
    </row>
    <row r="61" spans="1:14">
      <c r="A61" t="s">
        <v>345</v>
      </c>
      <c r="B61" t="s">
        <v>299</v>
      </c>
      <c r="E61" t="s">
        <v>315</v>
      </c>
      <c r="F61" t="s">
        <v>316</v>
      </c>
      <c r="G61" t="s">
        <v>317</v>
      </c>
      <c r="H61" t="s">
        <v>203</v>
      </c>
      <c r="I61" t="s">
        <v>318</v>
      </c>
      <c r="J61" t="s">
        <v>319</v>
      </c>
    </row>
    <row r="62" spans="1:14">
      <c r="A62" t="s">
        <v>347</v>
      </c>
      <c r="B62" t="s">
        <v>348</v>
      </c>
      <c r="E62" t="s">
        <v>349</v>
      </c>
    </row>
    <row r="63" spans="1:14">
      <c r="A63" t="s">
        <v>351</v>
      </c>
      <c r="B63" t="s">
        <v>352</v>
      </c>
      <c r="E63" t="s">
        <v>353</v>
      </c>
      <c r="F63" t="s">
        <v>354</v>
      </c>
      <c r="G63" t="s">
        <v>355</v>
      </c>
    </row>
    <row r="64" spans="1:14">
      <c r="A64" t="s">
        <v>357</v>
      </c>
      <c r="B64" t="s">
        <v>358</v>
      </c>
      <c r="E64" t="s">
        <v>359</v>
      </c>
      <c r="F64" t="s">
        <v>360</v>
      </c>
      <c r="G64" t="s">
        <v>361</v>
      </c>
      <c r="H64" t="s">
        <v>362</v>
      </c>
    </row>
    <row r="65" spans="1:14">
      <c r="A65" t="s">
        <v>364</v>
      </c>
      <c r="B65" t="s">
        <v>365</v>
      </c>
      <c r="E65" t="s">
        <v>366</v>
      </c>
      <c r="F65" t="s">
        <v>367</v>
      </c>
    </row>
    <row r="66" spans="1:14">
      <c r="A66" t="s">
        <v>369</v>
      </c>
      <c r="B66" t="s">
        <v>370</v>
      </c>
      <c r="E66" t="s">
        <v>371</v>
      </c>
    </row>
    <row r="67" spans="1:14">
      <c r="A67" t="s">
        <v>373</v>
      </c>
      <c r="B67" t="s">
        <v>374</v>
      </c>
      <c r="E67" t="s">
        <v>375</v>
      </c>
      <c r="F67" t="s">
        <v>376</v>
      </c>
      <c r="G67" t="s">
        <v>377</v>
      </c>
      <c r="H67" t="s">
        <v>378</v>
      </c>
    </row>
    <row r="68" spans="1:14">
      <c r="A68" t="s">
        <v>380</v>
      </c>
      <c r="B68" t="s">
        <v>381</v>
      </c>
      <c r="E68" t="s">
        <v>382</v>
      </c>
      <c r="F68" t="s">
        <v>383</v>
      </c>
      <c r="G68" t="s">
        <v>384</v>
      </c>
      <c r="H68" t="s">
        <v>385</v>
      </c>
      <c r="I68" t="s">
        <v>386</v>
      </c>
      <c r="J68" t="s">
        <v>387</v>
      </c>
    </row>
    <row r="69" spans="1:14">
      <c r="A69" t="s">
        <v>389</v>
      </c>
      <c r="B69" t="s">
        <v>390</v>
      </c>
      <c r="C69" t="s">
        <v>119</v>
      </c>
      <c r="E69" t="s">
        <v>124</v>
      </c>
      <c r="F69" t="s">
        <v>34</v>
      </c>
      <c r="G69" t="s">
        <v>37</v>
      </c>
      <c r="H69" t="s">
        <v>119</v>
      </c>
    </row>
    <row r="70" spans="1:14">
      <c r="A70" t="s">
        <v>392</v>
      </c>
      <c r="B70" t="s">
        <v>393</v>
      </c>
      <c r="C70" t="s">
        <v>293</v>
      </c>
      <c r="E70" t="s">
        <v>293</v>
      </c>
      <c r="F70" t="s">
        <v>204</v>
      </c>
      <c r="G70" t="s">
        <v>205</v>
      </c>
      <c r="H70" t="s">
        <v>245</v>
      </c>
    </row>
    <row r="71" spans="1:14">
      <c r="A71" t="s">
        <v>395</v>
      </c>
      <c r="B71" t="s">
        <v>396</v>
      </c>
      <c r="C71" t="s">
        <v>113</v>
      </c>
      <c r="E71" t="s">
        <v>37</v>
      </c>
      <c r="F71" t="s">
        <v>119</v>
      </c>
      <c r="G71" t="s">
        <v>118</v>
      </c>
      <c r="H71" t="s">
        <v>113</v>
      </c>
    </row>
    <row r="72" spans="1:14">
      <c r="A72" t="s">
        <v>399</v>
      </c>
      <c r="B72" t="s">
        <v>390</v>
      </c>
      <c r="E72" t="s">
        <v>35</v>
      </c>
      <c r="F72" t="s">
        <v>400</v>
      </c>
    </row>
    <row r="73" spans="1:14">
      <c r="A73" t="s">
        <v>401</v>
      </c>
      <c r="B73" t="s">
        <v>393</v>
      </c>
      <c r="E73" t="s">
        <v>402</v>
      </c>
      <c r="F73" t="s">
        <v>403</v>
      </c>
      <c r="G73" t="s">
        <v>404</v>
      </c>
      <c r="H73" t="s">
        <v>293</v>
      </c>
      <c r="I73" t="s">
        <v>405</v>
      </c>
      <c r="J73" t="s">
        <v>406</v>
      </c>
    </row>
    <row r="74" spans="1:14">
      <c r="A74" t="s">
        <v>407</v>
      </c>
      <c r="B74" t="s">
        <v>396</v>
      </c>
      <c r="E74" t="s">
        <v>408</v>
      </c>
    </row>
    <row r="75" spans="1:14">
      <c r="A75" t="s">
        <v>409</v>
      </c>
      <c r="B75" t="s">
        <v>410</v>
      </c>
      <c r="E75" cm="1" t="str">
        <f t="array" ref="E75">IF('F2-4 Arena'!$C$6&gt;=90,"A",IF('F2-4 Arena'!$C$6&gt;=75,"B","C"))</f>
        <v>A</v>
      </c>
      <c r="F75" cm="1" t="str">
        <f t="array" ref="F75">IF('F2-4 Arena'!$C$7&gt;=90,"A",IF('F2-4 Arena'!$C$7&gt;=75,"B","C"))</f>
        <v>C</v>
      </c>
      <c r="G75" cm="1" t="str">
        <f t="array" ref="G75">IF('F2-4 Arena'!$C$8&gt;=90,"A",IF('F2-4 Arena'!$C$8&gt;=75,"B","C"))</f>
        <v>B</v>
      </c>
      <c r="H75" cm="1" t="str">
        <f t="array" ref="H75">IF('F2-4 Arena'!$C$9&gt;=90,"A",IF('F2-4 Arena'!$C$9&gt;=75,"B","C"))</f>
        <v>C</v>
      </c>
      <c r="I75" cm="1" t="str">
        <f t="array" ref="I75">IF('F2-4 Arena'!$C$10&gt;=90,"A",IF('F2-4 Arena'!$C$10&gt;=75,"B","C"))</f>
        <v>B</v>
      </c>
      <c r="J75" cm="1" t="str">
        <f t="array" ref="J75">IF('F2-4 Arena'!$C$11&gt;=90,"A",IF('F2-4 Arena'!$C$11&gt;=75,"B","C"))</f>
        <v>C</v>
      </c>
      <c r="K75" cm="1" t="str">
        <f t="array" ref="K75">IF('F2-4 Arena'!$C$12&gt;=90,"A",IF('F2-4 Arena'!$C$12&gt;=75,"B","C"))</f>
        <v>C</v>
      </c>
      <c r="L75" cm="1" t="str">
        <f t="array" ref="L75">IF('F2-4 Arena'!$C$13&gt;=90,"A",IF('F2-4 Arena'!$C$13&gt;=75,"B","C"))</f>
        <v>B</v>
      </c>
      <c r="M75" cm="1" t="str">
        <f t="array" ref="M75">IF('F2-4 Arena'!$C$14&gt;=90,"A",IF('F2-4 Arena'!$C$14&gt;=75,"B","C"))</f>
        <v>A</v>
      </c>
      <c r="N75" cm="1" t="str">
        <f t="array" ref="N75">IF('F2-4 Arena'!$C$15&gt;=90,"A",IF('F2-4 Arena'!$C$15&gt;=75,"B","C"))</f>
        <v>C</v>
      </c>
    </row>
    <row r="76" spans="1:14">
      <c r="A76" t="s">
        <v>412</v>
      </c>
      <c r="B76" t="s">
        <v>413</v>
      </c>
      <c r="E76" cm="1" t="str">
        <f t="array" ref="E76">_xlfn.IFS('F2-4 Arena'!$C$6&gt;=90,"Gold",'F2-4 Arena'!$C$6&gt;=75,"Silver",'F2-4 Arena'!$C$6&gt;=60,"Bronze",TRUE,"None")</f>
        <v>Gold</v>
      </c>
      <c r="F76" cm="1" t="str">
        <f t="array" ref="F76">_xlfn.IFS('F2-4 Arena'!$C$7&gt;=90,"Gold",'F2-4 Arena'!$C$7&gt;=75,"Silver",'F2-4 Arena'!$C$7&gt;=60,"Bronze",TRUE,"None")</f>
        <v>None</v>
      </c>
      <c r="G76" cm="1" t="str">
        <f t="array" ref="G76">_xlfn.IFS('F2-4 Arena'!$C$8&gt;=90,"Gold",'F2-4 Arena'!$C$8&gt;=75,"Silver",'F2-4 Arena'!$C$8&gt;=60,"Bronze",TRUE,"None")</f>
        <v>Silver</v>
      </c>
      <c r="H76" cm="1" t="str">
        <f t="array" ref="H76">_xlfn.IFS('F2-4 Arena'!$C$9&gt;=90,"Gold",'F2-4 Arena'!$C$9&gt;=75,"Silver",'F2-4 Arena'!$C$9&gt;=60,"Bronze",TRUE,"None")</f>
        <v>Bronze</v>
      </c>
      <c r="I76" cm="1" t="str">
        <f t="array" ref="I76">_xlfn.IFS('F2-4 Arena'!$C$10&gt;=90,"Gold",'F2-4 Arena'!$C$10&gt;=75,"Silver",'F2-4 Arena'!$C$10&gt;=60,"Bronze",TRUE,"None")</f>
        <v>Silver</v>
      </c>
      <c r="J76" cm="1" t="str">
        <f t="array" ref="J76">_xlfn.IFS('F2-4 Arena'!$C$11&gt;=90,"Gold",'F2-4 Arena'!$C$11&gt;=75,"Silver",'F2-4 Arena'!$C$11&gt;=60,"Bronze",TRUE,"None")</f>
        <v>None</v>
      </c>
      <c r="K76" cm="1" t="str">
        <f t="array" ref="K76">_xlfn.IFS('F2-4 Arena'!$C$12&gt;=90,"Gold",'F2-4 Arena'!$C$12&gt;=75,"Silver",'F2-4 Arena'!$C$12&gt;=60,"Bronze",TRUE,"None")</f>
        <v>None</v>
      </c>
      <c r="L76" cm="1" t="str">
        <f t="array" ref="L76">_xlfn.IFS('F2-4 Arena'!$C$13&gt;=90,"Gold",'F2-4 Arena'!$C$13&gt;=75,"Silver",'F2-4 Arena'!$C$13&gt;=60,"Bronze",TRUE,"None")</f>
        <v>Silver</v>
      </c>
      <c r="M76" cm="1" t="str">
        <f t="array" ref="M76">_xlfn.IFS('F2-4 Arena'!$C$14&gt;=90,"Gold",'F2-4 Arena'!$C$14&gt;=75,"Silver",'F2-4 Arena'!$C$14&gt;=60,"Bronze",TRUE,"None")</f>
        <v>Gold</v>
      </c>
      <c r="N76" cm="1" t="str">
        <f t="array" ref="N76">_xlfn.IFS('F2-4 Arena'!$C$15&gt;=90,"Gold",'F2-4 Arena'!$C$15&gt;=75,"Silver",'F2-4 Arena'!$C$15&gt;=60,"Bronze",TRUE,"None")</f>
        <v>Bronze</v>
      </c>
    </row>
    <row r="77" spans="1:14">
      <c r="A77" t="s">
        <v>415</v>
      </c>
      <c r="B77" t="s">
        <v>416</v>
      </c>
      <c r="C77" t="s">
        <v>417</v>
      </c>
    </row>
    <row r="78" spans="1:14">
      <c r="A78" t="s">
        <v>448</v>
      </c>
      <c r="B78" t="s">
        <v>390</v>
      </c>
      <c r="E78" t="s">
        <v>35</v>
      </c>
      <c r="F78" t="s">
        <v>400</v>
      </c>
    </row>
    <row r="79" spans="1:14">
      <c r="A79" t="s">
        <v>450</v>
      </c>
      <c r="B79" t="s">
        <v>393</v>
      </c>
      <c r="E79" t="s">
        <v>402</v>
      </c>
      <c r="F79" t="s">
        <v>403</v>
      </c>
      <c r="G79" t="s">
        <v>404</v>
      </c>
      <c r="H79" t="s">
        <v>293</v>
      </c>
      <c r="I79" t="s">
        <v>405</v>
      </c>
      <c r="J79" t="s">
        <v>406</v>
      </c>
    </row>
    <row r="80" spans="1:14">
      <c r="A80" t="s">
        <v>452</v>
      </c>
      <c r="B80" t="s">
        <v>396</v>
      </c>
      <c r="E80" t="s">
        <v>408</v>
      </c>
    </row>
    <row r="81" spans="1:10">
      <c r="A81" t="s">
        <v>454</v>
      </c>
      <c r="B81" t="s">
        <v>112</v>
      </c>
      <c r="E81" t="s">
        <v>34</v>
      </c>
    </row>
    <row r="82" spans="1:10">
      <c r="A82" t="s">
        <v>455</v>
      </c>
      <c r="B82" t="s">
        <v>117</v>
      </c>
      <c r="E82" t="s">
        <v>37</v>
      </c>
    </row>
    <row r="83" spans="1:10">
      <c r="A83" t="s">
        <v>456</v>
      </c>
      <c r="B83" t="s">
        <v>123</v>
      </c>
      <c r="E83" t="s">
        <v>134</v>
      </c>
      <c r="F83" t="s">
        <v>135</v>
      </c>
      <c r="G83" t="s">
        <v>136</v>
      </c>
      <c r="H83" t="s">
        <v>137</v>
      </c>
    </row>
    <row r="84" spans="1:10">
      <c r="A84" t="s">
        <v>457</v>
      </c>
      <c r="B84" t="s">
        <v>458</v>
      </c>
      <c r="E84" t="s">
        <v>459</v>
      </c>
      <c r="F84" t="s">
        <v>460</v>
      </c>
      <c r="G84" t="s">
        <v>461</v>
      </c>
      <c r="H84" t="s">
        <v>462</v>
      </c>
      <c r="I84" t="s">
        <v>463</v>
      </c>
      <c r="J84" t="s">
        <v>464</v>
      </c>
    </row>
    <row r="85" spans="1:10">
      <c r="A85" t="s">
        <v>466</v>
      </c>
      <c r="B85" t="s">
        <v>467</v>
      </c>
      <c r="E85" t="s">
        <v>468</v>
      </c>
      <c r="F85" t="s">
        <v>469</v>
      </c>
      <c r="G85" t="s">
        <v>470</v>
      </c>
      <c r="H85" t="s">
        <v>471</v>
      </c>
      <c r="I85" t="s">
        <v>472</v>
      </c>
      <c r="J85" t="s">
        <v>473</v>
      </c>
    </row>
    <row r="86" spans="1:10">
      <c r="A86" t="s">
        <v>475</v>
      </c>
      <c r="B86" t="s">
        <v>476</v>
      </c>
      <c r="E86" t="s">
        <v>477</v>
      </c>
      <c r="F86" t="s">
        <v>478</v>
      </c>
      <c r="G86" t="s">
        <v>479</v>
      </c>
      <c r="H86" t="s">
        <v>480</v>
      </c>
      <c r="I86" t="s">
        <v>481</v>
      </c>
      <c r="J86" t="s">
        <v>482</v>
      </c>
    </row>
    <row r="87" spans="1:10">
      <c r="A87" t="s">
        <v>484</v>
      </c>
      <c r="B87" t="s">
        <v>485</v>
      </c>
      <c r="E87" t="s">
        <v>486</v>
      </c>
      <c r="F87" t="s">
        <v>487</v>
      </c>
      <c r="G87" t="s">
        <v>488</v>
      </c>
      <c r="H87" t="s">
        <v>489</v>
      </c>
      <c r="I87" t="s">
        <v>490</v>
      </c>
      <c r="J87" t="s">
        <v>491</v>
      </c>
    </row>
    <row r="88" spans="1:10">
      <c r="A88" t="s">
        <v>493</v>
      </c>
      <c r="B88" t="s">
        <v>494</v>
      </c>
      <c r="C88" t="s">
        <v>442</v>
      </c>
      <c r="E88" t="s">
        <v>442</v>
      </c>
      <c r="F88" t="s">
        <v>245</v>
      </c>
      <c r="G88" t="s">
        <v>163</v>
      </c>
      <c r="H88" t="s">
        <v>293</v>
      </c>
    </row>
    <row r="89" spans="1:10">
      <c r="A89" t="s">
        <v>496</v>
      </c>
      <c r="B89" t="s">
        <v>497</v>
      </c>
      <c r="C89" t="s">
        <v>292</v>
      </c>
      <c r="E89" t="s">
        <v>442</v>
      </c>
      <c r="F89" t="s">
        <v>292</v>
      </c>
      <c r="G89" t="s">
        <v>245</v>
      </c>
      <c r="H89" t="s">
        <v>204</v>
      </c>
    </row>
    <row r="90" spans="1:10">
      <c r="A90" t="s">
        <v>499</v>
      </c>
      <c r="B90" t="s">
        <v>500</v>
      </c>
      <c r="C90" t="s">
        <v>204</v>
      </c>
      <c r="E90" t="s">
        <v>293</v>
      </c>
      <c r="F90" t="s">
        <v>245</v>
      </c>
      <c r="G90" t="s">
        <v>204</v>
      </c>
      <c r="H90" t="s">
        <v>447</v>
      </c>
    </row>
    <row r="91" spans="1:10">
      <c r="A91" t="s">
        <v>502</v>
      </c>
      <c r="B91" t="s">
        <v>503</v>
      </c>
      <c r="C91" t="s">
        <v>447</v>
      </c>
      <c r="E91" t="s">
        <v>245</v>
      </c>
      <c r="F91" t="s">
        <v>203</v>
      </c>
      <c r="G91" t="s">
        <v>447</v>
      </c>
      <c r="H91" t="s">
        <v>204</v>
      </c>
    </row>
    <row r="92" spans="1:10">
      <c r="A92" t="s">
        <v>507</v>
      </c>
      <c r="B92" t="s">
        <v>494</v>
      </c>
      <c r="E92" t="s">
        <v>508</v>
      </c>
      <c r="F92" t="s">
        <v>509</v>
      </c>
      <c r="G92" t="s">
        <v>510</v>
      </c>
      <c r="H92" t="s">
        <v>442</v>
      </c>
      <c r="I92" t="s">
        <v>511</v>
      </c>
      <c r="J92" t="s">
        <v>512</v>
      </c>
    </row>
    <row r="93" spans="1:10">
      <c r="A93" t="s">
        <v>513</v>
      </c>
      <c r="B93" t="s">
        <v>497</v>
      </c>
      <c r="E93" t="s">
        <v>514</v>
      </c>
      <c r="F93" t="s">
        <v>515</v>
      </c>
      <c r="G93" t="s">
        <v>516</v>
      </c>
      <c r="H93" t="s">
        <v>292</v>
      </c>
      <c r="I93" t="s">
        <v>517</v>
      </c>
      <c r="J93" t="s">
        <v>518</v>
      </c>
    </row>
    <row r="94" spans="1:10">
      <c r="A94" t="s">
        <v>519</v>
      </c>
      <c r="B94" t="s">
        <v>500</v>
      </c>
      <c r="E94" t="s">
        <v>520</v>
      </c>
      <c r="F94" t="s">
        <v>521</v>
      </c>
      <c r="G94" t="s">
        <v>522</v>
      </c>
      <c r="H94" t="s">
        <v>204</v>
      </c>
      <c r="I94" t="s">
        <v>523</v>
      </c>
      <c r="J94" t="s">
        <v>524</v>
      </c>
    </row>
    <row r="95" spans="1:10">
      <c r="A95" t="s">
        <v>525</v>
      </c>
      <c r="B95" t="s">
        <v>503</v>
      </c>
      <c r="E95" t="s">
        <v>526</v>
      </c>
      <c r="F95" t="s">
        <v>527</v>
      </c>
      <c r="G95" t="s">
        <v>528</v>
      </c>
      <c r="H95" t="s">
        <v>447</v>
      </c>
      <c r="I95" t="s">
        <v>529</v>
      </c>
      <c r="J95" t="s">
        <v>530</v>
      </c>
    </row>
    <row r="96" spans="1:10">
      <c r="A96" t="s">
        <v>531</v>
      </c>
      <c r="B96" t="s">
        <v>532</v>
      </c>
      <c r="E96" cm="1">
        <f t="array" ref="E96">IFERROR('F2-5 Arena'!$C$6/'F2-5 Arena'!$D$6,0)</f>
        <v>12.0</v>
      </c>
      <c r="F96" cm="1">
        <f t="array" ref="F96">IFERROR('F2-5 Arena'!$C$7/'F2-5 Arena'!$D$7,0)</f>
        <v>0</v>
      </c>
      <c r="G96" cm="1">
        <f t="array" ref="G96">IFERROR('F2-5 Arena'!$C$8/'F2-5 Arena'!$D$8,0)</f>
        <v>15.0</v>
      </c>
      <c r="H96" cm="1">
        <f t="array" ref="H96">IFERROR('F2-5 Arena'!$C$9/'F2-5 Arena'!$D$9,0)</f>
        <v>0</v>
      </c>
      <c r="I96" cm="1">
        <f t="array" ref="I96">IFERROR('F2-5 Arena'!$C$10/'F2-5 Arena'!$D$10,0)</f>
        <v>5.0</v>
      </c>
      <c r="J96" cm="1">
        <f t="array" ref="J96">IFERROR('F2-5 Arena'!$C$11/'F2-5 Arena'!$D$11,0)</f>
        <v>0</v>
      </c>
    </row>
    <row r="97" spans="1:14">
      <c r="A97" t="s">
        <v>535</v>
      </c>
      <c r="B97" t="s">
        <v>536</v>
      </c>
      <c r="C97" cm="1" t="str">
        <f t="array" ref="C97">_xlfn.IFNA('F2-5 Arena'!$D$14,"Missing")</f>
        <v>Missing</v>
      </c>
    </row>
    <row r="98" spans="1:14">
      <c r="A98" t="s">
        <v>539</v>
      </c>
      <c r="B98" t="s">
        <v>540</v>
      </c>
      <c r="E98" cm="1" t="str">
        <f t="array" ref="E98">IF(ISBLANK('F2-5 Arena'!$B$17),"Missing","OK")</f>
        <v>OK</v>
      </c>
      <c r="F98" cm="1" t="str">
        <f t="array" ref="F98">IF(ISBLANK('F2-5 Arena'!$B$18),"Missing","OK")</f>
        <v>Missing</v>
      </c>
      <c r="G98" cm="1" t="str">
        <f t="array" ref="G98">IF(ISBLANK('F2-5 Arena'!$B$19),"Missing","OK")</f>
        <v>OK</v>
      </c>
      <c r="H98" cm="1" t="str">
        <f t="array" ref="H98">IF(ISBLANK('F2-5 Arena'!$B$20),"Missing","OK")</f>
        <v>Missing</v>
      </c>
      <c r="I98" cm="1" t="str">
        <f t="array" ref="I98">IF(ISBLANK('F2-5 Arena'!$B$21),"Missing","OK")</f>
        <v>OK</v>
      </c>
    </row>
    <row r="99" spans="1:14">
      <c r="A99" t="s">
        <v>544</v>
      </c>
      <c r="B99" t="s">
        <v>545</v>
      </c>
      <c r="E99" cm="1" t="str">
        <f t="array" ref="E99">IF(ISNUMBER('F2-5 Arena'!$D$23),"Number","Text")</f>
        <v>Number</v>
      </c>
      <c r="F99" cm="1" t="str">
        <f t="array" ref="F99">IF(ISNUMBER('F2-5 Arena'!$D$24),"Number","Text")</f>
        <v>Text</v>
      </c>
      <c r="G99" cm="1" t="str">
        <f t="array" ref="G99">IF(ISNUMBER('F2-5 Arena'!$D$25),"Number","Text")</f>
        <v>Number</v>
      </c>
      <c r="H99" cm="1" t="str">
        <f t="array" ref="H99">IF(ISNUMBER('F2-5 Arena'!$D$26),"Number","Text")</f>
        <v>Text</v>
      </c>
      <c r="I99" cm="1" t="str">
        <f t="array" ref="I99">IF(ISNUMBER('F2-5 Arena'!$D$27),"Number","Text")</f>
        <v>Number</v>
      </c>
    </row>
    <row r="100" spans="1:14">
      <c r="A100" t="s">
        <v>567</v>
      </c>
      <c r="B100" t="s">
        <v>494</v>
      </c>
      <c r="E100" t="s">
        <v>508</v>
      </c>
      <c r="F100" t="s">
        <v>509</v>
      </c>
      <c r="G100" t="s">
        <v>510</v>
      </c>
      <c r="H100" t="s">
        <v>442</v>
      </c>
      <c r="I100" t="s">
        <v>511</v>
      </c>
      <c r="J100" t="s">
        <v>512</v>
      </c>
    </row>
    <row r="101" spans="1:14">
      <c r="A101" t="s">
        <v>569</v>
      </c>
      <c r="B101" t="s">
        <v>497</v>
      </c>
      <c r="E101" t="s">
        <v>514</v>
      </c>
      <c r="F101" t="s">
        <v>515</v>
      </c>
      <c r="G101" t="s">
        <v>516</v>
      </c>
      <c r="H101" t="s">
        <v>292</v>
      </c>
      <c r="I101" t="s">
        <v>517</v>
      </c>
      <c r="J101" t="s">
        <v>518</v>
      </c>
    </row>
    <row r="102" spans="1:14">
      <c r="A102" t="s">
        <v>571</v>
      </c>
      <c r="B102" t="s">
        <v>500</v>
      </c>
      <c r="E102" t="s">
        <v>520</v>
      </c>
      <c r="F102" t="s">
        <v>521</v>
      </c>
      <c r="G102" t="s">
        <v>522</v>
      </c>
      <c r="H102" t="s">
        <v>204</v>
      </c>
      <c r="I102" t="s">
        <v>523</v>
      </c>
      <c r="J102" t="s">
        <v>524</v>
      </c>
    </row>
    <row r="103" spans="1:14">
      <c r="A103" t="s">
        <v>573</v>
      </c>
      <c r="B103" t="s">
        <v>503</v>
      </c>
      <c r="E103" t="s">
        <v>526</v>
      </c>
      <c r="F103" t="s">
        <v>527</v>
      </c>
      <c r="G103" t="s">
        <v>528</v>
      </c>
      <c r="H103" t="s">
        <v>447</v>
      </c>
      <c r="I103" t="s">
        <v>529</v>
      </c>
      <c r="J103" t="s">
        <v>530</v>
      </c>
    </row>
    <row r="104" spans="1:14">
      <c r="A104" t="s">
        <v>575</v>
      </c>
      <c r="B104" t="s">
        <v>202</v>
      </c>
      <c r="E104" t="s">
        <v>215</v>
      </c>
      <c r="F104" t="s">
        <v>216</v>
      </c>
      <c r="G104" t="s">
        <v>217</v>
      </c>
      <c r="H104" t="s">
        <v>163</v>
      </c>
      <c r="I104" t="s">
        <v>218</v>
      </c>
      <c r="J104" t="s">
        <v>219</v>
      </c>
    </row>
    <row r="105" spans="1:14">
      <c r="A105" t="s">
        <v>577</v>
      </c>
      <c r="B105" t="s">
        <v>208</v>
      </c>
      <c r="E105" t="s">
        <v>221</v>
      </c>
    </row>
    <row r="106" spans="1:14">
      <c r="A106" t="s">
        <v>579</v>
      </c>
      <c r="B106" t="s">
        <v>211</v>
      </c>
      <c r="E106" t="s">
        <v>124</v>
      </c>
    </row>
    <row r="107" spans="1:14">
      <c r="A107" t="s">
        <v>581</v>
      </c>
      <c r="B107" t="s">
        <v>582</v>
      </c>
      <c r="E107" t="s">
        <v>583</v>
      </c>
      <c r="F107" t="s">
        <v>584</v>
      </c>
      <c r="G107" t="s">
        <v>585</v>
      </c>
      <c r="H107" t="s">
        <v>586</v>
      </c>
      <c r="I107" t="s">
        <v>587</v>
      </c>
      <c r="J107" t="s">
        <v>588</v>
      </c>
    </row>
    <row r="108" spans="1:14">
      <c r="A108" t="s">
        <v>592</v>
      </c>
      <c r="B108" t="s">
        <v>593</v>
      </c>
      <c r="E108" cm="1" t="str">
        <f t="array" ref="E108">IF('Boss Arena'!$C$6&gt;=60,"Pass","Fail")</f>
        <v>Pass</v>
      </c>
      <c r="F108" cm="1" t="str">
        <f t="array" ref="F108">IF('Boss Arena'!$C$7&gt;=60,"Pass","Fail")</f>
        <v>Fail</v>
      </c>
      <c r="G108" cm="1" t="str">
        <f t="array" ref="G108">IF('Boss Arena'!$C$8&gt;=60,"Pass","Fail")</f>
        <v>Pass</v>
      </c>
      <c r="H108" cm="1" t="str">
        <f t="array" ref="H108">IF('Boss Arena'!$C$9&gt;=60,"Pass","Fail")</f>
        <v>Pass</v>
      </c>
      <c r="I108" cm="1" t="str">
        <f t="array" ref="I108">IF('Boss Arena'!$C$10&gt;=60,"Pass","Fail")</f>
        <v>Pass</v>
      </c>
      <c r="J108" cm="1" t="str">
        <f t="array" ref="J108">IF('Boss Arena'!$C$11&gt;=60,"Pass","Fail")</f>
        <v>Fail</v>
      </c>
      <c r="K108" cm="1" t="str">
        <f t="array" ref="K108">IF('Boss Arena'!$C$12&gt;=60,"Pass","Fail")</f>
        <v>Fail</v>
      </c>
      <c r="L108" cm="1" t="str">
        <f t="array" ref="L108">IF('Boss Arena'!$C$13&gt;=60,"Pass","Fail")</f>
        <v>Pass</v>
      </c>
      <c r="M108" cm="1" t="str">
        <f t="array" ref="M108">IF('Boss Arena'!$C$14&gt;=60,"Pass","Fail")</f>
        <v>Pass</v>
      </c>
      <c r="N108" cm="1" t="str">
        <f t="array" ref="N108">IF('Boss Arena'!$C$15&gt;=60,"Pass","Fail")</f>
        <v>Pass</v>
      </c>
    </row>
    <row r="109" spans="1:14">
      <c r="A109" t="s">
        <v>596</v>
      </c>
      <c r="B109" t="s">
        <v>597</v>
      </c>
      <c r="E109" cm="1" t="str">
        <f t="array" ref="E109">IF(AND('Boss Arena'!$D$6&gt;=18,'Boss Arena'!$C$6&gt;=70),"Yes","No")</f>
        <v>No</v>
      </c>
      <c r="F109" cm="1" t="str">
        <f t="array" ref="F109">IF(AND('Boss Arena'!$D$7&gt;=18,'Boss Arena'!$C$7&gt;=70),"Yes","No")</f>
        <v>No</v>
      </c>
      <c r="G109" cm="1" t="str">
        <f t="array" ref="G109">IF(AND('Boss Arena'!$D$8&gt;=18,'Boss Arena'!$C$8&gt;=70),"Yes","No")</f>
        <v>Yes</v>
      </c>
      <c r="H109" cm="1" t="str">
        <f t="array" ref="H109">IF(AND('Boss Arena'!$D$9&gt;=18,'Boss Arena'!$C$9&gt;=70),"Yes","No")</f>
        <v>No</v>
      </c>
      <c r="I109" cm="1" t="str">
        <f t="array" ref="I109">IF(AND('Boss Arena'!$D$10&gt;=18,'Boss Arena'!$C$10&gt;=70),"Yes","No")</f>
        <v>Yes</v>
      </c>
      <c r="J109" cm="1" t="str">
        <f t="array" ref="J109">IF(AND('Boss Arena'!$D$11&gt;=18,'Boss Arena'!$C$11&gt;=70),"Yes","No")</f>
        <v>No</v>
      </c>
      <c r="K109" cm="1" t="str">
        <f t="array" ref="K109">IF(AND('Boss Arena'!$D$12&gt;=18,'Boss Arena'!$C$12&gt;=70),"Yes","No")</f>
        <v>No</v>
      </c>
      <c r="L109" cm="1" t="str">
        <f t="array" ref="L109">IF(AND('Boss Arena'!$D$13&gt;=18,'Boss Arena'!$C$13&gt;=70),"Yes","No")</f>
        <v>Yes</v>
      </c>
      <c r="M109" cm="1" t="str">
        <f t="array" ref="M109">IF(AND('Boss Arena'!$D$14&gt;=18,'Boss Arena'!$C$14&gt;=70),"Yes","No")</f>
        <v>No</v>
      </c>
      <c r="N109" cm="1" t="str">
        <f t="array" ref="N109">IF(AND('Boss Arena'!$D$15&gt;=18,'Boss Arena'!$C$15&gt;=70),"Yes","No")</f>
        <v>Yes</v>
      </c>
    </row>
    <row r="110" spans="1:14">
      <c r="A110" t="s">
        <v>600</v>
      </c>
      <c r="B110" t="s">
        <v>601</v>
      </c>
      <c r="E110" cm="1" t="str">
        <f t="array" ref="E110">IF(OR('Boss Arena'!$C$6&gt;=95,'Boss Arena'!$D$6&gt;=40),"Star","No")</f>
        <v>No</v>
      </c>
      <c r="F110" cm="1" t="str">
        <f t="array" ref="F110">IF(OR('Boss Arena'!$C$7&gt;=95,'Boss Arena'!$D$7&gt;=40),"Star","No")</f>
        <v>No</v>
      </c>
      <c r="G110" cm="1" t="str">
        <f t="array" ref="G110">IF(OR('Boss Arena'!$C$8&gt;=95,'Boss Arena'!$D$8&gt;=40),"Star","No")</f>
        <v>No</v>
      </c>
      <c r="H110" cm="1" t="str">
        <f t="array" ref="H110">IF(OR('Boss Arena'!$C$9&gt;=95,'Boss Arena'!$D$9&gt;=40),"Star","No")</f>
        <v>No</v>
      </c>
      <c r="I110" cm="1" t="str">
        <f t="array" ref="I110">IF(OR('Boss Arena'!$C$10&gt;=95,'Boss Arena'!$D$10&gt;=40),"Star","No")</f>
        <v>No</v>
      </c>
      <c r="J110" cm="1" t="str">
        <f t="array" ref="J110">IF(OR('Boss Arena'!$C$11&gt;=95,'Boss Arena'!$D$11&gt;=40),"Star","No")</f>
        <v>No</v>
      </c>
      <c r="K110" cm="1" t="str">
        <f t="array" ref="K110">IF(OR('Boss Arena'!$C$12&gt;=95,'Boss Arena'!$D$12&gt;=40),"Star","No")</f>
        <v>No</v>
      </c>
      <c r="L110" cm="1" t="str">
        <f t="array" ref="L110">IF(OR('Boss Arena'!$C$13&gt;=95,'Boss Arena'!$D$13&gt;=40),"Star","No")</f>
        <v>Star</v>
      </c>
      <c r="M110" cm="1" t="str">
        <f t="array" ref="M110">IF(OR('Boss Arena'!$C$14&gt;=95,'Boss Arena'!$D$14&gt;=40),"Star","No")</f>
        <v>Star</v>
      </c>
      <c r="N110" cm="1" t="str">
        <f t="array" ref="N110">IF(OR('Boss Arena'!$C$15&gt;=95,'Boss Arena'!$D$15&gt;=40),"Star","No")</f>
        <v>No</v>
      </c>
    </row>
    <row r="111" spans="1:14">
      <c r="A111" t="s">
        <v>604</v>
      </c>
      <c r="B111" t="s">
        <v>605</v>
      </c>
      <c r="E111" cm="1" t="str">
        <f t="array" ref="E111">_xlfn.IFS('Boss Arena'!$C$6&gt;=90,"Gold",'Boss Arena'!$C$6&gt;=75,"Silver",'Boss Arena'!$C$6&gt;=60,"Bronze",TRUE,"None")</f>
        <v>Gold</v>
      </c>
      <c r="F111" cm="1" t="str">
        <f t="array" ref="F111">_xlfn.IFS('Boss Arena'!$C$7&gt;=90,"Gold",'Boss Arena'!$C$7&gt;=75,"Silver",'Boss Arena'!$C$7&gt;=60,"Bronze",TRUE,"None")</f>
        <v>None</v>
      </c>
      <c r="G111" cm="1" t="str">
        <f t="array" ref="G111">_xlfn.IFS('Boss Arena'!$C$8&gt;=90,"Gold",'Boss Arena'!$C$8&gt;=75,"Silver",'Boss Arena'!$C$8&gt;=60,"Bronze",TRUE,"None")</f>
        <v>Silver</v>
      </c>
      <c r="H111" cm="1" t="str">
        <f t="array" ref="H111">_xlfn.IFS('Boss Arena'!$C$9&gt;=90,"Gold",'Boss Arena'!$C$9&gt;=75,"Silver",'Boss Arena'!$C$9&gt;=60,"Bronze",TRUE,"None")</f>
        <v>Bronze</v>
      </c>
      <c r="I111" cm="1" t="str">
        <f t="array" ref="I111">_xlfn.IFS('Boss Arena'!$C$10&gt;=90,"Gold",'Boss Arena'!$C$10&gt;=75,"Silver",'Boss Arena'!$C$10&gt;=60,"Bronze",TRUE,"None")</f>
        <v>Silver</v>
      </c>
      <c r="J111" cm="1" t="str">
        <f t="array" ref="J111">_xlfn.IFS('Boss Arena'!$C$11&gt;=90,"Gold",'Boss Arena'!$C$11&gt;=75,"Silver",'Boss Arena'!$C$11&gt;=60,"Bronze",TRUE,"None")</f>
        <v>None</v>
      </c>
      <c r="K111" cm="1" t="str">
        <f t="array" ref="K111">_xlfn.IFS('Boss Arena'!$C$12&gt;=90,"Gold",'Boss Arena'!$C$12&gt;=75,"Silver",'Boss Arena'!$C$12&gt;=60,"Bronze",TRUE,"None")</f>
        <v>None</v>
      </c>
      <c r="L111" cm="1" t="str">
        <f t="array" ref="L111">_xlfn.IFS('Boss Arena'!$C$13&gt;=90,"Gold",'Boss Arena'!$C$13&gt;=75,"Silver",'Boss Arena'!$C$13&gt;=60,"Bronze",TRUE,"None")</f>
        <v>Silver</v>
      </c>
      <c r="M111" cm="1" t="str">
        <f t="array" ref="M111">_xlfn.IFS('Boss Arena'!$C$14&gt;=90,"Gold",'Boss Arena'!$C$14&gt;=75,"Silver",'Boss Arena'!$C$14&gt;=60,"Bronze",TRUE,"None")</f>
        <v>Gold</v>
      </c>
      <c r="N111" cm="1" t="str">
        <f t="array" ref="N111">_xlfn.IFS('Boss Arena'!$C$15&gt;=90,"Gold",'Boss Arena'!$C$15&gt;=75,"Silver",'Boss Arena'!$C$15&gt;=60,"Bronze",TRUE,"None")</f>
        <v>Bronze</v>
      </c>
    </row>
    <row r="112" spans="1:14">
      <c r="A112" t="s">
        <v>608</v>
      </c>
      <c r="B112" t="s">
        <v>609</v>
      </c>
      <c r="E112" cm="1" t="str">
        <f t="array" ref="E112">IF(AND('Boss Arena'!$C$6&gt;=80,'Boss Arena'!$D$6&gt;=18),"VIP",IF('Boss Arena'!$C$6&gt;=60,"Member","Guest"))</f>
        <v>Member</v>
      </c>
      <c r="F112" cm="1" t="str">
        <f t="array" ref="F112">IF(AND('Boss Arena'!$C$7&gt;=80,'Boss Arena'!$D$7&gt;=18),"VIP",IF('Boss Arena'!$C$7&gt;=60,"Member","Guest"))</f>
        <v>Guest</v>
      </c>
      <c r="G112" cm="1" t="str">
        <f t="array" ref="G112">IF(AND('Boss Arena'!$C$8&gt;=80,'Boss Arena'!$D$8&gt;=18),"VIP",IF('Boss Arena'!$C$8&gt;=60,"Member","Guest"))</f>
        <v>Member</v>
      </c>
      <c r="H112" cm="1" t="str">
        <f t="array" ref="H112">IF(AND('Boss Arena'!$C$9&gt;=80,'Boss Arena'!$D$9&gt;=18),"VIP",IF('Boss Arena'!$C$9&gt;=60,"Member","Guest"))</f>
        <v>Member</v>
      </c>
      <c r="I112" cm="1" t="str">
        <f t="array" ref="I112">IF(AND('Boss Arena'!$C$10&gt;=80,'Boss Arena'!$D$10&gt;=18),"VIP",IF('Boss Arena'!$C$10&gt;=60,"Member","Guest"))</f>
        <v>VIP</v>
      </c>
      <c r="J112" cm="1" t="str">
        <f t="array" ref="J112">IF(AND('Boss Arena'!$C$11&gt;=80,'Boss Arena'!$D$11&gt;=18),"VIP",IF('Boss Arena'!$C$11&gt;=60,"Member","Guest"))</f>
        <v>Guest</v>
      </c>
      <c r="K112" cm="1" t="str">
        <f t="array" ref="K112">IF(AND('Boss Arena'!$C$12&gt;=80,'Boss Arena'!$D$12&gt;=18),"VIP",IF('Boss Arena'!$C$12&gt;=60,"Member","Guest"))</f>
        <v>Guest</v>
      </c>
      <c r="L112" cm="1" t="str">
        <f t="array" ref="L112">IF(AND('Boss Arena'!$C$13&gt;=80,'Boss Arena'!$D$13&gt;=18),"VIP",IF('Boss Arena'!$C$13&gt;=60,"Member","Guest"))</f>
        <v>VIP</v>
      </c>
      <c r="M112" cm="1" t="str">
        <f t="array" ref="M112">IF(AND('Boss Arena'!$C$14&gt;=80,'Boss Arena'!$D$14&gt;=18),"VIP",IF('Boss Arena'!$C$14&gt;=60,"Member","Guest"))</f>
        <v>Member</v>
      </c>
      <c r="N112" cm="1" t="str">
        <f t="array" ref="N112">IF(AND('Boss Arena'!$C$15&gt;=80,'Boss Arena'!$D$15&gt;=18),"VIP",IF('Boss Arena'!$C$15&gt;=60,"Member","Guest"))</f>
        <v>Member</v>
      </c>
    </row>
    <row r="113" spans="1:10">
      <c r="A113" t="s">
        <v>612</v>
      </c>
      <c r="B113" t="s">
        <v>613</v>
      </c>
      <c r="C113" cm="1" t="str">
        <f t="array" ref="C113">IF(NOT('Boss Arena'!$E$6="Yes"),"TRUE","FALSE")</f>
        <v>TRUE</v>
      </c>
    </row>
    <row r="114" spans="1:10">
      <c r="A114" t="s">
        <v>616</v>
      </c>
      <c r="B114" t="s">
        <v>617</v>
      </c>
      <c r="E114" cm="1">
        <f t="array" ref="E114">IFERROR('Boss Arena'!$C$21/'Boss Arena'!$D$21,0)</f>
        <v>12.0</v>
      </c>
      <c r="F114" cm="1">
        <f t="array" ref="F114">IFERROR('Boss Arena'!$C$22/'Boss Arena'!$D$22,0)</f>
        <v>0</v>
      </c>
      <c r="G114" cm="1">
        <f t="array" ref="G114">IFERROR('Boss Arena'!$C$23/'Boss Arena'!$D$23,0)</f>
        <v>15.0</v>
      </c>
      <c r="H114" cm="1">
        <f t="array" ref="H114">IFERROR('Boss Arena'!$C$24/'Boss Arena'!$D$24,0)</f>
        <v>0</v>
      </c>
      <c r="I114" cm="1">
        <f t="array" ref="I114">IFERROR('Boss Arena'!$C$25/'Boss Arena'!$D$25,0)</f>
        <v>5.0</v>
      </c>
      <c r="J114" cm="1">
        <f t="array" ref="J114">IFERROR('Boss Arena'!$C$26/'Boss Arena'!$D$26,0)</f>
        <v>0</v>
      </c>
    </row>
    <row r="115" spans="1:10">
      <c r="A115" t="s">
        <v>620</v>
      </c>
      <c r="B115" t="s">
        <v>621</v>
      </c>
      <c r="E115" cm="1" t="str">
        <f t="array" ref="E115">IF(ISBLANK('Boss Arena'!$G$21),"Missing","OK")</f>
        <v>OK</v>
      </c>
      <c r="F115" cm="1" t="str">
        <f t="array" ref="F115">IF(ISBLANK('Boss Arena'!$G$22),"Missing","OK")</f>
        <v>Missing</v>
      </c>
      <c r="G115" cm="1" t="str">
        <f t="array" ref="G115">IF(ISBLANK('Boss Arena'!$G$23),"Missing","OK")</f>
        <v>OK</v>
      </c>
      <c r="H115" cm="1" t="str">
        <f t="array" ref="H115">IF(ISBLANK('Boss Arena'!$G$24),"Missing","OK")</f>
        <v>Missing</v>
      </c>
      <c r="I115" cm="1" t="str">
        <f t="array" ref="I115">IF(ISBLANK('Boss Arena'!$G$25),"Missing","OK")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7</vt:i4>
      </vt:variant>
    </vt:vector>
  </HeadingPairs>
  <TitlesOfParts>
    <vt:vector size="21" baseType="lpstr">
      <vt:lpstr>Start</vt:lpstr>
      <vt:lpstr>F2-1 True or False</vt:lpstr>
      <vt:lpstr>F2-1 Arena</vt:lpstr>
      <vt:lpstr>F2-2 Fork in the Road</vt:lpstr>
      <vt:lpstr>F2-2 Arena</vt:lpstr>
      <vt:lpstr>F2-3 Combo Moves</vt:lpstr>
      <vt:lpstr>F2-3 Arena</vt:lpstr>
      <vt:lpstr>F2-4 Multi-Level</vt:lpstr>
      <vt:lpstr>F2-4 Arena</vt:lpstr>
      <vt:lpstr>F2-5 Error Shield</vt:lpstr>
      <vt:lpstr>F2-5 Arena</vt:lpstr>
      <vt:lpstr>Boss</vt:lpstr>
      <vt:lpstr>Boss Arena</vt:lpstr>
      <vt:lpstr>Cheat Codes</vt:lpstr>
      <vt:lpstr>Boss!Print_Titles</vt:lpstr>
      <vt:lpstr>'Cheat Codes'!Print_Titles</vt:lpstr>
      <vt:lpstr>'F2-1 True or False'!Print_Titles</vt:lpstr>
      <vt:lpstr>'F2-2 Fork in the Road'!Print_Titles</vt:lpstr>
      <vt:lpstr>'F2-3 Combo Moves'!Print_Titles</vt:lpstr>
      <vt:lpstr>'F2-4 Multi-Level'!Print_Titles</vt:lpstr>
      <vt:lpstr>'F2-5 Error Shield'!Print_Titles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Formulas 2 · Logic</dc:title>
  <dc:subject>Excel practice: Make formulas decide: comparisons, IF, AND/OR/NOT, IFS and error shields.</dc:subject>
  <dc:creator>excel-drills</dc:creator>
  <cp:keywords>Excel, practice, formulas, Logic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