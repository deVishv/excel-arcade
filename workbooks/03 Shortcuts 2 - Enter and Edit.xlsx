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" sheetId="1" r:id="rId1"/>
    <sheet name="S2-1 Quick Entry" sheetId="2" r:id="rId2"/>
    <sheet name="S2-1 Arena" sheetId="3" r:id="rId3"/>
    <sheet name="S2-2 Clone Machine" sheetId="4" r:id="rId4"/>
    <sheet name="S2-2 Arena" sheetId="5" r:id="rId5"/>
    <sheet name="S2-3 Stamps &amp; Smart Fill" sheetId="6" r:id="rId6"/>
    <sheet name="S2-3 Arena" sheetId="7" r:id="rId7"/>
    <sheet name="Boss" sheetId="8" r:id="rId8"/>
    <sheet name="Boss Arena" sheetId="9" r:id="rId9"/>
    <sheet name="Cheat Codes" sheetId="10" r:id="rId10"/>
    <sheet name="Key" sheetId="11" state="veryHidden" r:id="rId11"/>
  </sheets>
  <definedNames>
    <definedName name="_xlnm.Print_Titles" localSheetId="7">Boss!$1:$4</definedName>
    <definedName name="_xlnm.Print_Titles" localSheetId="9">'Cheat Codes'!$4:$4</definedName>
    <definedName name="_xlnm.Print_Titles" localSheetId="1">'S2-1 Quick Entry'!$1:$4</definedName>
    <definedName name="_xlnm.Print_Titles" localSheetId="3">'S2-2 Clone Machine'!$1:$4</definedName>
    <definedName name="_xlnm.Print_Titles" localSheetId="5">'S2-3 Stamps &amp; Smart Fill'!$1:$4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<sst xmlns="http://schemas.openxmlformats.org/spreadsheetml/2006/main" count="902" uniqueCount="549">
  <si>
    <t>Challenge</t>
  </si>
  <si>
    <t>Hint</t>
  </si>
  <si>
    <t>Expected</t>
  </si>
  <si>
    <t>Lists / per-cell expectations →</t>
  </si>
  <si>
    <t>ARENA ▸ S2-1 QUICK ENTRY</t>
  </si>
  <si>
    <t>Practice area · everything here is editable. Missions and their checks are on the stage sheet.</t>
  </si>
  <si>
    <t>PASS CODE</t>
  </si>
  <si>
    <t>QUICKSTEP</t>
  </si>
  <si>
    <t>◀ Back to S2-1 Quick Entry</t>
  </si>
  <si>
    <t>STATUS ▼</t>
  </si>
  <si>
    <t>TWO LINES ▼</t>
  </si>
  <si>
    <t>TAB ROW ▶</t>
  </si>
  <si>
    <t>UP AND DOWN ▼</t>
  </si>
  <si>
    <t>BRIEFING · new moves in this stage</t>
  </si>
  <si>
    <t>#</t>
  </si>
  <si>
    <t>What it does · Pro tip</t>
  </si>
  <si>
    <t>Keys / Syntax</t>
  </si>
  <si>
    <t>1</t>
  </si>
  <si>
    <r>
      <rPr>
        <b/>
        <sz val="12"/>
        <color rgb="FF1F2328"/>
        <rFont val="Calibri"/>
        <family val="2"/>
        <scheme val="minor"/>
      </rPr>
      <t>Confirm the entry and move UP one cell.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Enter alone moves down.</t>
    </r>
  </si>
  <si>
    <t>Shift+Enter</t>
  </si>
  <si>
    <t>2</t>
  </si>
  <si>
    <r>
      <rPr>
        <b/>
        <sz val="12"/>
        <color rgb="FF1F2328"/>
        <rFont val="Calibri"/>
        <family val="2"/>
        <scheme val="minor"/>
      </rPr>
      <t>Confirm the entry and move right (Shift+Tab moves left).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On a protected sheet, Tab hops between input cells.</t>
    </r>
  </si>
  <si>
    <t>Tab / Shift+Tab</t>
  </si>
  <si>
    <t>3</t>
  </si>
  <si>
    <r>
      <rPr>
        <b/>
        <sz val="12"/>
        <color rgb="FF1F2328"/>
        <rFont val="Calibri"/>
        <family val="2"/>
        <scheme val="minor"/>
      </rPr>
      <t>Fill every selected cell with what you just typed.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Select a range, type once, press Ctrl+Enter: done.</t>
    </r>
  </si>
  <si>
    <t>Ctrl+Enter</t>
  </si>
  <si>
    <t>4</t>
  </si>
  <si>
    <r>
      <rPr>
        <b/>
        <sz val="12"/>
        <color rgb="FF1F2328"/>
        <rFont val="Calibri"/>
        <family val="2"/>
        <scheme val="minor"/>
      </rPr>
      <t>Start a new line inside the same cell.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Great for addresses and notes.</t>
    </r>
  </si>
  <si>
    <t>Alt+Enter</t>
  </si>
  <si>
    <t>5</t>
  </si>
  <si>
    <r>
      <rPr>
        <b/>
        <sz val="12"/>
        <color rgb="FF1F2328"/>
        <rFont val="Calibri"/>
        <family val="2"/>
        <scheme val="minor"/>
      </rPr>
      <t>Cancel what you are typing; the cell stays unchanged.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Esc also closes menus and dialogs.</t>
    </r>
  </si>
  <si>
    <t>Esc</t>
  </si>
  <si>
    <t>WARM-UP · flashback to earlier stages</t>
  </si>
  <si>
    <t>Mission</t>
  </si>
  <si>
    <t>Your answer</t>
  </si>
  <si>
    <t>Result</t>
  </si>
  <si>
    <t>Hint?</t>
  </si>
  <si>
    <t>XP</t>
  </si>
  <si>
    <t>S2-1 Quick Entry W1</t>
  </si>
  <si>
    <t>Short for minimum.</t>
  </si>
  <si>
    <t>=MIN</t>
  </si>
  <si>
    <t>=MIN(</t>
  </si>
  <si>
    <t>=MIN()</t>
  </si>
  <si>
    <t>MIN</t>
  </si>
  <si>
    <t>MIN(</t>
  </si>
  <si>
    <t>MIN()</t>
  </si>
  <si>
    <t>W1</t>
  </si>
  <si>
    <t>Which function returns the smallest number in a range?  (from F1-2 Big Six)</t>
  </si>
  <si>
    <t>S2-1 Quick Entry W2</t>
  </si>
  <si>
    <t>The plain counting function.</t>
  </si>
  <si>
    <t>=COUNT</t>
  </si>
  <si>
    <t>=COUNT(</t>
  </si>
  <si>
    <t>=COUNT()</t>
  </si>
  <si>
    <t>COUNT</t>
  </si>
  <si>
    <t>COUNT(</t>
  </si>
  <si>
    <t>COUNT()</t>
  </si>
  <si>
    <t>W2</t>
  </si>
  <si>
    <t>Which function counts only the cells that hold numbers?  (from F1-2 Big Six)</t>
  </si>
  <si>
    <t>S2-1 Quick Entry W3</t>
  </si>
  <si>
    <t>COUNT plus one letter.</t>
  </si>
  <si>
    <t>=COUNTA</t>
  </si>
  <si>
    <t>=COUNTA(</t>
  </si>
  <si>
    <t>=COUNTA()</t>
  </si>
  <si>
    <t>COUNTA</t>
  </si>
  <si>
    <t>COUNTA(</t>
  </si>
  <si>
    <t>COUNTA()</t>
  </si>
  <si>
    <t>W3</t>
  </si>
  <si>
    <t>Which function counts every non-empty cell?  (from F1-2 Big Six)</t>
  </si>
  <si>
    <t>S2-1 Quick Entry W4</t>
  </si>
  <si>
    <t>Alt plus the equals key.</t>
  </si>
  <si>
    <t>ALT+=</t>
  </si>
  <si>
    <t>W4</t>
  </si>
  <si>
    <t>Which keys insert an AutoSum formula?  (from F1-2 Big Six)</t>
  </si>
  <si>
    <t>S2-1 Quick Entry W5</t>
  </si>
  <si>
    <t>Put $ before the column and the row.</t>
  </si>
  <si>
    <t>$E$6</t>
  </si>
  <si>
    <t>W5</t>
  </si>
  <si>
    <t>Type the absolute version of the reference E6.  (from F1-3 Anchors)</t>
  </si>
  <si>
    <t>S2-1 Quick Entry W6</t>
  </si>
  <si>
    <t>The $ goes right before 16.</t>
  </si>
  <si>
    <t>C$16</t>
  </si>
  <si>
    <t>W6</t>
  </si>
  <si>
    <t>Type a reference to C16 that locks only the row.  (from F1-3 Anchors)</t>
  </si>
  <si>
    <t>S2-1 Quick Entry W7</t>
  </si>
  <si>
    <t>A function key between F3 and F5.</t>
  </si>
  <si>
    <t>F4</t>
  </si>
  <si>
    <t>W7</t>
  </si>
  <si>
    <t>Which key adds or cycles the $ signs on a reference you are editing?  (from F1-3 Anchors)</t>
  </si>
  <si>
    <t>S2-1 Quick Entry W8</t>
  </si>
  <si>
    <t>D for Down.</t>
  </si>
  <si>
    <t>CTRL+D</t>
  </si>
  <si>
    <t>W8</t>
  </si>
  <si>
    <t>Which keys copy the top cell down into the selected cells?  (from F1-3 Anchors)</t>
  </si>
  <si>
    <t>S2-1 Quick Entry W9</t>
  </si>
  <si>
    <t>Hold Ctrl and tap an arrow key.</t>
  </si>
  <si>
    <t>CTRL+ARROW</t>
  </si>
  <si>
    <t>CTRL+DOWN</t>
  </si>
  <si>
    <t>CTRL+LEFT</t>
  </si>
  <si>
    <t>CTRL+RIGHT</t>
  </si>
  <si>
    <t>CTRL+UP</t>
  </si>
  <si>
    <t>W9</t>
  </si>
  <si>
    <t>Which keys jump to the edge of the current data block (any direction)?  (from S1-1 Warp Zones)</t>
  </si>
  <si>
    <t>S2-1 Quick Entry W10</t>
  </si>
  <si>
    <t>Ctrl plus the key that means 'start'.</t>
  </si>
  <si>
    <t>CTRL+HOME</t>
  </si>
  <si>
    <t>W10</t>
  </si>
  <si>
    <t>Which keys take you to the very first cell of the sheet (A1)?  (from S1-1 Warp Zones)</t>
  </si>
  <si>
    <t>TRAINING · recognize the move (pick from the list)</t>
  </si>
  <si>
    <t>S2-1 Quick Entry T1</t>
  </si>
  <si>
    <t>Enter plus Shift.</t>
  </si>
  <si>
    <t>Ctrl+V</t>
  </si>
  <si>
    <t>Ctrl+X</t>
  </si>
  <si>
    <t>T1</t>
  </si>
  <si>
    <t>Which keys confirm an entry and move up one cell?</t>
  </si>
  <si>
    <t>S2-1 Quick Entry T2</t>
  </si>
  <si>
    <t>The key above Caps Lock.</t>
  </si>
  <si>
    <t>Ctrl+R</t>
  </si>
  <si>
    <t>Ctrl+Shift+:</t>
  </si>
  <si>
    <t>Ctrl+E</t>
  </si>
  <si>
    <t>T2</t>
  </si>
  <si>
    <t>Which key confirms an entry and moves one cell to the right?</t>
  </si>
  <si>
    <t>S2-1 Quick Entry T3</t>
  </si>
  <si>
    <t>Enter plus Ctrl.</t>
  </si>
  <si>
    <t>T3</t>
  </si>
  <si>
    <t>Which keys fill every selected cell with what you typed?</t>
  </si>
  <si>
    <t>S2-1 Quick Entry T4</t>
  </si>
  <si>
    <t>Enter plus Alt.</t>
  </si>
  <si>
    <t>Ctrl+;</t>
  </si>
  <si>
    <t>T4</t>
  </si>
  <si>
    <t>Which keys start a new line inside the same cell?</t>
  </si>
  <si>
    <t>S2-1 Quick Entry T5</t>
  </si>
  <si>
    <t>The top-left key.</t>
  </si>
  <si>
    <t>Ctrl+Y</t>
  </si>
  <si>
    <t>T5</t>
  </si>
  <si>
    <t>Which key cancels an entry and leaves the cell unchanged?</t>
  </si>
  <si>
    <t>CHALLENGES · recall it, then do it</t>
  </si>
  <si>
    <t>▶ Open S2-1 Arena (or press Ctrl+PgDn)</t>
  </si>
  <si>
    <t>S2-1 Quick Entry C1</t>
  </si>
  <si>
    <t>SHIFT+ENTER</t>
  </si>
  <si>
    <t>C1</t>
  </si>
  <si>
    <t>S2-1 Quick Entry C2</t>
  </si>
  <si>
    <t>TAB</t>
  </si>
  <si>
    <t>C2</t>
  </si>
  <si>
    <t>S2-1 Quick Entry C3</t>
  </si>
  <si>
    <t>CTRL+ENTER</t>
  </si>
  <si>
    <t>C3</t>
  </si>
  <si>
    <t>S2-1 Quick Entry C4</t>
  </si>
  <si>
    <t>ALT+ENTER</t>
  </si>
  <si>
    <t>C4</t>
  </si>
  <si>
    <t>S2-1 Quick Entry C5</t>
  </si>
  <si>
    <t>ESC</t>
  </si>
  <si>
    <t>C5</t>
  </si>
  <si>
    <t>S2-1 Quick Entry C6</t>
  </si>
  <si>
    <t>Ctrl+Enter instead of Enter.</t>
  </si>
  <si>
    <t>C6</t>
  </si>
  <si>
    <t>In the arena, select B6:B15 (click B6, then Shift+click B15), type DONE and press Ctrl+Enter. Every selected cell gets DONE.</t>
  </si>
  <si>
    <t>▶ ARENA C6 (cell B6)</t>
  </si>
  <si>
    <t>S2-1 Quick Entry C7</t>
  </si>
  <si>
    <t>Alt+Enter adds the break.</t>
  </si>
  <si>
    <t>C7</t>
  </si>
  <si>
    <t>In D6 type Line 1, press Alt+Enter, type Line 2, then press Enter.</t>
  </si>
  <si>
    <t>▶ ARENA C7 (cell D6)</t>
  </si>
  <si>
    <t>S2-1 Quick Entry C8</t>
  </si>
  <si>
    <t>Tab moves one cell right.</t>
  </si>
  <si>
    <t>C8</t>
  </si>
  <si>
    <t>In F6 type Name, press Tab, type Score, press Tab, type Level, then press Enter.</t>
  </si>
  <si>
    <t>▶ ARENA C8 (cell F6)</t>
  </si>
  <si>
    <t>S2-1 Quick Entry C9</t>
  </si>
  <si>
    <t>Shift+Enter goes up.</t>
  </si>
  <si>
    <t>C9</t>
  </si>
  <si>
    <t>In F12 type Bottom and press Shift+Enter: you move UP to F11. Type Top and press Enter.</t>
  </si>
  <si>
    <t>▶ ARENA C9 (cell F12)</t>
  </si>
  <si>
    <t>STAGE S2-1 ▸ QUICK ENTRY</t>
  </si>
  <si>
    <t>Goal: type and move without reaching for the mouse</t>
  </si>
  <si>
    <t>ARENA ▸ S2-2 CLONE MACHINE</t>
  </si>
  <si>
    <t>CLONE</t>
  </si>
  <si>
    <t>◀ Back to S2-2 Clone Machine</t>
  </si>
  <si>
    <t>Budget</t>
  </si>
  <si>
    <t>Jan</t>
  </si>
  <si>
    <t>Feb</t>
  </si>
  <si>
    <t>Mar</t>
  </si>
  <si>
    <t>Apr</t>
  </si>
  <si>
    <t>May</t>
  </si>
  <si>
    <t>Jun</t>
  </si>
  <si>
    <t>TOTAL</t>
  </si>
  <si>
    <t>Food</t>
  </si>
  <si>
    <t>Rent</t>
  </si>
  <si>
    <t>Fun</t>
  </si>
  <si>
    <t>Travel</t>
  </si>
  <si>
    <t>SNAPSHOT</t>
  </si>
  <si>
    <t>LIVE</t>
  </si>
  <si>
    <t>Player</t>
  </si>
  <si>
    <t>Score</t>
  </si>
  <si>
    <t>Rank</t>
  </si>
  <si>
    <t>Zelda</t>
  </si>
  <si>
    <r>
      <rPr>
        <b/>
        <sz val="12"/>
        <color rgb="FF1F2328"/>
        <rFont val="Calibri"/>
        <family val="2"/>
        <scheme val="minor"/>
      </rPr>
      <t>Copy the selected cells.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A moving border shows what's copied; Esc clears it.</t>
    </r>
  </si>
  <si>
    <t>Ctrl+C</t>
  </si>
  <si>
    <r>
      <rPr>
        <b/>
        <sz val="12"/>
        <color rgb="FF1F2328"/>
        <rFont val="Calibri"/>
        <family val="2"/>
        <scheme val="minor"/>
      </rPr>
      <t>Cut the selected cells, ready to move them.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Paste with Ctrl+V to finish the move.</t>
    </r>
  </si>
  <si>
    <r>
      <rPr>
        <b/>
        <sz val="12"/>
        <color rgb="FF1F2328"/>
        <rFont val="Calibri"/>
        <family val="2"/>
        <scheme val="minor"/>
      </rPr>
      <t>Paste what you copied or cut.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Paste into the top-left destination cell.</t>
    </r>
  </si>
  <si>
    <r>
      <rPr>
        <b/>
        <sz val="12"/>
        <color rgb="FF1F2328"/>
        <rFont val="Calibri"/>
        <family val="2"/>
        <scheme val="minor"/>
      </rPr>
      <t>Open Paste Special: paste only values, formats and more.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Ctrl+Alt+V, then V, then Enter pastes values only.</t>
    </r>
  </si>
  <si>
    <t>Ctrl+Alt+V</t>
  </si>
  <si>
    <r>
      <rPr>
        <b/>
        <sz val="12"/>
        <color rgb="FF1F2328"/>
        <rFont val="Calibri"/>
        <family val="2"/>
        <scheme val="minor"/>
      </rPr>
      <t>Fill Right: copy the left cell into the selected cells to its right.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The twin of Ctrl+D (Fill Down).</t>
    </r>
  </si>
  <si>
    <t>6</t>
  </si>
  <si>
    <r>
      <rPr>
        <b/>
        <sz val="12"/>
        <color rgb="FF1F2328"/>
        <rFont val="Calibri"/>
        <family val="2"/>
        <scheme val="minor"/>
      </rPr>
      <t>Undo the last action.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Press again to undo further back.</t>
    </r>
  </si>
  <si>
    <t>Ctrl+Z</t>
  </si>
  <si>
    <t>7</t>
  </si>
  <si>
    <r>
      <rPr>
        <b/>
        <sz val="12"/>
        <color rgb="FF1F2328"/>
        <rFont val="Calibri"/>
        <family val="2"/>
        <scheme val="minor"/>
      </rPr>
      <t>Redo, or repeat the last action.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After an undo it redoes; otherwise it repeats your last action.</t>
    </r>
  </si>
  <si>
    <t>S2-2 Clone Machine W1</t>
  </si>
  <si>
    <t>Which keys confirm an entry and move up one cell?  (from S2-1 Quick Entry)</t>
  </si>
  <si>
    <t>S2-2 Clone Machine W2</t>
  </si>
  <si>
    <t>Which key confirms an entry and moves one cell to the right?  (from S2-1 Quick Entry)</t>
  </si>
  <si>
    <t>S2-2 Clone Machine W3</t>
  </si>
  <si>
    <t>Which keys fill every selected cell with what you typed?  (from S2-1 Quick Entry)</t>
  </si>
  <si>
    <t>S2-2 Clone Machine W4</t>
  </si>
  <si>
    <t>Which keys start a new line inside the same cell?  (from S2-1 Quick Entry)</t>
  </si>
  <si>
    <t>S2-2 Clone Machine W5</t>
  </si>
  <si>
    <t>Which key cancels an entry and leaves the cell unchanged?  (from S2-1 Quick Entry)</t>
  </si>
  <si>
    <t>S2-2 Clone Machine W6</t>
  </si>
  <si>
    <t>The plain rounding function.</t>
  </si>
  <si>
    <t>=ROUND</t>
  </si>
  <si>
    <t>=ROUND(</t>
  </si>
  <si>
    <t>=ROUND()</t>
  </si>
  <si>
    <t>ROUND</t>
  </si>
  <si>
    <t>ROUND(</t>
  </si>
  <si>
    <t>ROUND()</t>
  </si>
  <si>
    <t>Which function rounds a number to a chosen number of digits?  (from F1-4 Precision)</t>
  </si>
  <si>
    <t>S2-2 Clone Machine W7</t>
  </si>
  <si>
    <t>ROUND plus a direction.</t>
  </si>
  <si>
    <t>=ROUNDUP</t>
  </si>
  <si>
    <t>=ROUNDUP(</t>
  </si>
  <si>
    <t>=ROUNDUP()</t>
  </si>
  <si>
    <t>ROUNDUP</t>
  </si>
  <si>
    <t>ROUNDUP(</t>
  </si>
  <si>
    <t>ROUNDUP()</t>
  </si>
  <si>
    <t>Which function always rounds up, away from zero?  (from F1-4 Precision)</t>
  </si>
  <si>
    <t>S2-2 Clone Machine W8</t>
  </si>
  <si>
    <t>ROUND plus the other direction.</t>
  </si>
  <si>
    <t>=ROUNDDOWN</t>
  </si>
  <si>
    <t>=ROUNDDOWN(</t>
  </si>
  <si>
    <t>=ROUNDDOWN()</t>
  </si>
  <si>
    <t>ROUNDDOWN</t>
  </si>
  <si>
    <t>ROUNDDOWN(</t>
  </si>
  <si>
    <t>ROUNDDOWN()</t>
  </si>
  <si>
    <t>Which function always rounds down, toward zero?  (from F1-4 Precision)</t>
  </si>
  <si>
    <t>S2-2 Clone Machine W9</t>
  </si>
  <si>
    <t>Ctrl plus the opposite of Home.</t>
  </si>
  <si>
    <t>CTRL+END</t>
  </si>
  <si>
    <t>Which keys jump to the last used cell on the sheet?  (from S1-1 Warp Zones)</t>
  </si>
  <si>
    <t>S2-2 Clone Machine W10</t>
  </si>
  <si>
    <t>One key, no Ctrl.</t>
  </si>
  <si>
    <t>HOME</t>
  </si>
  <si>
    <t>Which single key moves to column A of the current row?  (from S1-1 Warp Zones)</t>
  </si>
  <si>
    <t>S2-2 Clone Machine T1</t>
  </si>
  <si>
    <t>C for Copy.</t>
  </si>
  <si>
    <t>Which keys copy the selection?</t>
  </si>
  <si>
    <t>S2-2 Clone Machine T2</t>
  </si>
  <si>
    <t>X looks like scissors.</t>
  </si>
  <si>
    <t>Alt+↓</t>
  </si>
  <si>
    <t>Which keys cut the selection?</t>
  </si>
  <si>
    <t>S2-2 Clone Machine T3</t>
  </si>
  <si>
    <t>Next to C on the keyboard.</t>
  </si>
  <si>
    <t>Which keys paste?</t>
  </si>
  <si>
    <t>S2-2 Clone Machine T4</t>
  </si>
  <si>
    <t>Paste plus Alt.</t>
  </si>
  <si>
    <t>Which keys open Paste Special?</t>
  </si>
  <si>
    <t>S2-2 Clone Machine T5</t>
  </si>
  <si>
    <t>R for Right.</t>
  </si>
  <si>
    <t>Which keys copy the left cell into the selected cells to its right?</t>
  </si>
  <si>
    <t>S2-2 Clone Machine T6</t>
  </si>
  <si>
    <t>The bottom-left letter.</t>
  </si>
  <si>
    <t>T6</t>
  </si>
  <si>
    <t>Which keys undo the last action?</t>
  </si>
  <si>
    <t>S2-2 Clone Machine T7</t>
  </si>
  <si>
    <t>The letter after X.</t>
  </si>
  <si>
    <t>T7</t>
  </si>
  <si>
    <t>Which keys redo or repeat the last action?</t>
  </si>
  <si>
    <t>▶ Open S2-2 Arena (or press Ctrl+PgDn)</t>
  </si>
  <si>
    <t>S2-2 Clone Machine C1</t>
  </si>
  <si>
    <t>CTRL+C</t>
  </si>
  <si>
    <t>S2-2 Clone Machine C2</t>
  </si>
  <si>
    <t>CTRL+X</t>
  </si>
  <si>
    <t>S2-2 Clone Machine C3</t>
  </si>
  <si>
    <t>CTRL+V</t>
  </si>
  <si>
    <t>S2-2 Clone Machine C4</t>
  </si>
  <si>
    <t>ALT+CTRL+V</t>
  </si>
  <si>
    <t>CTRL+ALT+V</t>
  </si>
  <si>
    <t>S2-2 Clone Machine C5</t>
  </si>
  <si>
    <t>CTRL+R</t>
  </si>
  <si>
    <t>S2-2 Clone Machine C6</t>
  </si>
  <si>
    <t>CTRL+Z</t>
  </si>
  <si>
    <t>S2-2 Clone Machine C7</t>
  </si>
  <si>
    <t>CTRL+Y</t>
  </si>
  <si>
    <t>S2-2 Clone Machine C8</t>
  </si>
  <si>
    <t>Select first, then Ctrl+R.</t>
  </si>
  <si>
    <t>C6 holds a SUM formula. In the arena select C6:H6 and press Ctrl+R to fill it to the right.</t>
  </si>
  <si>
    <t>▶ ARENA C8 (cell D6)</t>
  </si>
  <si>
    <t>S2-2 Clone Machine C9</t>
  </si>
  <si>
    <t>Paste Special, then Values.</t>
  </si>
  <si>
    <t>Copy the LIVE row (C15:H15) with Ctrl+C. Click C13, press Ctrl+Alt+V, choose Values (V) and press Enter. SNAPSHOT keeps the numbers even if LIVE changes.</t>
  </si>
  <si>
    <t>▶ ARENA C9 (cell C13)</t>
  </si>
  <si>
    <t>S2-2 Clone Machine C10</t>
  </si>
  <si>
    <t>Cut, then paste on B21.</t>
  </si>
  <si>
    <t>C10</t>
  </si>
  <si>
    <t>Zelda's row (B22:D22) belongs one row up. Select B22:D22, press Ctrl+X, click B21 and press Ctrl+V.</t>
  </si>
  <si>
    <t>▶ ARENA C10 (cell B21)</t>
  </si>
  <si>
    <t>STAGE S2-2 ▸ CLONE MACHINE</t>
  </si>
  <si>
    <t>Goal: copy, move and fill without retyping</t>
  </si>
  <si>
    <t>ARENA ▸ S2-3 STAMPS &amp; SMART FILL</t>
  </si>
  <si>
    <t>STAMP</t>
  </si>
  <si>
    <t>◀ Back to S2-3 Stamps &amp; Smart Fill</t>
  </si>
  <si>
    <t>Today's date →</t>
  </si>
  <si>
    <t>Time now →</t>
  </si>
  <si>
    <t>Full name</t>
  </si>
  <si>
    <t>First name</t>
  </si>
  <si>
    <t>Ada Lovelace</t>
  </si>
  <si>
    <t>Alan Turing</t>
  </si>
  <si>
    <t>Grace Hopper</t>
  </si>
  <si>
    <t>Katherine Johnson</t>
  </si>
  <si>
    <t>Tim Berners-Lee</t>
  </si>
  <si>
    <t>Margaret Hamilton</t>
  </si>
  <si>
    <t>Linus Torvalds</t>
  </si>
  <si>
    <t>Hedy Lamarr</t>
  </si>
  <si>
    <t>Medal →</t>
  </si>
  <si>
    <r>
      <rPr>
        <b/>
        <sz val="12"/>
        <color rgb="FF1F2328"/>
        <rFont val="Calibri"/>
        <family val="2"/>
        <scheme val="minor"/>
      </rPr>
      <t>Type today's date as a fixed value.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Unlike =TODAY(), it never changes later.</t>
    </r>
  </si>
  <si>
    <r>
      <rPr>
        <b/>
        <sz val="12"/>
        <color rgb="FF1F2328"/>
        <rFont val="Calibri"/>
        <family val="2"/>
        <scheme val="minor"/>
      </rPr>
      <t>Type the current time as a fixed value.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Stamp a START and a FINISH time to time yourself.</t>
    </r>
  </si>
  <si>
    <r>
      <rPr>
        <b/>
        <sz val="12"/>
        <color rgb="FF1F2328"/>
        <rFont val="Calibri"/>
        <family val="2"/>
        <scheme val="minor"/>
      </rPr>
      <t>Flash Fill: Excel spots your pattern and fills the column.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Type one or two examples first, then press Ctrl+E.</t>
    </r>
  </si>
  <si>
    <r>
      <rPr>
        <b/>
        <sz val="12"/>
        <color rgb="FF1F2328"/>
        <rFont val="Calibri"/>
        <family val="2"/>
        <scheme val="minor"/>
      </rPr>
      <t>Open a cell's dropdown list.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Then choose with the arrows and Enter.</t>
    </r>
  </si>
  <si>
    <t>S2-3 Stamps &amp; Smart Fill W1</t>
  </si>
  <si>
    <t>Which keys copy the selection?  (from S2-2 Clone Machine)</t>
  </si>
  <si>
    <t>S2-3 Stamps &amp; Smart Fill W2</t>
  </si>
  <si>
    <t>Which keys cut the selection?  (from S2-2 Clone Machine)</t>
  </si>
  <si>
    <t>S2-3 Stamps &amp; Smart Fill W3</t>
  </si>
  <si>
    <t>Which keys paste?  (from S2-2 Clone Machine)</t>
  </si>
  <si>
    <t>S2-3 Stamps &amp; Smart Fill W4</t>
  </si>
  <si>
    <t>Which keys open Paste Special?  (from S2-2 Clone Machine)</t>
  </si>
  <si>
    <t>S2-3 Stamps &amp; Smart Fill W5</t>
  </si>
  <si>
    <t>Which keys copy the left cell into the selected cells to its right?  (from S2-2 Clone Machine)</t>
  </si>
  <si>
    <t>S2-3 Stamps &amp; Smart Fill W6</t>
  </si>
  <si>
    <t>Which keys undo the last action?  (from S2-2 Clone Machine)</t>
  </si>
  <si>
    <t>S2-3 Stamps &amp; Smart Fill W7</t>
  </si>
  <si>
    <t>Which keys redo or repeat the last action?  (from S2-2 Clone Machine)</t>
  </si>
  <si>
    <t>S2-3 Stamps &amp; Smart Fill W8</t>
  </si>
  <si>
    <t>Ctrl plus the key left of 1.</t>
  </si>
  <si>
    <t>CTRL+BACKTICK</t>
  </si>
  <si>
    <t>CTRL+GRAVE</t>
  </si>
  <si>
    <t>CTRL+GRAVEACCENT</t>
  </si>
  <si>
    <t>CTRL+`</t>
  </si>
  <si>
    <t>Which keys switch between showing results and showing formulas?  (from F1-5 X-Ray)</t>
  </si>
  <si>
    <t>S2-3 Stamps &amp; Smart Fill W9</t>
  </si>
  <si>
    <t>The function key after F1.</t>
  </si>
  <si>
    <t>F2</t>
  </si>
  <si>
    <t>Which key edits the active cell and color-codes its references?  (from F1-5 X-Ray)</t>
  </si>
  <si>
    <t>S2-3 Stamps &amp; Smart Fill W10</t>
  </si>
  <si>
    <t>While typing a function name, which key inserts the highlighted AutoComplete suggestion?  (from F1-5 X-Ray)</t>
  </si>
  <si>
    <t>S2-3 Stamps &amp; Smart Fill T1</t>
  </si>
  <si>
    <t>Ctrl plus the semicolon key.</t>
  </si>
  <si>
    <t>Which keys type today's date as a fixed value?</t>
  </si>
  <si>
    <t>S2-3 Stamps &amp; Smart Fill T2</t>
  </si>
  <si>
    <t>The date keys plus Shift.</t>
  </si>
  <si>
    <t>Which keys type the current time as a fixed value?</t>
  </si>
  <si>
    <t>S2-3 Stamps &amp; Smart Fill T3</t>
  </si>
  <si>
    <t>E for Example.</t>
  </si>
  <si>
    <t>Which keys run Flash Fill?</t>
  </si>
  <si>
    <t>S2-3 Stamps &amp; Smart Fill T4</t>
  </si>
  <si>
    <t>Alt plus an arrow.</t>
  </si>
  <si>
    <t>Which keys open the dropdown list of a cell?</t>
  </si>
  <si>
    <t>▶ Open S2-3 Arena (or press Ctrl+PgDn)</t>
  </si>
  <si>
    <t>S2-3 Stamps &amp; Smart Fill C1</t>
  </si>
  <si>
    <t>CTRL+;</t>
  </si>
  <si>
    <t>CTRL+SEMICOLON</t>
  </si>
  <si>
    <t>S2-3 Stamps &amp; Smart Fill C2</t>
  </si>
  <si>
    <t>CTRL+:</t>
  </si>
  <si>
    <t>CTRL+SHIFT+:</t>
  </si>
  <si>
    <t>CTRL+SHIFT+;</t>
  </si>
  <si>
    <t>CTRL+SHIFT+COLON</t>
  </si>
  <si>
    <t>SHIFT+CTRL+:</t>
  </si>
  <si>
    <t>SHIFT+CTRL+;</t>
  </si>
  <si>
    <t>SHIFT+CTRL+COLON</t>
  </si>
  <si>
    <t>S2-3 Stamps &amp; Smart Fill C3</t>
  </si>
  <si>
    <t>CTRL+E</t>
  </si>
  <si>
    <t>S2-3 Stamps &amp; Smart Fill C4</t>
  </si>
  <si>
    <t>ALT+DOWN</t>
  </si>
  <si>
    <t>S2-3 Stamps &amp; Smart Fill C5</t>
  </si>
  <si>
    <t>Ctrl and the semicolon key.</t>
  </si>
  <si>
    <t>In the arena select C6, press Ctrl+; and then Enter. Excel types today's date as a fixed value.</t>
  </si>
  <si>
    <t>▶ ARENA C5 (cell C6)</t>
  </si>
  <si>
    <t>S2-3 Stamps &amp; Smart Fill C6</t>
  </si>
  <si>
    <t>Select C8, press Ctrl+Shift+: and then Enter.</t>
  </si>
  <si>
    <t>▶ ARENA C6 (cell C8)</t>
  </si>
  <si>
    <t>S2-3 Stamps &amp; Smart Fill C7</t>
  </si>
  <si>
    <t>One example is enough.</t>
  </si>
  <si>
    <t>In C12 type Ada (the first name in B12) and press Enter. Then, with C13 selected, press Ctrl+E: Flash Fill completes the column.</t>
  </si>
  <si>
    <t>▶ ARENA C7 (cell C12)</t>
  </si>
  <si>
    <t>S2-3 Stamps &amp; Smart Fill C8</t>
  </si>
  <si>
    <t>Alt plus the down arrow.</t>
  </si>
  <si>
    <t>Select C22, press Alt+↓ to open its list, choose Gold and press Enter.</t>
  </si>
  <si>
    <t>▶ ARENA C8 (cell C22)</t>
  </si>
  <si>
    <t>STAGE S2-3 ▸ STAMPS &amp; SMART FILL</t>
  </si>
  <si>
    <t>Goal: stamp dates and times, let Excel finish your pattern</t>
  </si>
  <si>
    <t>BOSS ARENA ▸ ENTER &amp; EDIT</t>
  </si>
  <si>
    <t>EDITOR</t>
  </si>
  <si>
    <t>◀ Back to Boss</t>
  </si>
  <si>
    <t>READY ▼</t>
  </si>
  <si>
    <t>ADDRESS ▼</t>
  </si>
  <si>
    <t>SIGNED ON ▼</t>
  </si>
  <si>
    <t>TIER ▼</t>
  </si>
  <si>
    <t>Last name</t>
  </si>
  <si>
    <t>Annie Easley</t>
  </si>
  <si>
    <t>Hero</t>
  </si>
  <si>
    <t>Power</t>
  </si>
  <si>
    <t>Level</t>
  </si>
  <si>
    <t>Nova</t>
  </si>
  <si>
    <t>Team</t>
  </si>
  <si>
    <t>Q1</t>
  </si>
  <si>
    <t>Q2</t>
  </si>
  <si>
    <t>Q3</t>
  </si>
  <si>
    <t>Q4</t>
  </si>
  <si>
    <t>Red</t>
  </si>
  <si>
    <t>Blue</t>
  </si>
  <si>
    <t>Gold</t>
  </si>
  <si>
    <t>SPEEDRUN · stamp START, beat the Boss, stamp FINISH</t>
  </si>
  <si>
    <t>START · select C6 and press Ctrl+Shift+:</t>
  </si>
  <si>
    <t>FINISH · select C7 and press Ctrl+Shift+:</t>
  </si>
  <si>
    <t>TIME</t>
  </si>
  <si>
    <t>PAR</t>
  </si>
  <si>
    <t>BOSS GATE</t>
  </si>
  <si>
    <t>FLASHBACK · moves from earlier worlds</t>
  </si>
  <si>
    <t>Boss F1</t>
  </si>
  <si>
    <t>F1</t>
  </si>
  <si>
    <t>Boss F2</t>
  </si>
  <si>
    <t>Boss F3</t>
  </si>
  <si>
    <t>F3</t>
  </si>
  <si>
    <t>Boss F4</t>
  </si>
  <si>
    <t>Boss F5</t>
  </si>
  <si>
    <t>Ctrl+Shift plus A for arguments.</t>
  </si>
  <si>
    <t>CTRL+SHIFT+A</t>
  </si>
  <si>
    <t>SHIFT+CTRL+A</t>
  </si>
  <si>
    <t>F5</t>
  </si>
  <si>
    <t>Boss F6</t>
  </si>
  <si>
    <t>Shift plus F3.</t>
  </si>
  <si>
    <t>SHIFT+F3</t>
  </si>
  <si>
    <t>F6</t>
  </si>
  <si>
    <t>Boss F7</t>
  </si>
  <si>
    <t>F7</t>
  </si>
  <si>
    <t>Boss F8</t>
  </si>
  <si>
    <t>F8</t>
  </si>
  <si>
    <t>BOSS MISSIONS</t>
  </si>
  <si>
    <t>▶ Open Boss Arena (or press Ctrl+PgDn)</t>
  </si>
  <si>
    <t>Boss B1</t>
  </si>
  <si>
    <t>Ctrl+Enter fills the selection.</t>
  </si>
  <si>
    <t>B1</t>
  </si>
  <si>
    <t>▶ ARENA B1 (cell B6)</t>
  </si>
  <si>
    <t>Boss B2</t>
  </si>
  <si>
    <t>Alt+Enter inside the cell.</t>
  </si>
  <si>
    <t>B2</t>
  </si>
  <si>
    <t>▶ ARENA B2 (cell D6)</t>
  </si>
  <si>
    <t>Boss B3</t>
  </si>
  <si>
    <t>Fill Right.</t>
  </si>
  <si>
    <t>B3</t>
  </si>
  <si>
    <t>▶ ARENA B3 (cell D15)</t>
  </si>
  <si>
    <t>Boss B4</t>
  </si>
  <si>
    <t>Paste Special → Values.</t>
  </si>
  <si>
    <t>B4</t>
  </si>
  <si>
    <t>▶ ARENA B4 (cell C21)</t>
  </si>
  <si>
    <t>Boss B5</t>
  </si>
  <si>
    <t>B5</t>
  </si>
  <si>
    <t>▶ ARENA B5 (cell F6)</t>
  </si>
  <si>
    <t>Boss B6</t>
  </si>
  <si>
    <t>Flash Fill.</t>
  </si>
  <si>
    <t>B6</t>
  </si>
  <si>
    <t>▶ ARENA B6 (cell J6)</t>
  </si>
  <si>
    <t>Boss B7</t>
  </si>
  <si>
    <t>Cut and paste.</t>
  </si>
  <si>
    <t>B7</t>
  </si>
  <si>
    <t>▶ ARENA B7 (cell L6)</t>
  </si>
  <si>
    <t>Boss B8</t>
  </si>
  <si>
    <t>Alt+↓ opens the list.</t>
  </si>
  <si>
    <t>B8</t>
  </si>
  <si>
    <t>▶ ARENA B8 (cell F9)</t>
  </si>
  <si>
    <t>BOSS ▸ ENTER &amp; EDIT</t>
  </si>
  <si>
    <t>Every move from this world in one gauntlet. Clear it under par for rank S.</t>
  </si>
  <si>
    <t>SHORTCUTS 2 ▸ ENTER &amp; EDIT</t>
  </si>
  <si>
    <t>Type, fill, copy and stamp data at speed.</t>
  </si>
  <si>
    <t>HOW TO PLAY</t>
  </si>
  <si>
    <t>1 · Each stage: read the BRIEFING, then answer WARM-UP, TRAINING and CHALLENGES.</t>
  </si>
  <si>
    <t>2 · Yellow cells are yours: type, pick from a list (Alt+↓), or follow a ▶ ARENA link and do the move there.</t>
  </si>
  <si>
    <t>3 · ✔ CLEAR = right · ✘ = try again · · not yet = drill not done. Stuck? Pick 'Show hint' (5 XP instead of 10).</t>
  </si>
  <si>
    <t>4 · Formatting or hiding drills: press F9 to refresh the check. Tab jumps between yellow cells.</t>
  </si>
  <si>
    <t>Needs Windows with Microsoft Excel 365 or 2021+ (English). In Protected View, click Enable Editing.</t>
  </si>
  <si>
    <t>STAGE SELECT</t>
  </si>
  <si>
    <t>Stage</t>
  </si>
  <si>
    <t>Name</t>
  </si>
  <si>
    <t>Stars</t>
  </si>
  <si>
    <t>Status</t>
  </si>
  <si>
    <t>Go</t>
  </si>
  <si>
    <t>S2-1</t>
  </si>
  <si>
    <t>Quick Entry</t>
  </si>
  <si>
    <t>Go to S2-1 Quick Entry</t>
  </si>
  <si>
    <t>S2-2</t>
  </si>
  <si>
    <t>Clone Machine</t>
  </si>
  <si>
    <t>Go to S2-2 Clone Machine</t>
  </si>
  <si>
    <t>S2-3</t>
  </si>
  <si>
    <t>Stamps &amp; Smart Fill</t>
  </si>
  <si>
    <t>Go to S2-3 Stamps &amp; Smart Fill</t>
  </si>
  <si>
    <t>BOSS</t>
  </si>
  <si>
    <t>Boss</t>
  </si>
  <si>
    <t>Go to the Boss</t>
  </si>
  <si>
    <t>TOTAL SCORE</t>
  </si>
  <si>
    <t>RANK</t>
  </si>
  <si>
    <t>S = 100% and under par · A ≥ 90% · B ≥ 75% · C ≥ 50%</t>
  </si>
  <si>
    <t>BEST TIME</t>
  </si>
  <si>
    <t>NEXT UP</t>
  </si>
  <si>
    <t>Replay a stage: select its yellow answer cells and press Delete. Undo an arena drill with Ctrl+Z.</t>
  </si>
  <si>
    <t>CHEAT CODES ▸ ENTER &amp; EDIT</t>
  </si>
  <si>
    <t>Every move from this world on one page. Keep it open while you play, or print it (Ctrl+P).</t>
  </si>
  <si>
    <t>What it does</t>
  </si>
  <si>
    <t>Pro tip</t>
  </si>
  <si>
    <t>Confirm the entry and move UP one cell.</t>
  </si>
  <si>
    <t>Enter alone moves down.</t>
  </si>
  <si>
    <t>Confirm the entry and move right (Shift+Tab moves left).</t>
  </si>
  <si>
    <t>On a protected sheet, Tab hops between input cells.</t>
  </si>
  <si>
    <t>Fill every selected cell with what you just typed.</t>
  </si>
  <si>
    <t>Select a range, type once, press Ctrl+Enter: done.</t>
  </si>
  <si>
    <t>Start a new line inside the same cell.</t>
  </si>
  <si>
    <t>Great for addresses and notes.</t>
  </si>
  <si>
    <t>Cancel what you are typing; the cell stays unchanged.</t>
  </si>
  <si>
    <t>Esc also closes menus and dialogs.</t>
  </si>
  <si>
    <t>Copy the selected cells.</t>
  </si>
  <si>
    <t>A moving border shows what's copied; Esc clears it.</t>
  </si>
  <si>
    <t>Cut the selected cells, ready to move them.</t>
  </si>
  <si>
    <t>Paste with Ctrl+V to finish the move.</t>
  </si>
  <si>
    <t>Paste what you copied or cut.</t>
  </si>
  <si>
    <t>Paste into the top-left destination cell.</t>
  </si>
  <si>
    <t>Open Paste Special: paste only values, formats and more.</t>
  </si>
  <si>
    <t>Ctrl+Alt+V, then V, then Enter pastes values only.</t>
  </si>
  <si>
    <t>Fill Right: copy the left cell into the selected cells to its right.</t>
  </si>
  <si>
    <t>The twin of Ctrl+D (Fill Down).</t>
  </si>
  <si>
    <t>Undo the last action.</t>
  </si>
  <si>
    <t>Press again to undo further back.</t>
  </si>
  <si>
    <t>Redo, or repeat the last action.</t>
  </si>
  <si>
    <t>After an undo it redoes; otherwise it repeats your last action.</t>
  </si>
  <si>
    <t>Type today's date as a fixed value.</t>
  </si>
  <si>
    <t>Unlike =TODAY(), it never changes later.</t>
  </si>
  <si>
    <t>Type the current time as a fixed value.</t>
  </si>
  <si>
    <t>Stamp a START and a FINISH time to time yourself.</t>
  </si>
  <si>
    <t>Flash Fill: Excel spots your pattern and fills the column.</t>
  </si>
  <si>
    <t>Type one or two examples first, then press Ctrl+E.</t>
  </si>
  <si>
    <t>Open a cell's dropdown list.</t>
  </si>
  <si>
    <t>Then choose with the arrows and Enter.</t>
  </si>
</sst>
</file>

<file path=xl/styles.xml><?xml version="1.0" encoding="utf-8"?>
<styleSheet xmlns="http://schemas.openxmlformats.org/spreadsheetml/2006/main">
  <numFmts count="4">
    <numFmt numFmtId="164" formatCode="@"/>
    <numFmt numFmtId="165" formatCode="d-mmm-yyyy"/>
    <numFmt numFmtId="166" formatCode="h:mm AM/PM"/>
    <numFmt numFmtId="167" formatCode="0&quot; min&quot;"/>
  </numFmts>
  <fonts count="21">
    <font>
      <sz val="11"/>
      <color theme="1"/>
      <name val="Calibri"/>
      <family val="2"/>
      <scheme val="minor"/>
    </font>
    <font>
      <b/>
      <sz val="20"/>
      <color rgb="FFFFD60A"/>
      <name val="Calibri"/>
      <family val="2"/>
      <scheme val="minor"/>
    </font>
    <font>
      <sz val="20"/>
      <color rgb="FFFFFFFF"/>
      <name val="Calibri"/>
      <family val="2"/>
      <scheme val="minor"/>
    </font>
    <font>
      <i/>
      <sz val="12"/>
      <color rgb="FF595F69"/>
      <name val="Calibri"/>
      <family val="2"/>
      <scheme val="minor"/>
    </font>
    <font>
      <b/>
      <sz val="14"/>
      <color rgb="FF14213D"/>
      <name val="Calibri"/>
      <family val="2"/>
      <scheme val="minor"/>
    </font>
    <font>
      <sz val="12"/>
      <color rgb="FF1F232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1F2328"/>
      <name val="Calibri"/>
      <family val="2"/>
      <scheme val="minor"/>
    </font>
    <font>
      <sz val="12"/>
      <color rgb="FF14213D"/>
      <name val="Segoe UI Symbol"/>
      <family val="2"/>
    </font>
    <font>
      <u/>
      <sz val="12"/>
      <color rgb="FF0B4FA8"/>
      <name val="Calibri"/>
      <family val="2"/>
      <scheme val="minor"/>
    </font>
    <font>
      <i/>
      <sz val="11"/>
      <color rgb="FF595F69"/>
      <name val="Calibri"/>
      <family val="2"/>
      <scheme val="minor"/>
    </font>
    <font>
      <b/>
      <sz val="14"/>
      <color rgb="FF14213D"/>
      <name val="Consolas"/>
      <family val="2"/>
    </font>
    <font>
      <sz val="14"/>
      <color rgb="FF14213D"/>
      <name val="Segoe UI Symbol"/>
      <family val="2"/>
    </font>
    <font>
      <sz val="14"/>
      <color rgb="FF14213D"/>
      <name val="Consolas"/>
      <family val="2"/>
    </font>
    <font>
      <b/>
      <sz val="12"/>
      <color rgb="FF0B6B2B"/>
      <name val="Segoe UI Symbol"/>
      <family val="2"/>
    </font>
    <font>
      <b/>
      <sz val="12"/>
      <color rgb="FF14213D"/>
      <name val="Consolas"/>
      <family val="2"/>
    </font>
    <font>
      <sz val="12"/>
      <color rgb="FF1F2328"/>
      <name val="Consolas"/>
      <family val="2"/>
    </font>
    <font>
      <b/>
      <sz val="12"/>
      <color rgb="FF4A4F57"/>
      <name val="Segoe UI Symbol"/>
      <family val="2"/>
    </font>
    <font>
      <sz val="11"/>
      <color rgb="FF1F2328"/>
      <name val="Calibri"/>
      <family val="2"/>
      <scheme val="minor"/>
    </font>
    <font>
      <i/>
      <sz val="11"/>
      <color rgb="FF5A3E8A"/>
      <name val="Calibri"/>
      <family val="2"/>
      <scheme val="minor"/>
    </font>
    <font>
      <b/>
      <sz val="12"/>
      <color rgb="FF14213D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E3E8F4"/>
        <bgColor indexed="64"/>
      </patternFill>
    </fill>
    <fill>
      <patternFill patternType="solid">
        <fgColor rgb="FFE6ECF5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F3EEFC"/>
        <bgColor indexed="64"/>
      </patternFill>
    </fill>
  </fills>
  <borders count="2">
    <border>
      <left/>
      <right/>
      <top/>
      <bottom/>
      <diagonal/>
    </border>
    <border>
      <left style="thin">
        <color rgb="FF8A6D00"/>
      </left>
      <right style="thin">
        <color rgb="FF8A6D00"/>
      </right>
      <top style="thin">
        <color rgb="FF8A6D00"/>
      </top>
      <bottom style="thin">
        <color rgb="FF8A6D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 applyProtection="1">
      <alignment horizontal="center" vertical="top"/>
      <protection hidden="1"/>
    </xf>
    <xf numFmtId="0" fontId="8" fillId="0" borderId="0" xfId="0" applyFont="1" applyAlignment="1" applyProtection="1">
      <alignment horizontal="center" vertical="top"/>
      <protection hidden="1"/>
    </xf>
    <xf numFmtId="0" fontId="9" fillId="0" borderId="0" xfId="0" applyFont="1" applyAlignment="1">
      <alignment vertical="top"/>
    </xf>
    <xf numFmtId="0" fontId="7" fillId="0" borderId="0" xfId="0" applyFont="1" applyAlignment="1" applyProtection="1">
      <alignment vertical="top"/>
      <protection hidden="1"/>
    </xf>
    <xf numFmtId="0" fontId="10" fillId="0" borderId="0" xfId="0" applyFont="1" applyAlignment="1">
      <alignment vertical="top"/>
    </xf>
    <xf numFmtId="0" fontId="11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5" fillId="0" borderId="0" xfId="0" applyFont="1" applyAlignment="1">
      <alignment horizontal="center" vertical="top"/>
    </xf>
    <xf numFmtId="0" fontId="15" fillId="4" borderId="0" xfId="0" applyFont="1" applyFill="1" applyAlignment="1">
      <alignment vertical="top" wrapText="1"/>
    </xf>
    <xf numFmtId="164" fontId="16" fillId="5" borderId="1" xfId="0" applyNumberFormat="1" applyFont="1" applyFill="1" applyBorder="1" applyAlignment="1" applyProtection="1">
      <alignment vertical="top"/>
      <protection locked="0"/>
    </xf>
    <xf numFmtId="0" fontId="17" fillId="6" borderId="0" xfId="0" applyFont="1" applyFill="1" applyAlignment="1" applyProtection="1">
      <alignment vertical="top" wrapText="1"/>
      <protection hidden="1"/>
    </xf>
    <xf numFmtId="0" fontId="18" fillId="5" borderId="1" xfId="0" applyFont="1" applyFill="1" applyBorder="1" applyAlignment="1" applyProtection="1">
      <alignment vertical="top"/>
      <protection locked="0"/>
    </xf>
    <xf numFmtId="0" fontId="19" fillId="7" borderId="0" xfId="0" applyFont="1" applyFill="1" applyAlignment="1" applyProtection="1">
      <alignment vertical="top" wrapText="1"/>
      <protection hidden="1"/>
    </xf>
    <xf numFmtId="0" fontId="15" fillId="0" borderId="0" xfId="0" applyFont="1" applyAlignment="1" applyProtection="1">
      <alignment horizontal="center" vertical="top"/>
      <protection hidden="1"/>
    </xf>
    <xf numFmtId="0" fontId="20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6" fillId="2" borderId="0" xfId="0" applyFont="1" applyFill="1"/>
    <xf numFmtId="0" fontId="16" fillId="5" borderId="1" xfId="0" applyFont="1" applyFill="1" applyBorder="1" applyAlignment="1" applyProtection="1">
      <alignment vertical="top"/>
      <protection locked="0"/>
    </xf>
    <xf numFmtId="165" fontId="16" fillId="5" borderId="1" xfId="0" applyNumberFormat="1" applyFont="1" applyFill="1" applyBorder="1" applyAlignment="1" applyProtection="1">
      <alignment vertical="top"/>
      <protection locked="0"/>
    </xf>
    <xf numFmtId="166" fontId="16" fillId="5" borderId="1" xfId="0" applyNumberFormat="1" applyFont="1" applyFill="1" applyBorder="1" applyAlignment="1" applyProtection="1">
      <alignment vertical="top"/>
      <protection locked="0"/>
    </xf>
    <xf numFmtId="167" fontId="5" fillId="0" borderId="0" xfId="0" applyNumberFormat="1" applyFont="1" applyAlignment="1" applyProtection="1">
      <alignment vertical="top"/>
      <protection hidden="1"/>
    </xf>
    <xf numFmtId="0" fontId="5" fillId="0" borderId="0" xfId="0" applyFont="1" applyAlignment="1" applyProtection="1">
      <alignment vertical="top" wrapText="1"/>
      <protection hidden="1"/>
    </xf>
  </cellXfs>
  <cellStyles count="1">
    <cellStyle name="Normal" xfId="0" builtinId="0"/>
  </cellStyles>
  <dxfs count="3">
    <dxf>
      <font>
        <color rgb="FF0B6B2B"/>
      </font>
      <fill>
        <patternFill>
          <bgColor rgb="FFDDF4E4"/>
        </patternFill>
      </fill>
    </dxf>
    <dxf>
      <font>
        <color rgb="FFA1121A"/>
      </font>
      <fill>
        <patternFill>
          <bgColor rgb="FFFCE4E6"/>
        </patternFill>
      </fill>
    </dxf>
    <dxf>
      <font>
        <color rgb="FF4A4F57"/>
      </font>
      <fill>
        <patternFill>
          <bgColor rgb="FFE9EC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F23"/>
  <sheetViews>
    <sheetView showGridLines="0" tabSelected="1" workbookViewId="0"/>
  </sheetViews>
  <sheetFormatPr defaultRowHeight="15"/>
  <cols>
    <col min="1" max="1" width="16.7109375" customWidth="1"/>
    <col min="2" max="2" width="32.7109375" customWidth="1"/>
    <col min="3" max="3" width="16.7109375" customWidth="1"/>
    <col min="4" max="4" width="12.7109375" customWidth="1"/>
    <col min="5" max="5" width="16.7109375" customWidth="1"/>
    <col min="6" max="6" width="36.7109375" customWidth="1"/>
  </cols>
  <sheetData>
    <row r="1" spans="1:6" ht="34" customHeight="1">
      <c r="A1" s="1" t="s">
        <v>481</v>
      </c>
      <c r="B1" s="2"/>
      <c r="C1" s="2"/>
      <c r="D1" s="2"/>
      <c r="E1" s="2"/>
      <c r="F1" s="2"/>
    </row>
    <row r="2" spans="1:6">
      <c r="A2" s="3" t="s">
        <v>482</v>
      </c>
    </row>
    <row r="4" spans="1:6">
      <c r="A4" s="4" t="s">
        <v>483</v>
      </c>
      <c r="B4" s="4"/>
      <c r="C4" s="4"/>
      <c r="D4" s="4"/>
      <c r="E4" s="4"/>
      <c r="F4" s="4"/>
    </row>
    <row r="5" spans="1:6">
      <c r="A5" s="5" t="s">
        <v>484</v>
      </c>
    </row>
    <row r="6" spans="1:6">
      <c r="A6" s="5" t="s">
        <v>485</v>
      </c>
    </row>
    <row r="7" spans="1:6">
      <c r="A7" s="5" t="s">
        <v>486</v>
      </c>
    </row>
    <row r="8" spans="1:6">
      <c r="A8" s="5" t="s">
        <v>487</v>
      </c>
    </row>
    <row r="9" spans="1:6">
      <c r="A9" s="5" t="s">
        <v>488</v>
      </c>
    </row>
    <row r="11" spans="1:6">
      <c r="A11" s="4" t="s">
        <v>489</v>
      </c>
      <c r="B11" s="4"/>
      <c r="C11" s="4"/>
      <c r="D11" s="4"/>
      <c r="E11" s="4"/>
      <c r="F11" s="4"/>
    </row>
    <row r="12" spans="1:6">
      <c r="A12" s="6" t="s">
        <v>490</v>
      </c>
      <c r="B12" s="6" t="s">
        <v>491</v>
      </c>
      <c r="C12" s="6" t="s">
        <v>192</v>
      </c>
      <c r="D12" s="6" t="s">
        <v>492</v>
      </c>
      <c r="E12" s="6" t="s">
        <v>493</v>
      </c>
      <c r="F12" s="6" t="s">
        <v>494</v>
      </c>
    </row>
    <row r="13" spans="1:6">
      <c r="A13" s="7" t="s">
        <v>495</v>
      </c>
      <c r="B13" s="8" t="s">
        <v>496</v>
      </c>
      <c r="C13" s="9" cm="1" t="str">
        <f t="array" ref="C13">SUM('S2-1 Quick Entry'!$G$15:$G$45)&amp;" / 240"</f>
        <v>0 / 240</v>
      </c>
      <c r="D13" s="10" cm="1" t="str">
        <f t="array" ref="D13">IF(SUM('S2-1 Quick Entry'!$G$15:$G$45)&gt;=240,"★★★",IF(SUM('S2-1 Quick Entry'!$G$15:$G$45)&gt;=240*0.8,"★★☆",IF(SUM('S2-1 Quick Entry'!$G$15:$G$45)&gt;=240*0.5,"★☆☆","☆☆☆")))</f>
        <v>☆☆☆</v>
      </c>
      <c r="E13" s="9" cm="1" t="str">
        <f t="array" ref="E13">IF(SUM('S2-1 Quick Entry'!$G$15:$G$45)&gt;=240,"PERFECT",IF(SUM('S2-1 Quick Entry'!$G$15:$G$45)&gt;=240*0.5,"CLEARED",IF(SUM('S2-1 Quick Entry'!$G$15:$G$45)&gt;0,"IN PROGRESS","NEW")))</f>
        <v>NEW</v>
      </c>
      <c r="F13" s="11" t="s">
        <v>497</v>
      </c>
    </row>
    <row r="14" spans="1:6">
      <c r="A14" s="7" t="s">
        <v>498</v>
      </c>
      <c r="B14" s="8" t="s">
        <v>499</v>
      </c>
      <c r="C14" s="9" cm="1" t="str">
        <f t="array" ref="C14">SUM('S2-2 Clone Machine'!$G$17:$G$50)&amp;" / 270"</f>
        <v>0 / 270</v>
      </c>
      <c r="D14" s="10" cm="1" t="str">
        <f t="array" ref="D14">IF(SUM('S2-2 Clone Machine'!$G$17:$G$50)&gt;=270,"★★★",IF(SUM('S2-2 Clone Machine'!$G$17:$G$50)&gt;=270*0.8,"★★☆",IF(SUM('S2-2 Clone Machine'!$G$17:$G$50)&gt;=270*0.5,"★☆☆","☆☆☆")))</f>
        <v>☆☆☆</v>
      </c>
      <c r="E14" s="9" cm="1" t="str">
        <f t="array" ref="E14">IF(SUM('S2-2 Clone Machine'!$G$17:$G$50)&gt;=270,"PERFECT",IF(SUM('S2-2 Clone Machine'!$G$17:$G$50)&gt;=270*0.5,"CLEARED",IF(SUM('S2-2 Clone Machine'!$G$17:$G$50)&gt;0,"IN PROGRESS","NEW")))</f>
        <v>NEW</v>
      </c>
      <c r="F14" s="11" t="s">
        <v>500</v>
      </c>
    </row>
    <row r="15" spans="1:6">
      <c r="A15" s="7" t="s">
        <v>501</v>
      </c>
      <c r="B15" s="8" t="s">
        <v>502</v>
      </c>
      <c r="C15" s="9" cm="1" t="str">
        <f t="array" ref="C15">SUM('S2-3 Stamps &amp; Smart Fill'!$G$14:$G$42)&amp;" / 220"</f>
        <v>0 / 220</v>
      </c>
      <c r="D15" s="10" cm="1" t="str">
        <f t="array" ref="D15">IF(SUM('S2-3 Stamps &amp; Smart Fill'!$G$14:$G$42)&gt;=220,"★★★",IF(SUM('S2-3 Stamps &amp; Smart Fill'!$G$14:$G$42)&gt;=220*0.8,"★★☆",IF(SUM('S2-3 Stamps &amp; Smart Fill'!$G$14:$G$42)&gt;=220*0.5,"★☆☆","☆☆☆")))</f>
        <v>☆☆☆</v>
      </c>
      <c r="E15" s="9" cm="1" t="str">
        <f t="array" ref="E15">IF(SUM('S2-3 Stamps &amp; Smart Fill'!$G$14:$G$42)&gt;=220,"PERFECT",IF(SUM('S2-3 Stamps &amp; Smart Fill'!$G$14:$G$42)&gt;=220*0.5,"CLEARED",IF(SUM('S2-3 Stamps &amp; Smart Fill'!$G$14:$G$42)&gt;0,"IN PROGRESS","NEW")))</f>
        <v>NEW</v>
      </c>
      <c r="F15" s="11" t="s">
        <v>503</v>
      </c>
    </row>
    <row r="16" spans="1:6">
      <c r="A16" s="7" t="s">
        <v>504</v>
      </c>
      <c r="B16" s="8" t="s">
        <v>505</v>
      </c>
      <c r="C16" s="9" cm="1" t="str">
        <f t="array" ref="C16">SUM(Boss!$G$14:$G$33)&amp;" / 160"</f>
        <v>0 / 160</v>
      </c>
      <c r="D16" s="10" cm="1" t="str">
        <f t="array" ref="D16">IF(SUM(Boss!$G$14:$G$33)&gt;=160,"★★★",IF(SUM(Boss!$G$14:$G$33)&gt;=160*0.8,"★★☆",IF(SUM(Boss!$G$14:$G$33)&gt;=160*0.5,"★☆☆","☆☆☆")))</f>
        <v>☆☆☆</v>
      </c>
      <c r="E16" s="9" cm="1" t="str">
        <f t="array" ref="E16">IF(Boss!$C$10="OPEN",IF(SUM(Boss!$G$14:$G$33)&gt;=160*0.5,"DEFEATED","OPEN"),"LOCKED")</f>
        <v>LOCKED</v>
      </c>
      <c r="F16" s="11" t="s">
        <v>506</v>
      </c>
    </row>
    <row r="18" spans="1:3">
      <c r="A18" s="7" t="s">
        <v>507</v>
      </c>
      <c r="B18" s="12" cm="1" t="str">
        <f t="array" ref="B18">(SUM('S2-1 Quick Entry'!$G$15:$G$45)+SUM('S2-2 Clone Machine'!$G$17:$G$50)+SUM('S2-3 Stamps &amp; Smart Fill'!$G$14:$G$42)+SUM(Boss!$G$14:$G$33))&amp;" / 890"</f>
        <v>0 / 890</v>
      </c>
    </row>
    <row r="19" spans="1:3">
      <c r="A19" s="7" t="s">
        <v>508</v>
      </c>
      <c r="B19" s="12" cm="1" t="str">
        <f t="array" ref="B19">_xlfn.LET(_xlpm.p,(SUM('S2-1 Quick Entry'!$G$15:$G$45)+SUM('S2-2 Clone Machine'!$G$17:$G$50)+SUM('S2-3 Stamps &amp; Smart Fill'!$G$14:$G$42)+SUM(Boss!$G$14:$G$33))/890,IF(AND(_xlpm.p&gt;=1,ISNUMBER(Boss!$C$8),Boss!$C$8&lt;=10),"S",IF(_xlpm.p&gt;=0.9,"A",IF(_xlpm.p&gt;=0.75,"B",IF(_xlpm.p&gt;=0.5,"C","D")))))</f>
        <v>D</v>
      </c>
      <c r="C19" s="13" t="s">
        <v>509</v>
      </c>
    </row>
    <row r="20" spans="1:3">
      <c r="A20" s="7" t="s">
        <v>510</v>
      </c>
      <c r="B20" s="12" cm="1" t="str">
        <f t="array" ref="B20">IF(ISNUMBER(Boss!$C$8),Boss!$C$8&amp;" min (par 10)","—")</f>
        <v>—</v>
      </c>
    </row>
    <row r="21" spans="1:3">
      <c r="A21" s="7" t="s">
        <v>511</v>
      </c>
      <c r="B21" s="12" cm="1" t="str">
        <f t="array" ref="B21">IFERROR(INDEX($A$13:$A$15,MATCH("☆☆☆",$D$13:$D$15,0))&amp;" "&amp;INDEX($B$13:$B$15,MATCH("☆☆☆",$D$13:$D$15,0)),IF(Boss!$C$10="OPEN","the Boss","All clear! Aim for rank S"))</f>
        <v>S2-1 Quick Entry</v>
      </c>
    </row>
    <row r="23" spans="1:3">
      <c r="A23" s="13" t="s">
        <v>512</v>
      </c>
    </row>
  </sheetData>
  <sheetProtection sheet="1" objects="1" scenarios="1" formatColumns="0" formatRows="0"/>
  <hyperlinks>
    <hyperlink ref="F13" location="'S2-1 Quick Entry'!A1" display="Go to S2-1 Quick Entry"/>
    <hyperlink ref="F14" location="'S2-2 Clone Machine'!A1" display="Go to S2-2 Clone Machine"/>
    <hyperlink ref="F15" location="'S2-3 Stamps &amp; Smart Fill'!A1" display="Go to S2-3 Stamps &amp; Smart Fill"/>
    <hyperlink ref="F16" location="Boss!A1" display="Go to the Boss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6FDE"/>
    <pageSetUpPr fitToPage="1"/>
  </sheetPr>
  <dimension ref="A1:G4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172</v>
      </c>
      <c r="B1" s="2"/>
      <c r="C1" s="2"/>
      <c r="D1" s="2"/>
      <c r="E1" s="2"/>
      <c r="F1" s="2"/>
      <c r="G1" s="2"/>
    </row>
    <row r="2" spans="1:7">
      <c r="A2" s="3" t="s">
        <v>173</v>
      </c>
    </row>
    <row r="3" spans="1:7" ht="26" customHeight="1">
      <c r="A3" s="14" cm="1" t="str">
        <f t="array" ref="A3">"SCORE "&amp;TEXT(SUM($G$15:$G$45),"0000")&amp;" / 0240"</f>
        <v>SCORE 0000 / 0240</v>
      </c>
      <c r="C3" s="15" cm="1" t="str">
        <f t="array" ref="C3">IF(SUM($G$15:$G$45)&gt;=240,"★★★",IF(SUM($G$15:$G$45)&gt;=240*0.8,"★★☆",IF(SUM($G$15:$G$45)&gt;=240*0.5,"★☆☆","☆☆☆")))</f>
        <v>☆☆☆</v>
      </c>
      <c r="D3" s="16" cm="1" t="str">
        <f t="array" ref="D3">REPT("█",ROUND(10*SUM($G$15:$G$45)/240,0))&amp;REPT("░",10-ROUND(10*SUM($G$15:$G$45)/240,0))&amp;"  "&amp;TEXT(SUM($G$15:$G$45)/240,"0%")</f>
        <v>░░░░░░░░░░  0%</v>
      </c>
      <c r="F3" s="17" cm="1" t="str">
        <f t="array" ref="F3">IF(SUM($G$15:$G$45)&gt;=240*0.5,"STAGE CLEAR! ▶ Next: S2-2 Clone Machine","")</f>
        <v/>
      </c>
    </row>
    <row r="5" spans="1:7" ht="22" customHeight="1">
      <c r="A5" s="4" t="s">
        <v>13</v>
      </c>
      <c r="B5" s="4"/>
      <c r="C5" s="4"/>
      <c r="D5" s="4"/>
      <c r="E5" s="4"/>
      <c r="F5" s="4"/>
      <c r="G5" s="4"/>
    </row>
    <row r="6" spans="1:7">
      <c r="A6" s="6" t="s">
        <v>14</v>
      </c>
      <c r="B6" s="6" t="s">
        <v>15</v>
      </c>
      <c r="C6" s="6" t="s">
        <v>16</v>
      </c>
      <c r="D6" s="6"/>
      <c r="E6" s="6"/>
      <c r="F6" s="6"/>
      <c r="G6" s="6"/>
    </row>
    <row r="7" spans="1:7" ht="35.5" customHeight="1">
      <c r="A7" s="18" t="s">
        <v>17</v>
      </c>
      <c r="B7" s="8" t="s">
        <v>18</v>
      </c>
      <c r="C7" s="19" t="s">
        <v>19</v>
      </c>
    </row>
    <row r="8" spans="1:7" ht="67" customHeight="1">
      <c r="A8" s="18" t="s">
        <v>20</v>
      </c>
      <c r="B8" s="8" t="s">
        <v>21</v>
      </c>
      <c r="C8" s="19" t="s">
        <v>22</v>
      </c>
    </row>
    <row r="9" spans="1:7" ht="67" customHeight="1">
      <c r="A9" s="18" t="s">
        <v>23</v>
      </c>
      <c r="B9" s="8" t="s">
        <v>24</v>
      </c>
      <c r="C9" s="19" t="s">
        <v>25</v>
      </c>
    </row>
    <row r="10" spans="1:7" ht="35.5" customHeight="1">
      <c r="A10" s="18" t="s">
        <v>26</v>
      </c>
      <c r="B10" s="8" t="s">
        <v>27</v>
      </c>
      <c r="C10" s="19" t="s">
        <v>28</v>
      </c>
    </row>
    <row r="11" spans="1:7" ht="51.25" customHeight="1">
      <c r="A11" s="18" t="s">
        <v>29</v>
      </c>
      <c r="B11" s="8" t="s">
        <v>30</v>
      </c>
      <c r="C11" s="19" t="s">
        <v>31</v>
      </c>
    </row>
    <row r="13" spans="1:7" ht="22" customHeight="1">
      <c r="A13" s="4" t="s">
        <v>32</v>
      </c>
      <c r="B13" s="4"/>
      <c r="C13" s="4"/>
      <c r="D13" s="4"/>
      <c r="E13" s="4"/>
      <c r="F13" s="4"/>
      <c r="G13" s="4"/>
    </row>
    <row r="14" spans="1:7">
      <c r="A14" s="6" t="s">
        <v>14</v>
      </c>
      <c r="B14" s="6" t="s">
        <v>33</v>
      </c>
      <c r="C14" s="6" t="s">
        <v>34</v>
      </c>
      <c r="D14" s="6" t="s">
        <v>35</v>
      </c>
      <c r="E14" s="6" t="s">
        <v>36</v>
      </c>
      <c r="F14" s="6" t="s">
        <v>1</v>
      </c>
      <c r="G14" s="6" t="s">
        <v>37</v>
      </c>
    </row>
    <row r="15" spans="1:7" ht="35.5" customHeight="1">
      <c r="A15" s="18" t="s">
        <v>46</v>
      </c>
      <c r="B15" s="8" t="s">
        <v>47</v>
      </c>
      <c r="C15" s="20"/>
      <c r="D15" s="21" cm="1" t="str">
        <f t="array" ref="D15">IFERROR(_xlfn.LET(_xlpm.a,'S2-1 Quick Entry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:$J$2),"✔ CLEAR","✘ TRY AGAIN"))),"✘ TRY AGAIN")</f>
        <v/>
      </c>
      <c r="E15" s="22"/>
      <c r="F15" s="23" cm="1" t="str">
        <f t="array" ref="F15">IF(E15="Show hint",Key!$B$2,"")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56</v>
      </c>
      <c r="B16" s="8" t="s">
        <v>57</v>
      </c>
      <c r="C16" s="20"/>
      <c r="D16" s="21" cm="1" t="str">
        <f t="array" ref="D16">IFERROR(_xlfn.LET(_xlpm.a,'S2-1 Quick Entry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:$J$3),"✔ CLEAR","✘ TRY AGAIN"))),"✘ TRY AGAIN")</f>
        <v/>
      </c>
      <c r="E16" s="22"/>
      <c r="F16" s="23" cm="1" t="str">
        <f t="array" ref="F16">IF(E16="Show hint",Key!$B$3,"")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66</v>
      </c>
      <c r="B17" s="8" t="s">
        <v>67</v>
      </c>
      <c r="C17" s="20"/>
      <c r="D17" s="21" cm="1" t="str">
        <f t="array" ref="D17">IFERROR(_xlfn.LET(_xlpm.a,'S2-1 Quick Entry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:$J$4),"✔ CLEAR","✘ TRY AGAIN"))),"✘ TRY AGAIN")</f>
        <v/>
      </c>
      <c r="E17" s="22"/>
      <c r="F17" s="23" cm="1" t="str">
        <f t="array" ref="F17">IF(E17="Show hint",Key!$B$4,"")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71</v>
      </c>
      <c r="B18" s="8" t="s">
        <v>72</v>
      </c>
      <c r="C18" s="20"/>
      <c r="D18" s="21" cm="1" t="str">
        <f t="array" ref="D18">IFERROR(_xlfn.LET(_xlpm.a,'S2-1 Quick Entry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:$E$5),"✔ CLEAR","✘ TRY AGAIN"))),"✘ TRY AGAIN")</f>
        <v/>
      </c>
      <c r="E18" s="22"/>
      <c r="F18" s="23" cm="1" t="str">
        <f t="array" ref="F18">IF(E18="Show hint",Key!$B$5,"")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76</v>
      </c>
      <c r="B19" s="8" t="s">
        <v>77</v>
      </c>
      <c r="C19" s="20"/>
      <c r="D19" s="21" cm="1" t="str">
        <f t="array" ref="D19">IFERROR(_xlfn.LET(_xlpm.a,'S2-1 Quick Entry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:$E$6),"✔ CLEAR","✘ TRY AGAIN"))),"✘ TRY AGAIN")</f>
        <v/>
      </c>
      <c r="E19" s="22"/>
      <c r="F19" s="23" cm="1" t="str">
        <f t="array" ref="F19">IF(E19="Show hint",Key!$B$6,"")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81</v>
      </c>
      <c r="B20" s="8" t="s">
        <v>82</v>
      </c>
      <c r="C20" s="20"/>
      <c r="D20" s="21" cm="1" t="str">
        <f t="array" ref="D20">IFERROR(_xlfn.LET(_xlpm.a,'S2-1 Quick Entry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:$E$7),"✔ CLEAR","✘ TRY AGAIN"))),"✘ TRY AGAIN")</f>
        <v/>
      </c>
      <c r="E20" s="22"/>
      <c r="F20" s="23" cm="1" t="str">
        <f t="array" ref="F20">IF(E20="Show hint",Key!$B$7,"")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86</v>
      </c>
      <c r="B21" s="8" t="s">
        <v>87</v>
      </c>
      <c r="C21" s="20"/>
      <c r="D21" s="21" cm="1" t="str">
        <f t="array" ref="D21">IFERROR(_xlfn.LET(_xlpm.a,'S2-1 Quick Entry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:$E$8),"✔ CLEAR","✘ TRY AGAIN"))),"✘ TRY AGAIN")</f>
        <v/>
      </c>
      <c r="E21" s="22"/>
      <c r="F21" s="23" cm="1" t="str">
        <f t="array" ref="F21">IF(E21="Show hint",Key!$B$8,"")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91</v>
      </c>
      <c r="B22" s="8" t="s">
        <v>92</v>
      </c>
      <c r="C22" s="20"/>
      <c r="D22" s="21" cm="1" t="str">
        <f t="array" ref="D22">IFERROR(_xlfn.LET(_xlpm.a,'S2-1 Quick Entry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:$E$9),"✔ CLEAR","✘ TRY AGAIN"))),"✘ TRY AGAIN")</f>
        <v/>
      </c>
      <c r="E22" s="22"/>
      <c r="F22" s="23" cm="1" t="str">
        <f t="array" ref="F22">IF(E22="Show hint",Key!$B$9,"")</f>
        <v/>
      </c>
      <c r="G22" s="24" cm="1">
        <f t="array" ref="G22">IF(LEFT(D22,1)="✔",IF(E22="Show hint",5,10),0)</f>
        <v>0</v>
      </c>
    </row>
    <row r="23" spans="1:7" ht="35.5" customHeight="1">
      <c r="A23" s="18" t="s">
        <v>100</v>
      </c>
      <c r="B23" s="8" t="s">
        <v>101</v>
      </c>
      <c r="C23" s="20"/>
      <c r="D23" s="21" cm="1" t="str">
        <f t="array" ref="D23">IFERROR(_xlfn.LET(_xlpm.a,'S2-1 Quick Entry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:$I$10),"✔ CLEAR","✘ TRY AGAIN"))),"✘ TRY AGAIN")</f>
        <v/>
      </c>
      <c r="E23" s="22"/>
      <c r="F23" s="23" cm="1" t="str">
        <f t="array" ref="F23">IF(E23="Show hint",Key!$B$10,"")</f>
        <v/>
      </c>
      <c r="G23" s="24" cm="1">
        <f t="array" ref="G23">IF(LEFT(D23,1)="✔",IF(E23="Show hint",5,10),0)</f>
        <v>0</v>
      </c>
    </row>
    <row r="24" spans="1:7" ht="35.5" customHeight="1">
      <c r="A24" s="18" t="s">
        <v>105</v>
      </c>
      <c r="B24" s="8" t="s">
        <v>106</v>
      </c>
      <c r="C24" s="20"/>
      <c r="D24" s="21" cm="1" t="str">
        <f t="array" ref="D24">IFERROR(_xlfn.LET(_xlpm.a,'S2-1 Quick Entry'!$C$24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:$E$11),"✔ CLEAR","✘ TRY AGAIN"))),"✘ TRY AGAIN")</f>
        <v/>
      </c>
      <c r="E24" s="22"/>
      <c r="F24" s="23" cm="1" t="str">
        <f t="array" ref="F24">IF(E24="Show hint",Key!$B$11,"")</f>
        <v/>
      </c>
      <c r="G24" s="24" cm="1">
        <f t="array" ref="G24">IF(LEFT(D24,1)="✔",IF(E24="Show hint",5,10),0)</f>
        <v>0</v>
      </c>
    </row>
    <row r="26" spans="1:7" ht="22" customHeight="1">
      <c r="A26" s="4" t="s">
        <v>107</v>
      </c>
      <c r="B26" s="4"/>
      <c r="C26" s="4"/>
      <c r="D26" s="4"/>
      <c r="E26" s="4"/>
      <c r="F26" s="4"/>
      <c r="G26" s="4"/>
    </row>
    <row r="27" spans="1:7">
      <c r="A27" s="6" t="s">
        <v>14</v>
      </c>
      <c r="B27" s="6" t="s">
        <v>33</v>
      </c>
      <c r="C27" s="6" t="s">
        <v>34</v>
      </c>
      <c r="D27" s="6" t="s">
        <v>35</v>
      </c>
      <c r="E27" s="6" t="s">
        <v>36</v>
      </c>
      <c r="F27" s="6" t="s">
        <v>1</v>
      </c>
      <c r="G27" s="6" t="s">
        <v>37</v>
      </c>
    </row>
    <row r="28" spans="1:7" ht="35.5" customHeight="1">
      <c r="A28" s="18" t="s">
        <v>112</v>
      </c>
      <c r="B28" s="8" t="s">
        <v>113</v>
      </c>
      <c r="C28" s="20"/>
      <c r="D28" s="21" cm="1" t="str">
        <f t="array" ref="D28">IFERROR(IF('S2-1 Quick Entry'!$C$28&amp;""="","",IF('S2-1 Quick Entry'!$C$28&amp;""=Key!$C$12&amp;"","✔ CLEAR","✘ TRY AGAIN")),"✘ TRY AGAIN")</f>
        <v/>
      </c>
      <c r="E28" s="22"/>
      <c r="F28" s="23" cm="1" t="str">
        <f t="array" ref="F28">IF(E28="Show hint",Key!$B$12,"")</f>
        <v/>
      </c>
      <c r="G28" s="24" cm="1">
        <f t="array" ref="G28">IF(LEFT(D28,1)="✔",IF(E28="Show hint",5,10),0)</f>
        <v>0</v>
      </c>
    </row>
    <row r="29" spans="1:7" ht="35.5" customHeight="1">
      <c r="A29" s="18" t="s">
        <v>119</v>
      </c>
      <c r="B29" s="8" t="s">
        <v>120</v>
      </c>
      <c r="C29" s="20"/>
      <c r="D29" s="21" cm="1" t="str">
        <f t="array" ref="D29">IFERROR(IF('S2-1 Quick Entry'!$C$29&amp;""="","",IF('S2-1 Quick Entry'!$C$29&amp;""=Key!$C$13&amp;"","✔ CLEAR","✘ TRY AGAIN")),"✘ TRY AGAIN")</f>
        <v/>
      </c>
      <c r="E29" s="22"/>
      <c r="F29" s="23" cm="1" t="str">
        <f t="array" ref="F29">IF(E29="Show hint",Key!$B$13,"")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123</v>
      </c>
      <c r="B30" s="8" t="s">
        <v>124</v>
      </c>
      <c r="C30" s="20"/>
      <c r="D30" s="21" cm="1" t="str">
        <f t="array" ref="D30">IFERROR(IF('S2-1 Quick Entry'!$C$30&amp;""="","",IF('S2-1 Quick Entry'!$C$30&amp;""=Key!$C$14&amp;"","✔ CLEAR","✘ TRY AGAIN")),"✘ TRY AGAIN")</f>
        <v/>
      </c>
      <c r="E30" s="22"/>
      <c r="F30" s="23" cm="1" t="str">
        <f t="array" ref="F30">IF(E30="Show hint",Key!$B$14,"")</f>
        <v/>
      </c>
      <c r="G30" s="24" cm="1">
        <f t="array" ref="G30">IF(LEFT(D30,1)="✔",IF(E30="Show hint",5,10),0)</f>
        <v>0</v>
      </c>
    </row>
    <row r="31" spans="1:7" ht="35.5" customHeight="1">
      <c r="A31" s="18" t="s">
        <v>128</v>
      </c>
      <c r="B31" s="8" t="s">
        <v>129</v>
      </c>
      <c r="C31" s="20"/>
      <c r="D31" s="21" cm="1" t="str">
        <f t="array" ref="D31">IFERROR(IF('S2-1 Quick Entry'!$C$31&amp;""="","",IF('S2-1 Quick Entry'!$C$31&amp;""=Key!$C$15&amp;"","✔ CLEAR","✘ TRY AGAIN")),"✘ TRY AGAIN")</f>
        <v/>
      </c>
      <c r="E31" s="22"/>
      <c r="F31" s="23" cm="1" t="str">
        <f t="array" ref="F31">IF(E31="Show hint",Key!$B$15,"")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133</v>
      </c>
      <c r="B32" s="8" t="s">
        <v>134</v>
      </c>
      <c r="C32" s="20"/>
      <c r="D32" s="21" cm="1" t="str">
        <f t="array" ref="D32">IFERROR(IF('S2-1 Quick Entry'!$C$32&amp;""="","",IF('S2-1 Quick Entry'!$C$32&amp;""=Key!$C$16&amp;"","✔ CLEAR","✘ TRY AGAIN")),"✘ TRY AGAIN")</f>
        <v/>
      </c>
      <c r="E32" s="22"/>
      <c r="F32" s="23" cm="1" t="str">
        <f t="array" ref="F32">IF(E32="Show hint",Key!$B$16,"")</f>
        <v/>
      </c>
      <c r="G32" s="24" cm="1">
        <f t="array" ref="G32">IF(LEFT(D32,1)="✔",IF(E32="Show hint",5,10),0)</f>
        <v>0</v>
      </c>
    </row>
    <row r="34" spans="1:7" ht="22" customHeight="1">
      <c r="A34" s="4" t="s">
        <v>135</v>
      </c>
      <c r="B34" s="4"/>
      <c r="C34" s="4"/>
      <c r="D34" s="4"/>
      <c r="E34" s="4"/>
      <c r="F34" s="4"/>
      <c r="G34" s="4"/>
    </row>
    <row r="35" spans="1:7">
      <c r="B35" s="11" t="s">
        <v>136</v>
      </c>
    </row>
    <row r="36" spans="1:7">
      <c r="A36" s="6" t="s">
        <v>14</v>
      </c>
      <c r="B36" s="6" t="s">
        <v>33</v>
      </c>
      <c r="C36" s="6" t="s">
        <v>34</v>
      </c>
      <c r="D36" s="6" t="s">
        <v>35</v>
      </c>
      <c r="E36" s="6" t="s">
        <v>36</v>
      </c>
      <c r="F36" s="6" t="s">
        <v>1</v>
      </c>
      <c r="G36" s="6" t="s">
        <v>37</v>
      </c>
    </row>
    <row r="37" spans="1:7" ht="35.5" customHeight="1">
      <c r="A37" s="18" t="s">
        <v>139</v>
      </c>
      <c r="B37" s="8" t="s">
        <v>113</v>
      </c>
      <c r="C37" s="20"/>
      <c r="D37" s="21" cm="1" t="str">
        <f t="array" ref="D37">IFERROR(_xlfn.LET(_xlpm.a,'S2-1 Quick Entry'!$C$37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$17:$E$17),"✔ CLEAR","✘ TRY AGAIN"))),"✘ TRY AGAIN")</f>
        <v/>
      </c>
      <c r="E37" s="22"/>
      <c r="F37" s="23" cm="1" t="str">
        <f t="array" ref="F37">IF(E37="Show hint",Key!$B$17,"")</f>
        <v/>
      </c>
      <c r="G37" s="24" cm="1">
        <f t="array" ref="G37">IF(LEFT(D37,1)="✔",IF(E37="Show hint",5,10),0)</f>
        <v>0</v>
      </c>
    </row>
    <row r="38" spans="1:7" ht="35.5" customHeight="1">
      <c r="A38" s="18" t="s">
        <v>142</v>
      </c>
      <c r="B38" s="8" t="s">
        <v>120</v>
      </c>
      <c r="C38" s="20"/>
      <c r="D38" s="21" cm="1" t="str">
        <f t="array" ref="D38">IFERROR(_xlfn.LET(_xlpm.a,'S2-1 Quick Entry'!$C$38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$18:$E$18),"✔ CLEAR","✘ TRY AGAIN"))),"✘ TRY AGAIN")</f>
        <v/>
      </c>
      <c r="E38" s="22"/>
      <c r="F38" s="23" cm="1" t="str">
        <f t="array" ref="F38">IF(E38="Show hint",Key!$B$18,"")</f>
        <v/>
      </c>
      <c r="G38" s="24" cm="1">
        <f t="array" ref="G38">IF(LEFT(D38,1)="✔",IF(E38="Show hint",5,10),0)</f>
        <v>0</v>
      </c>
    </row>
    <row r="39" spans="1:7" ht="35.5" customHeight="1">
      <c r="A39" s="18" t="s">
        <v>145</v>
      </c>
      <c r="B39" s="8" t="s">
        <v>124</v>
      </c>
      <c r="C39" s="20"/>
      <c r="D39" s="21" cm="1" t="str">
        <f t="array" ref="D39">IFERROR(_xlfn.LET(_xlpm.a,'S2-1 Quick Entry'!$C$39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$19:$E$19),"✔ CLEAR","✘ TRY AGAIN"))),"✘ TRY AGAIN")</f>
        <v/>
      </c>
      <c r="E39" s="22"/>
      <c r="F39" s="23" cm="1" t="str">
        <f t="array" ref="F39">IF(E39="Show hint",Key!$B$19,"")</f>
        <v/>
      </c>
      <c r="G39" s="24" cm="1">
        <f t="array" ref="G39">IF(LEFT(D39,1)="✔",IF(E39="Show hint",5,10),0)</f>
        <v>0</v>
      </c>
    </row>
    <row r="40" spans="1:7" ht="35.5" customHeight="1">
      <c r="A40" s="18" t="s">
        <v>148</v>
      </c>
      <c r="B40" s="8" t="s">
        <v>129</v>
      </c>
      <c r="C40" s="20"/>
      <c r="D40" s="21" cm="1" t="str">
        <f t="array" ref="D40">IFERROR(_xlfn.LET(_xlpm.a,'S2-1 Quick Entry'!$C$40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$20:$E$20),"✔ CLEAR","✘ TRY AGAIN"))),"✘ TRY AGAIN")</f>
        <v/>
      </c>
      <c r="E40" s="22"/>
      <c r="F40" s="23" cm="1" t="str">
        <f t="array" ref="F40">IF(E40="Show hint",Key!$B$20,"")</f>
        <v/>
      </c>
      <c r="G40" s="24" cm="1">
        <f t="array" ref="G40">IF(LEFT(D40,1)="✔",IF(E40="Show hint",5,10),0)</f>
        <v>0</v>
      </c>
    </row>
    <row r="41" spans="1:7" ht="35.5" customHeight="1">
      <c r="A41" s="18" t="s">
        <v>151</v>
      </c>
      <c r="B41" s="8" t="s">
        <v>134</v>
      </c>
      <c r="C41" s="20"/>
      <c r="D41" s="21" cm="1" t="str">
        <f t="array" ref="D41">IFERROR(_xlfn.LET(_xlpm.a,'S2-1 Quick Entry'!$C$41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$21:$E$21),"✔ CLEAR","✘ TRY AGAIN"))),"✘ TRY AGAIN")</f>
        <v/>
      </c>
      <c r="E41" s="22"/>
      <c r="F41" s="23" cm="1" t="str">
        <f t="array" ref="F41">IF(E41="Show hint",Key!$B$21,"")</f>
        <v/>
      </c>
      <c r="G41" s="24" cm="1">
        <f t="array" ref="G41">IF(LEFT(D41,1)="✔",IF(E41="Show hint",5,10),0)</f>
        <v>0</v>
      </c>
    </row>
    <row r="42" spans="1:7" ht="51.25" customHeight="1">
      <c r="A42" s="18" t="s">
        <v>154</v>
      </c>
      <c r="B42" s="8" t="s">
        <v>155</v>
      </c>
      <c r="C42" s="11" t="s">
        <v>156</v>
      </c>
      <c r="D42" s="21" cm="1" t="str">
        <f t="array" ref="D42">IF(IFERROR(AND('S2-1 Arena'!$B$6="DONE",'S2-1 Arena'!$B$7="DONE",'S2-1 Arena'!$B$8="DONE",'S2-1 Arena'!$B$9="DONE",'S2-1 Arena'!$B$10="DONE",'S2-1 Arena'!$B$11="DONE",'S2-1 Arena'!$B$12="DONE",'S2-1 Arena'!$B$13="DONE",'S2-1 Arena'!$B$14="DONE",'S2-1 Arena'!$B$15="DONE"),FALSE),"✔ CLEAR","· not yet")</f>
        <v>· not yet</v>
      </c>
      <c r="E42" s="22"/>
      <c r="F42" s="23" cm="1" t="str">
        <f t="array" ref="F42">IF(E42="Show hint",Key!$B$22,"")</f>
        <v/>
      </c>
      <c r="G42" s="24" cm="1">
        <f t="array" ref="G42">IF(LEFT(D42,1)="✔",IF(E42="Show hint",5,10),0)</f>
        <v>0</v>
      </c>
    </row>
    <row r="43" spans="1:7" ht="35.5" customHeight="1">
      <c r="A43" s="18" t="s">
        <v>159</v>
      </c>
      <c r="B43" s="8" t="s">
        <v>160</v>
      </c>
      <c r="C43" s="11" t="s">
        <v>161</v>
      </c>
      <c r="D43" s="21" cm="1" t="str">
        <f t="array" ref="D43">IF(IFERROR(EXACT('S2-1 Arena'!$D$6,"Line 1"&amp;CHAR(10)&amp;"Line 2"),FALSE),"✔ CLEAR","· not yet")</f>
        <v>· not yet</v>
      </c>
      <c r="E43" s="22"/>
      <c r="F43" s="23" cm="1" t="str">
        <f t="array" ref="F43">IF(E43="Show hint",Key!$B$23,"")</f>
        <v/>
      </c>
      <c r="G43" s="24" cm="1">
        <f t="array" ref="G43">IF(LEFT(D43,1)="✔",IF(E43="Show hint",5,10),0)</f>
        <v>0</v>
      </c>
    </row>
    <row r="44" spans="1:7" ht="35.5" customHeight="1">
      <c r="A44" s="18" t="s">
        <v>164</v>
      </c>
      <c r="B44" s="8" t="s">
        <v>165</v>
      </c>
      <c r="C44" s="11" t="s">
        <v>166</v>
      </c>
      <c r="D44" s="21" cm="1" t="str">
        <f t="array" ref="D44">IF(IFERROR(AND('S2-1 Arena'!$F$6="Name",'S2-1 Arena'!$G$6="Score",'S2-1 Arena'!$H$6="Level"),FALSE),"✔ CLEAR","· not yet")</f>
        <v>· not yet</v>
      </c>
      <c r="E44" s="22"/>
      <c r="F44" s="23" cm="1" t="str">
        <f t="array" ref="F44">IF(E44="Show hint",Key!$B$24,"")</f>
        <v/>
      </c>
      <c r="G44" s="24" cm="1">
        <f t="array" ref="G44">IF(LEFT(D44,1)="✔",IF(E44="Show hint",5,10),0)</f>
        <v>0</v>
      </c>
    </row>
    <row r="45" spans="1:7" ht="35.5" customHeight="1">
      <c r="A45" s="18" t="s">
        <v>169</v>
      </c>
      <c r="B45" s="8" t="s">
        <v>170</v>
      </c>
      <c r="C45" s="11" t="s">
        <v>171</v>
      </c>
      <c r="D45" s="21" cm="1" t="str">
        <f t="array" ref="D45">IF(IFERROR(AND('S2-1 Arena'!$F$12="Bottom",'S2-1 Arena'!$F$11="Top"),FALSE),"✔ CLEAR","· not yet")</f>
        <v>· not yet</v>
      </c>
      <c r="E45" s="22"/>
      <c r="F45" s="23" cm="1" t="str">
        <f t="array" ref="F45">IF(E45="Show hint",Key!$B$25,"")</f>
        <v/>
      </c>
      <c r="G45" s="24" cm="1">
        <f t="array" ref="G45">IF(LEFT(D45,1)="✔",IF(E45="Show hint",5,10),0)</f>
        <v>0</v>
      </c>
    </row>
  </sheetData>
  <sheetProtection sheet="1" objects="1" scenarios="1" formatColumns="0" formatRows="0"/>
  <conditionalFormatting sqref="D15:D45">
    <cfRule type="expression" dxfId="0" priority="1">
      <formula>LEFT($D15,1)="✔"</formula>
    </cfRule>
    <cfRule type="expression" dxfId="1" priority="2">
      <formula>LEFT($D15,1)="✘"</formula>
    </cfRule>
    <cfRule type="expression" dxfId="2" priority="3">
      <formula>$D15="LOCKED"</formula>
    </cfRule>
  </conditionalFormatting>
  <dataValidations count="44"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4"/>
    <dataValidation type="list" allowBlank="1" showInputMessage="1" showErrorMessage="1" promptTitle="Need a hint?" prompt="Pick 'Show hint' (Alt+Down). This question then gives 5 XP instead of 10." sqref="E24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Key!$E$12:$H$12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Pick an answer" prompt="Press Alt+Down to open the list, choose with the arrow keys, then press Enter." sqref="C29">
      <formula1>Key!$E$13:$H$13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Pick an answer" prompt="Press Alt+Down to open the list, choose with the arrow keys, then press Enter." sqref="C30">
      <formula1>Key!$E$14:$H$14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Pick an answer" prompt="Press Alt+Down to open the list, choose with the arrow keys, then press Enter." sqref="C31">
      <formula1>Key!$E$15:$H$15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Pick an answer" prompt="Press Alt+Down to open the list, choose with the arrow keys, then press Enter." sqref="C32">
      <formula1>Key!$E$16:$H$16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7"/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8"/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9"/>
    <dataValidation type="list" allowBlank="1" showInputMessage="1" showErrorMessage="1" promptTitle="Need a hint?" prompt="Pick 'Show hint' (Alt+Down). This question then gives 5 XP instead of 10." sqref="E3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0"/>
    <dataValidation type="list" allowBlank="1" showInputMessage="1" showErrorMessage="1" promptTitle="Need a hint?" prompt="Pick 'Show hint' (Alt+Down). This question then gives 5 XP instead of 10." sqref="E4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1"/>
    <dataValidation type="list" allowBlank="1" showInputMessage="1" showErrorMessage="1" promptTitle="Need a hint?" prompt="Pick 'Show hint' (Alt+Down). This question then gives 5 XP instead of 10." sqref="E41">
      <formula1>"Show hint"</formula1>
    </dataValidation>
    <dataValidation type="list" allowBlank="1" showInputMessage="1" showErrorMessage="1" promptTitle="Need a hint?" prompt="Pick 'Show hint' (Alt+Down). This question then gives 5 XP instead of 10." sqref="E42">
      <formula1>"Show hint"</formula1>
    </dataValidation>
    <dataValidation type="list" allowBlank="1" showInputMessage="1" showErrorMessage="1" promptTitle="Need a hint?" prompt="Pick 'Show hint' (Alt+Down). This question then gives 5 XP instead of 10." sqref="E43">
      <formula1>"Show hint"</formula1>
    </dataValidation>
    <dataValidation type="list" allowBlank="1" showInputMessage="1" showErrorMessage="1" promptTitle="Need a hint?" prompt="Pick 'Show hint' (Alt+Down). This question then gives 5 XP instead of 10." sqref="E44">
      <formula1>"Show hint"</formula1>
    </dataValidation>
    <dataValidation type="list" allowBlank="1" showInputMessage="1" showErrorMessage="1" promptTitle="Need a hint?" prompt="Pick 'Show hint' (Alt+Down). This question then gives 5 XP instead of 10." sqref="E45">
      <formula1>"Show hint"</formula1>
    </dataValidation>
  </dataValidations>
  <hyperlinks>
    <hyperlink ref="B35" location="'S2-1 Arena'!A1" display="▶ Open S2-1 Arena (or press Ctrl+PgDn)"/>
    <hyperlink ref="C42" location="'S2-1 Arena'!B6" tooltip="Go to S2-1 Arena, cell B6" display="▶ ARENA C6 (cell B6)"/>
    <hyperlink ref="C43" location="'S2-1 Arena'!D6" tooltip="Go to S2-1 Arena, cell D6" display="▶ ARENA C7 (cell D6)"/>
    <hyperlink ref="C44" location="'S2-1 Arena'!F6" tooltip="Go to S2-1 Arena, cell F6" display="▶ ARENA C8 (cell F6)"/>
    <hyperlink ref="C45" location="'S2-1 Arena'!F12" tooltip="Go to S2-1 Arena, cell F12" display="▶ ARENA C9 (cell F12)"/>
  </hyperlink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14.7109375" customWidth="1"/>
    <col min="2" max="3" width="13.7109375" customWidth="1"/>
    <col min="4" max="4" width="18.7109375" customWidth="1"/>
    <col min="5" max="26" width="13.7109375" customWidth="1"/>
  </cols>
  <sheetData>
    <row r="1" spans="1:8">
      <c r="A1" s="1" t="s">
        <v>4</v>
      </c>
    </row>
    <row r="2" spans="1:8">
      <c r="A2" s="3" t="s">
        <v>5</v>
      </c>
    </row>
    <row r="3" spans="1:8">
      <c r="A3" s="25" t="s">
        <v>6</v>
      </c>
      <c r="B3" s="26" t="s">
        <v>7</v>
      </c>
      <c r="D3" s="11" t="s">
        <v>8</v>
      </c>
    </row>
    <row r="5" spans="1:8">
      <c r="B5" s="27" t="s">
        <v>9</v>
      </c>
      <c r="D5" s="27" t="s">
        <v>10</v>
      </c>
      <c r="F5" s="7" t="s">
        <v>11</v>
      </c>
    </row>
    <row r="6" spans="1:8">
      <c r="B6" s="28"/>
      <c r="D6" s="28"/>
      <c r="F6" s="28"/>
      <c r="G6" s="28"/>
      <c r="H6" s="28"/>
    </row>
    <row r="7" spans="1:8">
      <c r="B7" s="28"/>
    </row>
    <row r="8" spans="1:8">
      <c r="B8" s="28"/>
    </row>
    <row r="9" spans="1:8">
      <c r="B9" s="28"/>
    </row>
    <row r="10" spans="1:8">
      <c r="B10" s="28"/>
      <c r="F10" s="7" t="s">
        <v>12</v>
      </c>
    </row>
    <row r="11" spans="1:8">
      <c r="B11" s="28"/>
      <c r="F11" s="28"/>
    </row>
    <row r="12" spans="1:8">
      <c r="B12" s="28"/>
      <c r="F12" s="28"/>
    </row>
    <row r="13" spans="1:8">
      <c r="B13" s="28"/>
    </row>
    <row r="14" spans="1:8">
      <c r="B14" s="28"/>
    </row>
    <row r="15" spans="1:8">
      <c r="B15" s="28"/>
    </row>
  </sheetData>
  <hyperlinks>
    <hyperlink ref="D3" location="'S2-1 Quick Entry'!A1" display="◀ Back to S2-1 Quick Entry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F6FDE"/>
    <pageSetUpPr fitToPage="1"/>
  </sheetPr>
  <dimension ref="A1:G5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305</v>
      </c>
      <c r="B1" s="2"/>
      <c r="C1" s="2"/>
      <c r="D1" s="2"/>
      <c r="E1" s="2"/>
      <c r="F1" s="2"/>
      <c r="G1" s="2"/>
    </row>
    <row r="2" spans="1:7">
      <c r="A2" s="3" t="s">
        <v>306</v>
      </c>
    </row>
    <row r="3" spans="1:7" ht="26" customHeight="1">
      <c r="A3" s="14" cm="1" t="str">
        <f t="array" ref="A3">"SCORE "&amp;TEXT(SUM($G$17:$G$50),"0000")&amp;" / 0270"</f>
        <v>SCORE 0000 / 0270</v>
      </c>
      <c r="C3" s="15" cm="1" t="str">
        <f t="array" ref="C3">IF(SUM($G$17:$G$50)&gt;=270,"★★★",IF(SUM($G$17:$G$50)&gt;=270*0.8,"★★☆",IF(SUM($G$17:$G$50)&gt;=270*0.5,"★☆☆","☆☆☆")))</f>
        <v>☆☆☆</v>
      </c>
      <c r="D3" s="16" cm="1" t="str">
        <f t="array" ref="D3">REPT("█",ROUND(10*SUM($G$17:$G$50)/270,0))&amp;REPT("░",10-ROUND(10*SUM($G$17:$G$50)/270,0))&amp;"  "&amp;TEXT(SUM($G$17:$G$50)/270,"0%")</f>
        <v>░░░░░░░░░░  0%</v>
      </c>
      <c r="F3" s="17" cm="1" t="str">
        <f t="array" ref="F3">IF(SUM($G$17:$G$50)&gt;=270*0.5,"STAGE CLEAR! ▶ Next: S2-3 Stamps &amp; Smart Fill","")</f>
        <v/>
      </c>
    </row>
    <row r="5" spans="1:7" ht="22" customHeight="1">
      <c r="A5" s="4" t="s">
        <v>13</v>
      </c>
      <c r="B5" s="4"/>
      <c r="C5" s="4"/>
      <c r="D5" s="4"/>
      <c r="E5" s="4"/>
      <c r="F5" s="4"/>
      <c r="G5" s="4"/>
    </row>
    <row r="6" spans="1:7">
      <c r="A6" s="6" t="s">
        <v>14</v>
      </c>
      <c r="B6" s="6" t="s">
        <v>15</v>
      </c>
      <c r="C6" s="6" t="s">
        <v>16</v>
      </c>
      <c r="D6" s="6"/>
      <c r="E6" s="6"/>
      <c r="F6" s="6"/>
      <c r="G6" s="6"/>
    </row>
    <row r="7" spans="1:7" ht="51.25" customHeight="1">
      <c r="A7" s="18" t="s">
        <v>17</v>
      </c>
      <c r="B7" s="8" t="s">
        <v>195</v>
      </c>
      <c r="C7" s="19" t="s">
        <v>196</v>
      </c>
    </row>
    <row r="8" spans="1:7" ht="35.5" customHeight="1">
      <c r="A8" s="18" t="s">
        <v>20</v>
      </c>
      <c r="B8" s="8" t="s">
        <v>197</v>
      </c>
      <c r="C8" s="19" t="s">
        <v>111</v>
      </c>
    </row>
    <row r="9" spans="1:7" ht="35.5" customHeight="1">
      <c r="A9" s="18" t="s">
        <v>23</v>
      </c>
      <c r="B9" s="8" t="s">
        <v>198</v>
      </c>
      <c r="C9" s="19" t="s">
        <v>110</v>
      </c>
    </row>
    <row r="10" spans="1:7" ht="67" customHeight="1">
      <c r="A10" s="18" t="s">
        <v>26</v>
      </c>
      <c r="B10" s="8" t="s">
        <v>199</v>
      </c>
      <c r="C10" s="19" t="s">
        <v>200</v>
      </c>
    </row>
    <row r="11" spans="1:7" ht="51.25" customHeight="1">
      <c r="A11" s="18" t="s">
        <v>29</v>
      </c>
      <c r="B11" s="8" t="s">
        <v>201</v>
      </c>
      <c r="C11" s="19" t="s">
        <v>116</v>
      </c>
    </row>
    <row r="12" spans="1:7" ht="35.5" customHeight="1">
      <c r="A12" s="18" t="s">
        <v>202</v>
      </c>
      <c r="B12" s="8" t="s">
        <v>203</v>
      </c>
      <c r="C12" s="19" t="s">
        <v>204</v>
      </c>
    </row>
    <row r="13" spans="1:7" ht="51.25" customHeight="1">
      <c r="A13" s="18" t="s">
        <v>205</v>
      </c>
      <c r="B13" s="8" t="s">
        <v>206</v>
      </c>
      <c r="C13" s="19" t="s">
        <v>132</v>
      </c>
    </row>
    <row r="15" spans="1:7" ht="22" customHeight="1">
      <c r="A15" s="4" t="s">
        <v>32</v>
      </c>
      <c r="B15" s="4"/>
      <c r="C15" s="4"/>
      <c r="D15" s="4"/>
      <c r="E15" s="4"/>
      <c r="F15" s="4"/>
      <c r="G15" s="4"/>
    </row>
    <row r="16" spans="1:7">
      <c r="A16" s="6" t="s">
        <v>14</v>
      </c>
      <c r="B16" s="6" t="s">
        <v>33</v>
      </c>
      <c r="C16" s="6" t="s">
        <v>34</v>
      </c>
      <c r="D16" s="6" t="s">
        <v>35</v>
      </c>
      <c r="E16" s="6" t="s">
        <v>36</v>
      </c>
      <c r="F16" s="6" t="s">
        <v>1</v>
      </c>
      <c r="G16" s="6" t="s">
        <v>37</v>
      </c>
    </row>
    <row r="17" spans="1:7" ht="35.5" customHeight="1">
      <c r="A17" s="18" t="s">
        <v>46</v>
      </c>
      <c r="B17" s="8" t="s">
        <v>208</v>
      </c>
      <c r="C17" s="20"/>
      <c r="D17" s="21" cm="1" t="str">
        <f t="array" ref="D17">IFERROR(_xlfn.LET(_xlpm.a,'S2-2 Clone Machine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$26:$E$26),"✔ CLEAR","✘ TRY AGAIN"))),"✘ TRY AGAIN")</f>
        <v/>
      </c>
      <c r="E17" s="22"/>
      <c r="F17" s="23" cm="1" t="str">
        <f t="array" ref="F17">IF(E17="Show hint",Key!$B$26,"")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56</v>
      </c>
      <c r="B18" s="8" t="s">
        <v>210</v>
      </c>
      <c r="C18" s="20"/>
      <c r="D18" s="21" cm="1" t="str">
        <f t="array" ref="D18">IFERROR(_xlfn.LET(_xlpm.a,'S2-2 Clone Machine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$27:$E$27),"✔ CLEAR","✘ TRY AGAIN"))),"✘ TRY AGAIN")</f>
        <v/>
      </c>
      <c r="E18" s="22"/>
      <c r="F18" s="23" cm="1" t="str">
        <f t="array" ref="F18">IF(E18="Show hint",Key!$B$27,"")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66</v>
      </c>
      <c r="B19" s="8" t="s">
        <v>212</v>
      </c>
      <c r="C19" s="20"/>
      <c r="D19" s="21" cm="1" t="str">
        <f t="array" ref="D19">IFERROR(_xlfn.LET(_xlpm.a,'S2-2 Clone Machine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$28:$E$28),"✔ CLEAR","✘ TRY AGAIN"))),"✘ TRY AGAIN")</f>
        <v/>
      </c>
      <c r="E19" s="22"/>
      <c r="F19" s="23" cm="1" t="str">
        <f t="array" ref="F19">IF(E19="Show hint",Key!$B$28,"")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71</v>
      </c>
      <c r="B20" s="8" t="s">
        <v>214</v>
      </c>
      <c r="C20" s="20"/>
      <c r="D20" s="21" cm="1" t="str">
        <f t="array" ref="D20">IFERROR(_xlfn.LET(_xlpm.a,'S2-2 Clone Machine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$29:$E$29),"✔ CLEAR","✘ TRY AGAIN"))),"✘ TRY AGAIN")</f>
        <v/>
      </c>
      <c r="E20" s="22"/>
      <c r="F20" s="23" cm="1" t="str">
        <f t="array" ref="F20">IF(E20="Show hint",Key!$B$29,"")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76</v>
      </c>
      <c r="B21" s="8" t="s">
        <v>216</v>
      </c>
      <c r="C21" s="20"/>
      <c r="D21" s="21" cm="1" t="str">
        <f t="array" ref="D21">IFERROR(_xlfn.LET(_xlpm.a,'S2-2 Clone Machine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$30:$E$30),"✔ CLEAR","✘ TRY AGAIN"))),"✘ TRY AGAIN")</f>
        <v/>
      </c>
      <c r="E21" s="22"/>
      <c r="F21" s="23" cm="1" t="str">
        <f t="array" ref="F21">IF(E21="Show hint",Key!$B$30,"")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81</v>
      </c>
      <c r="B22" s="8" t="s">
        <v>225</v>
      </c>
      <c r="C22" s="20"/>
      <c r="D22" s="21" cm="1" t="str">
        <f t="array" ref="D22">IFERROR(_xlfn.LET(_xlpm.a,'S2-2 Clone Machine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$31:$J$31),"✔ CLEAR","✘ TRY AGAIN"))),"✘ TRY AGAIN")</f>
        <v/>
      </c>
      <c r="E22" s="22"/>
      <c r="F22" s="23" cm="1" t="str">
        <f t="array" ref="F22">IF(E22="Show hint",Key!$B$31,"")</f>
        <v/>
      </c>
      <c r="G22" s="24" cm="1">
        <f t="array" ref="G22">IF(LEFT(D22,1)="✔",IF(E22="Show hint",5,10),0)</f>
        <v>0</v>
      </c>
    </row>
    <row r="23" spans="1:7" ht="35.5" customHeight="1">
      <c r="A23" s="18" t="s">
        <v>86</v>
      </c>
      <c r="B23" s="8" t="s">
        <v>234</v>
      </c>
      <c r="C23" s="20"/>
      <c r="D23" s="21" cm="1" t="str">
        <f t="array" ref="D23">IFERROR(_xlfn.LET(_xlpm.a,'S2-2 Clone Machine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$32:$J$32),"✔ CLEAR","✘ TRY AGAIN"))),"✘ TRY AGAIN")</f>
        <v/>
      </c>
      <c r="E23" s="22"/>
      <c r="F23" s="23" cm="1" t="str">
        <f t="array" ref="F23">IF(E23="Show hint",Key!$B$32,"")</f>
        <v/>
      </c>
      <c r="G23" s="24" cm="1">
        <f t="array" ref="G23">IF(LEFT(D23,1)="✔",IF(E23="Show hint",5,10),0)</f>
        <v>0</v>
      </c>
    </row>
    <row r="24" spans="1:7" ht="35.5" customHeight="1">
      <c r="A24" s="18" t="s">
        <v>91</v>
      </c>
      <c r="B24" s="8" t="s">
        <v>243</v>
      </c>
      <c r="C24" s="20"/>
      <c r="D24" s="21" cm="1" t="str">
        <f t="array" ref="D24">IFERROR(_xlfn.LET(_xlpm.a,'S2-2 Clone Machine'!$C$24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$33:$J$33),"✔ CLEAR","✘ TRY AGAIN"))),"✘ TRY AGAIN")</f>
        <v/>
      </c>
      <c r="E24" s="22"/>
      <c r="F24" s="23" cm="1" t="str">
        <f t="array" ref="F24">IF(E24="Show hint",Key!$B$33,"")</f>
        <v/>
      </c>
      <c r="G24" s="24" cm="1">
        <f t="array" ref="G24">IF(LEFT(D24,1)="✔",IF(E24="Show hint",5,10),0)</f>
        <v>0</v>
      </c>
    </row>
    <row r="25" spans="1:7" ht="35.5" customHeight="1">
      <c r="A25" s="18" t="s">
        <v>100</v>
      </c>
      <c r="B25" s="8" t="s">
        <v>247</v>
      </c>
      <c r="C25" s="20"/>
      <c r="D25" s="21" cm="1" t="str">
        <f t="array" ref="D25">IFERROR(_xlfn.LET(_xlpm.a,'S2-2 Clone Machine'!$C$25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$34:$E$34),"✔ CLEAR","✘ TRY AGAIN"))),"✘ TRY AGAIN")</f>
        <v/>
      </c>
      <c r="E25" s="22"/>
      <c r="F25" s="23" cm="1" t="str">
        <f t="array" ref="F25">IF(E25="Show hint",Key!$B$34,"")</f>
        <v/>
      </c>
      <c r="G25" s="24" cm="1">
        <f t="array" ref="G25">IF(LEFT(D25,1)="✔",IF(E25="Show hint",5,10),0)</f>
        <v>0</v>
      </c>
    </row>
    <row r="26" spans="1:7" ht="35.5" customHeight="1">
      <c r="A26" s="18" t="s">
        <v>105</v>
      </c>
      <c r="B26" s="8" t="s">
        <v>251</v>
      </c>
      <c r="C26" s="20"/>
      <c r="D26" s="21" cm="1" t="str">
        <f t="array" ref="D26">IFERROR(_xlfn.LET(_xlpm.a,'S2-2 Clone Machine'!$C$26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$35:$E$35),"✔ CLEAR","✘ TRY AGAIN"))),"✘ TRY AGAIN")</f>
        <v/>
      </c>
      <c r="E26" s="22"/>
      <c r="F26" s="23" cm="1" t="str">
        <f t="array" ref="F26">IF(E26="Show hint",Key!$B$35,"")</f>
        <v/>
      </c>
      <c r="G26" s="24" cm="1">
        <f t="array" ref="G26">IF(LEFT(D26,1)="✔",IF(E26="Show hint",5,10),0)</f>
        <v>0</v>
      </c>
    </row>
    <row r="28" spans="1:7" ht="22" customHeight="1">
      <c r="A28" s="4" t="s">
        <v>107</v>
      </c>
      <c r="B28" s="4"/>
      <c r="C28" s="4"/>
      <c r="D28" s="4"/>
      <c r="E28" s="4"/>
      <c r="F28" s="4"/>
      <c r="G28" s="4"/>
    </row>
    <row r="29" spans="1:7">
      <c r="A29" s="6" t="s">
        <v>14</v>
      </c>
      <c r="B29" s="6" t="s">
        <v>33</v>
      </c>
      <c r="C29" s="6" t="s">
        <v>34</v>
      </c>
      <c r="D29" s="6" t="s">
        <v>35</v>
      </c>
      <c r="E29" s="6" t="s">
        <v>36</v>
      </c>
      <c r="F29" s="6" t="s">
        <v>1</v>
      </c>
      <c r="G29" s="6" t="s">
        <v>37</v>
      </c>
    </row>
    <row r="30" spans="1:7" ht="19.75" customHeight="1">
      <c r="A30" s="18" t="s">
        <v>112</v>
      </c>
      <c r="B30" s="8" t="s">
        <v>254</v>
      </c>
      <c r="C30" s="20"/>
      <c r="D30" s="21" cm="1" t="str">
        <f t="array" ref="D30">IFERROR(IF('S2-2 Clone Machine'!$C$30&amp;""="","",IF('S2-2 Clone Machine'!$C$30&amp;""=Key!$C$36&amp;"","✔ CLEAR","✘ TRY AGAIN")),"✘ TRY AGAIN")</f>
        <v/>
      </c>
      <c r="E30" s="22"/>
      <c r="F30" s="23" cm="1" t="str">
        <f t="array" ref="F30">IF(E30="Show hint",Key!$B$36,"")</f>
        <v/>
      </c>
      <c r="G30" s="24" cm="1">
        <f t="array" ref="G30">IF(LEFT(D30,1)="✔",IF(E30="Show hint",5,10),0)</f>
        <v>0</v>
      </c>
    </row>
    <row r="31" spans="1:7" ht="19.75" customHeight="1">
      <c r="A31" s="18" t="s">
        <v>119</v>
      </c>
      <c r="B31" s="8" t="s">
        <v>258</v>
      </c>
      <c r="C31" s="20"/>
      <c r="D31" s="21" cm="1" t="str">
        <f t="array" ref="D31">IFERROR(IF('S2-2 Clone Machine'!$C$31&amp;""="","",IF('S2-2 Clone Machine'!$C$31&amp;""=Key!$C$37&amp;"","✔ CLEAR","✘ TRY AGAIN")),"✘ TRY AGAIN")</f>
        <v/>
      </c>
      <c r="E31" s="22"/>
      <c r="F31" s="23" cm="1" t="str">
        <f t="array" ref="F31">IF(E31="Show hint",Key!$B$37,"")</f>
        <v/>
      </c>
      <c r="G31" s="24" cm="1">
        <f t="array" ref="G31">IF(LEFT(D31,1)="✔",IF(E31="Show hint",5,10),0)</f>
        <v>0</v>
      </c>
    </row>
    <row r="32" spans="1:7" ht="19.75" customHeight="1">
      <c r="A32" s="18" t="s">
        <v>123</v>
      </c>
      <c r="B32" s="8" t="s">
        <v>261</v>
      </c>
      <c r="C32" s="20"/>
      <c r="D32" s="21" cm="1" t="str">
        <f t="array" ref="D32">IFERROR(IF('S2-2 Clone Machine'!$C$32&amp;""="","",IF('S2-2 Clone Machine'!$C$32&amp;""=Key!$C$38&amp;"","✔ CLEAR","✘ TRY AGAIN")),"✘ TRY AGAIN")</f>
        <v/>
      </c>
      <c r="E32" s="22"/>
      <c r="F32" s="23" cm="1" t="str">
        <f t="array" ref="F32">IF(E32="Show hint",Key!$B$38,"")</f>
        <v/>
      </c>
      <c r="G32" s="24" cm="1">
        <f t="array" ref="G32">IF(LEFT(D32,1)="✔",IF(E32="Show hint",5,10),0)</f>
        <v>0</v>
      </c>
    </row>
    <row r="33" spans="1:7" ht="19.75" customHeight="1">
      <c r="A33" s="18" t="s">
        <v>128</v>
      </c>
      <c r="B33" s="8" t="s">
        <v>264</v>
      </c>
      <c r="C33" s="20"/>
      <c r="D33" s="21" cm="1" t="str">
        <f t="array" ref="D33">IFERROR(IF('S2-2 Clone Machine'!$C$33&amp;""="","",IF('S2-2 Clone Machine'!$C$33&amp;""=Key!$C$39&amp;"","✔ CLEAR","✘ TRY AGAIN")),"✘ TRY AGAIN")</f>
        <v/>
      </c>
      <c r="E33" s="22"/>
      <c r="F33" s="23" cm="1" t="str">
        <f t="array" ref="F33">IF(E33="Show hint",Key!$B$39,"")</f>
        <v/>
      </c>
      <c r="G33" s="24" cm="1">
        <f t="array" ref="G33">IF(LEFT(D33,1)="✔",IF(E33="Show hint",5,10),0)</f>
        <v>0</v>
      </c>
    </row>
    <row r="34" spans="1:7" ht="35.5" customHeight="1">
      <c r="A34" s="18" t="s">
        <v>133</v>
      </c>
      <c r="B34" s="8" t="s">
        <v>267</v>
      </c>
      <c r="C34" s="20"/>
      <c r="D34" s="21" cm="1" t="str">
        <f t="array" ref="D34">IFERROR(IF('S2-2 Clone Machine'!$C$34&amp;""="","",IF('S2-2 Clone Machine'!$C$34&amp;""=Key!$C$40&amp;"","✔ CLEAR","✘ TRY AGAIN")),"✘ TRY AGAIN")</f>
        <v/>
      </c>
      <c r="E34" s="22"/>
      <c r="F34" s="23" cm="1" t="str">
        <f t="array" ref="F34">IF(E34="Show hint",Key!$B$40,"")</f>
        <v/>
      </c>
      <c r="G34" s="24" cm="1">
        <f t="array" ref="G34">IF(LEFT(D34,1)="✔",IF(E34="Show hint",5,10),0)</f>
        <v>0</v>
      </c>
    </row>
    <row r="35" spans="1:7" ht="19.75" customHeight="1">
      <c r="A35" s="18" t="s">
        <v>270</v>
      </c>
      <c r="B35" s="8" t="s">
        <v>271</v>
      </c>
      <c r="C35" s="20"/>
      <c r="D35" s="21" cm="1" t="str">
        <f t="array" ref="D35">IFERROR(IF('S2-2 Clone Machine'!$C$35&amp;""="","",IF('S2-2 Clone Machine'!$C$35&amp;""=Key!$C$41&amp;"","✔ CLEAR","✘ TRY AGAIN")),"✘ TRY AGAIN")</f>
        <v/>
      </c>
      <c r="E35" s="22"/>
      <c r="F35" s="23" cm="1" t="str">
        <f t="array" ref="F35">IF(E35="Show hint",Key!$B$41,"")</f>
        <v/>
      </c>
      <c r="G35" s="24" cm="1">
        <f t="array" ref="G35">IF(LEFT(D35,1)="✔",IF(E35="Show hint",5,10),0)</f>
        <v>0</v>
      </c>
    </row>
    <row r="36" spans="1:7" ht="19.75" customHeight="1">
      <c r="A36" s="18" t="s">
        <v>274</v>
      </c>
      <c r="B36" s="8" t="s">
        <v>275</v>
      </c>
      <c r="C36" s="20"/>
      <c r="D36" s="21" cm="1" t="str">
        <f t="array" ref="D36">IFERROR(IF('S2-2 Clone Machine'!$C$36&amp;""="","",IF('S2-2 Clone Machine'!$C$36&amp;""=Key!$C$42&amp;"","✔ CLEAR","✘ TRY AGAIN")),"✘ TRY AGAIN")</f>
        <v/>
      </c>
      <c r="E36" s="22"/>
      <c r="F36" s="23" cm="1" t="str">
        <f t="array" ref="F36">IF(E36="Show hint",Key!$B$42,"")</f>
        <v/>
      </c>
      <c r="G36" s="24" cm="1">
        <f t="array" ref="G36">IF(LEFT(D36,1)="✔",IF(E36="Show hint",5,10),0)</f>
        <v>0</v>
      </c>
    </row>
    <row r="38" spans="1:7" ht="22" customHeight="1">
      <c r="A38" s="4" t="s">
        <v>135</v>
      </c>
      <c r="B38" s="4"/>
      <c r="C38" s="4"/>
      <c r="D38" s="4"/>
      <c r="E38" s="4"/>
      <c r="F38" s="4"/>
      <c r="G38" s="4"/>
    </row>
    <row r="39" spans="1:7">
      <c r="B39" s="11" t="s">
        <v>276</v>
      </c>
    </row>
    <row r="40" spans="1:7">
      <c r="A40" s="6" t="s">
        <v>14</v>
      </c>
      <c r="B40" s="6" t="s">
        <v>33</v>
      </c>
      <c r="C40" s="6" t="s">
        <v>34</v>
      </c>
      <c r="D40" s="6" t="s">
        <v>35</v>
      </c>
      <c r="E40" s="6" t="s">
        <v>36</v>
      </c>
      <c r="F40" s="6" t="s">
        <v>1</v>
      </c>
      <c r="G40" s="6" t="s">
        <v>37</v>
      </c>
    </row>
    <row r="41" spans="1:7" ht="19.75" customHeight="1">
      <c r="A41" s="18" t="s">
        <v>139</v>
      </c>
      <c r="B41" s="8" t="s">
        <v>254</v>
      </c>
      <c r="C41" s="20"/>
      <c r="D41" s="21" cm="1" t="str">
        <f t="array" ref="D41">IFERROR(_xlfn.LET(_xlpm.a,'S2-2 Clone Machine'!$C$41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$43:$E$43),"✔ CLEAR","✘ TRY AGAIN"))),"✘ TRY AGAIN")</f>
        <v/>
      </c>
      <c r="E41" s="22"/>
      <c r="F41" s="23" cm="1" t="str">
        <f t="array" ref="F41">IF(E41="Show hint",Key!$B$43,"")</f>
        <v/>
      </c>
      <c r="G41" s="24" cm="1">
        <f t="array" ref="G41">IF(LEFT(D41,1)="✔",IF(E41="Show hint",5,10),0)</f>
        <v>0</v>
      </c>
    </row>
    <row r="42" spans="1:7" ht="19.75" customHeight="1">
      <c r="A42" s="18" t="s">
        <v>142</v>
      </c>
      <c r="B42" s="8" t="s">
        <v>258</v>
      </c>
      <c r="C42" s="20"/>
      <c r="D42" s="21" cm="1" t="str">
        <f t="array" ref="D42">IFERROR(_xlfn.LET(_xlpm.a,'S2-2 Clone Machine'!$C$42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$44:$E$44),"✔ CLEAR","✘ TRY AGAIN"))),"✘ TRY AGAIN")</f>
        <v/>
      </c>
      <c r="E42" s="22"/>
      <c r="F42" s="23" cm="1" t="str">
        <f t="array" ref="F42">IF(E42="Show hint",Key!$B$44,"")</f>
        <v/>
      </c>
      <c r="G42" s="24" cm="1">
        <f t="array" ref="G42">IF(LEFT(D42,1)="✔",IF(E42="Show hint",5,10),0)</f>
        <v>0</v>
      </c>
    </row>
    <row r="43" spans="1:7" ht="19.75" customHeight="1">
      <c r="A43" s="18" t="s">
        <v>145</v>
      </c>
      <c r="B43" s="8" t="s">
        <v>261</v>
      </c>
      <c r="C43" s="20"/>
      <c r="D43" s="21" cm="1" t="str">
        <f t="array" ref="D43">IFERROR(_xlfn.LET(_xlpm.a,'S2-2 Clone Machine'!$C$43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$45:$E$45),"✔ CLEAR","✘ TRY AGAIN"))),"✘ TRY AGAIN")</f>
        <v/>
      </c>
      <c r="E43" s="22"/>
      <c r="F43" s="23" cm="1" t="str">
        <f t="array" ref="F43">IF(E43="Show hint",Key!$B$45,"")</f>
        <v/>
      </c>
      <c r="G43" s="24" cm="1">
        <f t="array" ref="G43">IF(LEFT(D43,1)="✔",IF(E43="Show hint",5,10),0)</f>
        <v>0</v>
      </c>
    </row>
    <row r="44" spans="1:7" ht="19.75" customHeight="1">
      <c r="A44" s="18" t="s">
        <v>148</v>
      </c>
      <c r="B44" s="8" t="s">
        <v>264</v>
      </c>
      <c r="C44" s="20"/>
      <c r="D44" s="21" cm="1" t="str">
        <f t="array" ref="D44">IFERROR(_xlfn.LET(_xlpm.a,'S2-2 Clone Machine'!$C$44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$46:$F$46),"✔ CLEAR","✘ TRY AGAIN"))),"✘ TRY AGAIN")</f>
        <v/>
      </c>
      <c r="E44" s="22"/>
      <c r="F44" s="23" cm="1" t="str">
        <f t="array" ref="F44">IF(E44="Show hint",Key!$B$46,"")</f>
        <v/>
      </c>
      <c r="G44" s="24" cm="1">
        <f t="array" ref="G44">IF(LEFT(D44,1)="✔",IF(E44="Show hint",5,10),0)</f>
        <v>0</v>
      </c>
    </row>
    <row r="45" spans="1:7" ht="35.5" customHeight="1">
      <c r="A45" s="18" t="s">
        <v>151</v>
      </c>
      <c r="B45" s="8" t="s">
        <v>267</v>
      </c>
      <c r="C45" s="20"/>
      <c r="D45" s="21" cm="1" t="str">
        <f t="array" ref="D45">IFERROR(_xlfn.LET(_xlpm.a,'S2-2 Clone Machine'!$C$45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$47:$E$47),"✔ CLEAR","✘ TRY AGAIN"))),"✘ TRY AGAIN")</f>
        <v/>
      </c>
      <c r="E45" s="22"/>
      <c r="F45" s="23" cm="1" t="str">
        <f t="array" ref="F45">IF(E45="Show hint",Key!$B$47,"")</f>
        <v/>
      </c>
      <c r="G45" s="24" cm="1">
        <f t="array" ref="G45">IF(LEFT(D45,1)="✔",IF(E45="Show hint",5,10),0)</f>
        <v>0</v>
      </c>
    </row>
    <row r="46" spans="1:7" ht="19.75" customHeight="1">
      <c r="A46" s="18" t="s">
        <v>154</v>
      </c>
      <c r="B46" s="8" t="s">
        <v>271</v>
      </c>
      <c r="C46" s="20"/>
      <c r="D46" s="21" cm="1" t="str">
        <f t="array" ref="D46">IFERROR(_xlfn.LET(_xlpm.a,'S2-2 Clone Machine'!$C$46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$48:$E$48),"✔ CLEAR","✘ TRY AGAIN"))),"✘ TRY AGAIN")</f>
        <v/>
      </c>
      <c r="E46" s="22"/>
      <c r="F46" s="23" cm="1" t="str">
        <f t="array" ref="F46">IF(E46="Show hint",Key!$B$48,"")</f>
        <v/>
      </c>
      <c r="G46" s="24" cm="1">
        <f t="array" ref="G46">IF(LEFT(D46,1)="✔",IF(E46="Show hint",5,10),0)</f>
        <v>0</v>
      </c>
    </row>
    <row r="47" spans="1:7" ht="19.75" customHeight="1">
      <c r="A47" s="18" t="s">
        <v>159</v>
      </c>
      <c r="B47" s="8" t="s">
        <v>275</v>
      </c>
      <c r="C47" s="20"/>
      <c r="D47" s="21" cm="1" t="str">
        <f t="array" ref="D47">IFERROR(_xlfn.LET(_xlpm.a,'S2-2 Clone Machine'!$C$47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$49:$E$49),"✔ CLEAR","✘ TRY AGAIN"))),"✘ TRY AGAIN")</f>
        <v/>
      </c>
      <c r="E47" s="22"/>
      <c r="F47" s="23" cm="1" t="str">
        <f t="array" ref="F47">IF(E47="Show hint",Key!$B$49,"")</f>
        <v/>
      </c>
      <c r="G47" s="24" cm="1">
        <f t="array" ref="G47">IF(LEFT(D47,1)="✔",IF(E47="Show hint",5,10),0)</f>
        <v>0</v>
      </c>
    </row>
    <row r="48" spans="1:7" ht="35.5" customHeight="1">
      <c r="A48" s="18" t="s">
        <v>164</v>
      </c>
      <c r="B48" s="8" t="s">
        <v>294</v>
      </c>
      <c r="C48" s="11" t="s">
        <v>295</v>
      </c>
      <c r="D48" s="21" cm="1" t="str">
        <f t="array" ref="D48">IF(COUNTA('S2-2 Arena'!$D$6,'S2-2 Arena'!$E$6,'S2-2 Arena'!$F$6,'S2-2 Arena'!$G$6,'S2-2 Arena'!$H$6)=0,"",IF(OR(NOT(_xlfn.ISFORMULA('S2-2 Arena'!$D$6)),NOT(_xlfn.ISFORMULA('S2-2 Arena'!$E$6)),NOT(_xlfn.ISFORMULA('S2-2 Arena'!$F$6)),NOT(_xlfn.ISFORMULA('S2-2 Arena'!$G$6)),NOT(_xlfn.ISFORMULA('S2-2 Arena'!$H$6))),"✘ Some cells aren't formulas yet",IF(OR(ISERROR('S2-2 Arena'!$D$6),ISERROR('S2-2 Arena'!$E$6),ISERROR('S2-2 Arena'!$F$6),ISERROR('S2-2 Arena'!$G$6),ISERROR('S2-2 Arena'!$H$6)),"✘ Some cells show an error",IF(NOT(AND(IFERROR(AND(ISNUMBER('S2-2 Arena'!$D$6),ABS('S2-2 Arena'!$D$6-Key!$E$50)&lt;=1E-9*MAX(1,ABS(Key!$E$50))),FALSE),IFERROR(AND(ISNUMBER('S2-2 Arena'!$E$6),ABS('S2-2 Arena'!$E$6-Key!$F$50)&lt;=1E-9*MAX(1,ABS(Key!$F$50))),FALSE),IFERROR(AND(ISNUMBER('S2-2 Arena'!$F$6),ABS('S2-2 Arena'!$F$6-Key!$G$50)&lt;=1E-9*MAX(1,ABS(Key!$G$50))),FALSE),IFERROR(AND(ISNUMBER('S2-2 Arena'!$G$6),ABS('S2-2 Arena'!$G$6-Key!$H$50)&lt;=1E-9*MAX(1,ABS(Key!$H$50))),FALSE),IFERROR(AND(ISNUMBER('S2-2 Arena'!$H$6),ABS('S2-2 Arena'!$H$6-Key!$I$50)&lt;=1E-9*MAX(1,ABS(Key!$I$50))),FALSE))),"✘ TRY AGAIN",IF(AND(OR(ISNUMBER(FIND({"=","(",",","+","-","*","/","&amp;"," ","&lt;","&gt;",":","@","^"}&amp;"SUM"&amp;"(",UPPER(_xlfn.FORMULATEXT('S2-2 Arena'!$D$6)))))),"✔ CLEAR","✘ CLOSE · right value, but use SUM")))))</f>
        <v/>
      </c>
      <c r="E48" s="22"/>
      <c r="F48" s="23" cm="1" t="str">
        <f t="array" ref="F48">IF(E48="Show hint",Key!$B$50,"")</f>
        <v/>
      </c>
      <c r="G48" s="24" cm="1">
        <f t="array" ref="G48">IF(LEFT(D48,1)="✔",IF(E48="Show hint",5,10),0)</f>
        <v>0</v>
      </c>
    </row>
    <row r="49" spans="1:7" ht="67" customHeight="1">
      <c r="A49" s="18" t="s">
        <v>169</v>
      </c>
      <c r="B49" s="8" t="s">
        <v>298</v>
      </c>
      <c r="C49" s="11" t="s">
        <v>299</v>
      </c>
      <c r="D49" s="21" cm="1" t="str">
        <f t="array" ref="D49">IF(IFERROR(AND(NOT(_xlfn.ISFORMULA('S2-2 Arena'!$C$13)),'S2-2 Arena'!$C$13=980,NOT(_xlfn.ISFORMULA('S2-2 Arena'!$D$13)),'S2-2 Arena'!$D$13=1020,NOT(_xlfn.ISFORMULA('S2-2 Arena'!$E$13)),'S2-2 Arena'!$E$13=1270,NOT(_xlfn.ISFORMULA('S2-2 Arena'!$F$13)),'S2-2 Arena'!$F$13=1030,NOT(_xlfn.ISFORMULA('S2-2 Arena'!$G$13)),'S2-2 Arena'!$G$13=1530,NOT(_xlfn.ISFORMULA('S2-2 Arena'!$H$13)),'S2-2 Arena'!$H$13=1035),FALSE),"✔ CLEAR","· not yet")</f>
        <v>· not yet</v>
      </c>
      <c r="E49" s="22"/>
      <c r="F49" s="23" cm="1" t="str">
        <f t="array" ref="F49">IF(E49="Show hint",Key!$B$51,"")</f>
        <v/>
      </c>
      <c r="G49" s="24" cm="1">
        <f t="array" ref="G49">IF(LEFT(D49,1)="✔",IF(E49="Show hint",5,10),0)</f>
        <v>0</v>
      </c>
    </row>
    <row r="50" spans="1:7" ht="51.25" customHeight="1">
      <c r="A50" s="18" t="s">
        <v>302</v>
      </c>
      <c r="B50" s="8" t="s">
        <v>303</v>
      </c>
      <c r="C50" s="11" t="s">
        <v>304</v>
      </c>
      <c r="D50" s="21" cm="1" t="str">
        <f t="array" ref="D50">IF(IFERROR(AND(INDIRECT("'S2-2 Arena'!B21")="Zelda",INDIRECT("'S2-2 Arena'!C21")=980,INDIRECT("'S2-2 Arena'!D21")=1,COUNTA(INDIRECT("'S2-2 Arena'!B22:D22"))=0),FALSE),"✔ CLEAR","· not yet")</f>
        <v>· not yet</v>
      </c>
      <c r="E50" s="22"/>
      <c r="F50" s="23" cm="1" t="str">
        <f t="array" ref="F50">IF(E50="Show hint",Key!$B$52,"")</f>
        <v/>
      </c>
      <c r="G50" s="24" cm="1">
        <f t="array" ref="G50">IF(LEFT(D50,1)="✔",IF(E50="Show hint",5,10),0)</f>
        <v>0</v>
      </c>
    </row>
  </sheetData>
  <sheetProtection sheet="1" objects="1" scenarios="1" formatColumns="0" formatRows="0"/>
  <conditionalFormatting sqref="D17:D50">
    <cfRule type="expression" dxfId="0" priority="1">
      <formula>LEFT($D17,1)="✔"</formula>
    </cfRule>
    <cfRule type="expression" dxfId="1" priority="2">
      <formula>LEFT($D17,1)="✘"</formula>
    </cfRule>
    <cfRule type="expression" dxfId="2" priority="3">
      <formula>$D17="LOCKED"</formula>
    </cfRule>
  </conditionalFormatting>
  <dataValidations count="51"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4"/>
    <dataValidation type="list" allowBlank="1" showInputMessage="1" showErrorMessage="1" promptTitle="Need a hint?" prompt="Pick 'Show hint' (Alt+Down). This question then gives 5 XP instead of 10." sqref="E2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5"/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6"/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Pick an answer" prompt="Press Alt+Down to open the list, choose with the arrow keys, then press Enter." sqref="C30">
      <formula1>Key!$E$36:$H$36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Pick an answer" prompt="Press Alt+Down to open the list, choose with the arrow keys, then press Enter." sqref="C31">
      <formula1>Key!$E$37:$H$37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Pick an answer" prompt="Press Alt+Down to open the list, choose with the arrow keys, then press Enter." sqref="C32">
      <formula1>Key!$E$38:$H$38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Pick an answer" prompt="Press Alt+Down to open the list, choose with the arrow keys, then press Enter." sqref="C33">
      <formula1>Key!$E$39:$H$39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type="list" allowBlank="1" showInputMessage="1" showErrorMessage="1" promptTitle="Pick an answer" prompt="Press Alt+Down to open the list, choose with the arrow keys, then press Enter." sqref="C34">
      <formula1>Key!$E$40:$H$40</formula1>
    </dataValidation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type="list" allowBlank="1" showInputMessage="1" showErrorMessage="1" promptTitle="Pick an answer" prompt="Press Alt+Down to open the list, choose with the arrow keys, then press Enter." sqref="C35">
      <formula1>Key!$E$41:$H$41</formula1>
    </dataValidation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type="list" allowBlank="1" showInputMessage="1" showErrorMessage="1" promptTitle="Pick an answer" prompt="Press Alt+Down to open the list, choose with the arrow keys, then press Enter." sqref="C36">
      <formula1>Key!$E$42:$H$42</formula1>
    </dataValidation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1"/>
    <dataValidation type="list" allowBlank="1" showInputMessage="1" showErrorMessage="1" promptTitle="Need a hint?" prompt="Pick 'Show hint' (Alt+Down). This question then gives 5 XP instead of 10." sqref="E4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2"/>
    <dataValidation type="list" allowBlank="1" showInputMessage="1" showErrorMessage="1" promptTitle="Need a hint?" prompt="Pick 'Show hint' (Alt+Down). This question then gives 5 XP instead of 10." sqref="E4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3"/>
    <dataValidation type="list" allowBlank="1" showInputMessage="1" showErrorMessage="1" promptTitle="Need a hint?" prompt="Pick 'Show hint' (Alt+Down). This question then gives 5 XP instead of 10." sqref="E4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4"/>
    <dataValidation type="list" allowBlank="1" showInputMessage="1" showErrorMessage="1" promptTitle="Need a hint?" prompt="Pick 'Show hint' (Alt+Down). This question then gives 5 XP instead of 10." sqref="E4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5"/>
    <dataValidation type="list" allowBlank="1" showInputMessage="1" showErrorMessage="1" promptTitle="Need a hint?" prompt="Pick 'Show hint' (Alt+Down). This question then gives 5 XP instead of 10." sqref="E4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6"/>
    <dataValidation type="list" allowBlank="1" showInputMessage="1" showErrorMessage="1" promptTitle="Need a hint?" prompt="Pick 'Show hint' (Alt+Down). This question then gives 5 XP instead of 10." sqref="E4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7"/>
    <dataValidation type="list" allowBlank="1" showInputMessage="1" showErrorMessage="1" promptTitle="Need a hint?" prompt="Pick 'Show hint' (Alt+Down). This question then gives 5 XP instead of 10." sqref="E47">
      <formula1>"Show hint"</formula1>
    </dataValidation>
    <dataValidation type="list" allowBlank="1" showInputMessage="1" showErrorMessage="1" promptTitle="Need a hint?" prompt="Pick 'Show hint' (Alt+Down). This question then gives 5 XP instead of 10." sqref="E48">
      <formula1>"Show hint"</formula1>
    </dataValidation>
    <dataValidation type="list" allowBlank="1" showInputMessage="1" showErrorMessage="1" promptTitle="Need a hint?" prompt="Pick 'Show hint' (Alt+Down). This question then gives 5 XP instead of 10." sqref="E49">
      <formula1>"Show hint"</formula1>
    </dataValidation>
    <dataValidation type="list" allowBlank="1" showInputMessage="1" showErrorMessage="1" promptTitle="Need a hint?" prompt="Pick 'Show hint' (Alt+Down). This question then gives 5 XP instead of 10." sqref="E50">
      <formula1>"Show hint"</formula1>
    </dataValidation>
  </dataValidations>
  <hyperlinks>
    <hyperlink ref="B39" location="'S2-2 Arena'!A1" display="▶ Open S2-2 Arena (or press Ctrl+PgDn)"/>
    <hyperlink ref="C48" location="'S2-2 Arena'!D6" tooltip="Go to S2-2 Arena, cell D6" display="▶ ARENA C8 (cell D6)"/>
    <hyperlink ref="C49" location="'S2-2 Arena'!C13" tooltip="Go to S2-2 Arena, cell C13" display="▶ ARENA C9 (cell C13)"/>
    <hyperlink ref="C50" location="'S2-2 Arena'!B21" tooltip="Go to S2-2 Arena, cell B21" display="▶ ARENA C10 (cell B21)"/>
  </hyperlink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cols>
    <col min="1" max="1" width="14.7109375" customWidth="1"/>
    <col min="2" max="26" width="13.7109375" customWidth="1"/>
  </cols>
  <sheetData>
    <row r="1" spans="1:8">
      <c r="A1" s="1" t="s">
        <v>174</v>
      </c>
    </row>
    <row r="2" spans="1:8">
      <c r="A2" s="3" t="s">
        <v>5</v>
      </c>
    </row>
    <row r="3" spans="1:8">
      <c r="A3" s="25" t="s">
        <v>6</v>
      </c>
      <c r="B3" s="26" t="s">
        <v>175</v>
      </c>
      <c r="D3" s="11" t="s">
        <v>176</v>
      </c>
    </row>
    <row r="5" spans="1:8">
      <c r="B5" s="27" t="s">
        <v>177</v>
      </c>
      <c r="C5" s="27" t="s">
        <v>178</v>
      </c>
      <c r="D5" s="27" t="s">
        <v>179</v>
      </c>
      <c r="E5" s="27" t="s">
        <v>180</v>
      </c>
      <c r="F5" s="27" t="s">
        <v>181</v>
      </c>
      <c r="G5" s="27" t="s">
        <v>182</v>
      </c>
      <c r="H5" s="27" t="s">
        <v>183</v>
      </c>
    </row>
    <row r="6" spans="1:8">
      <c r="B6" s="7" t="s">
        <v>184</v>
      </c>
      <c r="C6" s="5" cm="1">
        <f t="array" ref="C6">SUM(C7:C10)</f>
        <v>980</v>
      </c>
      <c r="D6" s="28"/>
      <c r="E6" s="28"/>
      <c r="F6" s="28"/>
      <c r="G6" s="28"/>
      <c r="H6" s="28"/>
    </row>
    <row r="7" spans="1:8">
      <c r="B7" s="5" t="s">
        <v>185</v>
      </c>
      <c r="C7" s="5">
        <v>120</v>
      </c>
      <c r="D7" s="5">
        <v>130</v>
      </c>
      <c r="E7" s="5">
        <v>125</v>
      </c>
      <c r="F7" s="5">
        <v>140</v>
      </c>
      <c r="G7" s="5">
        <v>150</v>
      </c>
      <c r="H7" s="5">
        <v>135</v>
      </c>
    </row>
    <row r="8" spans="1:8">
      <c r="B8" s="5" t="s">
        <v>186</v>
      </c>
      <c r="C8" s="5">
        <v>800</v>
      </c>
      <c r="D8" s="5">
        <v>800</v>
      </c>
      <c r="E8" s="5">
        <v>800</v>
      </c>
      <c r="F8" s="5">
        <v>820</v>
      </c>
      <c r="G8" s="5">
        <v>820</v>
      </c>
      <c r="H8" s="5">
        <v>820</v>
      </c>
    </row>
    <row r="9" spans="1:8">
      <c r="B9" s="5" t="s">
        <v>187</v>
      </c>
      <c r="C9" s="5">
        <v>60</v>
      </c>
      <c r="D9" s="5">
        <v>90</v>
      </c>
      <c r="E9" s="5">
        <v>45</v>
      </c>
      <c r="F9" s="5">
        <v>70</v>
      </c>
      <c r="G9" s="5">
        <v>110</v>
      </c>
      <c r="H9" s="5">
        <v>80</v>
      </c>
    </row>
    <row r="10" spans="1:8">
      <c r="B10" s="5" t="s">
        <v>188</v>
      </c>
      <c r="C10" s="5">
        <v>0</v>
      </c>
      <c r="D10" s="5">
        <v>0</v>
      </c>
      <c r="E10" s="5">
        <v>300</v>
      </c>
      <c r="F10" s="5">
        <v>0</v>
      </c>
      <c r="G10" s="5">
        <v>450</v>
      </c>
      <c r="H10" s="5">
        <v>0</v>
      </c>
    </row>
    <row r="13" spans="1:8">
      <c r="B13" s="7" t="s">
        <v>189</v>
      </c>
      <c r="C13" s="28"/>
      <c r="D13" s="28"/>
      <c r="E13" s="28"/>
      <c r="F13" s="28"/>
      <c r="G13" s="28"/>
      <c r="H13" s="28"/>
    </row>
    <row r="15" spans="1:8">
      <c r="B15" s="7" t="s">
        <v>190</v>
      </c>
      <c r="C15" s="5" cm="1">
        <f t="array" ref="C15">SUM(C7:C10)</f>
        <v>980</v>
      </c>
      <c r="D15" s="5" cm="1">
        <f t="array" ref="D15">SUM(D7:D10)</f>
        <v>1020</v>
      </c>
      <c r="E15" s="5" cm="1">
        <f t="array" ref="E15">SUM(E7:E10)</f>
        <v>1270</v>
      </c>
      <c r="F15" s="5" cm="1">
        <f t="array" ref="F15">SUM(F7:F10)</f>
        <v>1030</v>
      </c>
      <c r="G15" s="5" cm="1">
        <f t="array" ref="G15">SUM(G7:G10)</f>
        <v>1530</v>
      </c>
      <c r="H15" s="5" cm="1">
        <f t="array" ref="H15">SUM(H7:H10)</f>
        <v>1035</v>
      </c>
    </row>
    <row r="20" spans="2:4">
      <c r="B20" s="27" t="s">
        <v>191</v>
      </c>
      <c r="C20" s="27" t="s">
        <v>192</v>
      </c>
      <c r="D20" s="27" t="s">
        <v>193</v>
      </c>
    </row>
    <row r="22" spans="2:4">
      <c r="B22" s="5" t="s">
        <v>194</v>
      </c>
      <c r="C22" s="5">
        <v>980</v>
      </c>
      <c r="D22" s="5">
        <v>1</v>
      </c>
    </row>
  </sheetData>
  <hyperlinks>
    <hyperlink ref="D3" location="'S2-2 Clone Machine'!A1" display="◀ Back to S2-2 Clone Machin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F6FDE"/>
    <pageSetUpPr fitToPage="1"/>
  </sheetPr>
  <dimension ref="A1:G4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397</v>
      </c>
      <c r="B1" s="2"/>
      <c r="C1" s="2"/>
      <c r="D1" s="2"/>
      <c r="E1" s="2"/>
      <c r="F1" s="2"/>
      <c r="G1" s="2"/>
    </row>
    <row r="2" spans="1:7">
      <c r="A2" s="3" t="s">
        <v>398</v>
      </c>
    </row>
    <row r="3" spans="1:7" ht="26" customHeight="1">
      <c r="A3" s="14" cm="1" t="str">
        <f t="array" ref="A3">"SCORE "&amp;TEXT(SUM($G$14:$G$42),"0000")&amp;" / 0220"</f>
        <v>SCORE 0000 / 0220</v>
      </c>
      <c r="C3" s="15" cm="1" t="str">
        <f t="array" ref="C3">IF(SUM($G$14:$G$42)&gt;=220,"★★★",IF(SUM($G$14:$G$42)&gt;=220*0.8,"★★☆",IF(SUM($G$14:$G$42)&gt;=220*0.5,"★☆☆","☆☆☆")))</f>
        <v>☆☆☆</v>
      </c>
      <c r="D3" s="16" cm="1" t="str">
        <f t="array" ref="D3">REPT("█",ROUND(10*SUM($G$14:$G$42)/220,0))&amp;REPT("░",10-ROUND(10*SUM($G$14:$G$42)/220,0))&amp;"  "&amp;TEXT(SUM($G$14:$G$42)/220,"0%")</f>
        <v>░░░░░░░░░░  0%</v>
      </c>
      <c r="F3" s="17" cm="1" t="str">
        <f t="array" ref="F3">IF(SUM($G$14:$G$42)&gt;=220*0.5,"STAGE CLEAR! ▶ Next: Boss","")</f>
        <v/>
      </c>
    </row>
    <row r="5" spans="1:7" ht="22" customHeight="1">
      <c r="A5" s="4" t="s">
        <v>13</v>
      </c>
      <c r="B5" s="4"/>
      <c r="C5" s="4"/>
      <c r="D5" s="4"/>
      <c r="E5" s="4"/>
      <c r="F5" s="4"/>
      <c r="G5" s="4"/>
    </row>
    <row r="6" spans="1:7">
      <c r="A6" s="6" t="s">
        <v>14</v>
      </c>
      <c r="B6" s="6" t="s">
        <v>15</v>
      </c>
      <c r="C6" s="6" t="s">
        <v>16</v>
      </c>
      <c r="D6" s="6"/>
      <c r="E6" s="6"/>
      <c r="F6" s="6"/>
      <c r="G6" s="6"/>
    </row>
    <row r="7" spans="1:7" ht="35.5" customHeight="1">
      <c r="A7" s="18" t="s">
        <v>17</v>
      </c>
      <c r="B7" s="8" t="s">
        <v>323</v>
      </c>
      <c r="C7" s="19" t="s">
        <v>127</v>
      </c>
    </row>
    <row r="8" spans="1:7" ht="51.25" customHeight="1">
      <c r="A8" s="18" t="s">
        <v>20</v>
      </c>
      <c r="B8" s="8" t="s">
        <v>324</v>
      </c>
      <c r="C8" s="19" t="s">
        <v>117</v>
      </c>
    </row>
    <row r="9" spans="1:7" ht="67" customHeight="1">
      <c r="A9" s="18" t="s">
        <v>23</v>
      </c>
      <c r="B9" s="8" t="s">
        <v>325</v>
      </c>
      <c r="C9" s="19" t="s">
        <v>118</v>
      </c>
    </row>
    <row r="10" spans="1:7" ht="35.5" customHeight="1">
      <c r="A10" s="18" t="s">
        <v>26</v>
      </c>
      <c r="B10" s="8" t="s">
        <v>326</v>
      </c>
      <c r="C10" s="19" t="s">
        <v>257</v>
      </c>
    </row>
    <row r="12" spans="1:7" ht="22" customHeight="1">
      <c r="A12" s="4" t="s">
        <v>32</v>
      </c>
      <c r="B12" s="4"/>
      <c r="C12" s="4"/>
      <c r="D12" s="4"/>
      <c r="E12" s="4"/>
      <c r="F12" s="4"/>
      <c r="G12" s="4"/>
    </row>
    <row r="13" spans="1:7">
      <c r="A13" s="6" t="s">
        <v>14</v>
      </c>
      <c r="B13" s="6" t="s">
        <v>33</v>
      </c>
      <c r="C13" s="6" t="s">
        <v>34</v>
      </c>
      <c r="D13" s="6" t="s">
        <v>35</v>
      </c>
      <c r="E13" s="6" t="s">
        <v>36</v>
      </c>
      <c r="F13" s="6" t="s">
        <v>1</v>
      </c>
      <c r="G13" s="6" t="s">
        <v>37</v>
      </c>
    </row>
    <row r="14" spans="1:7" ht="35.5" customHeight="1">
      <c r="A14" s="18" t="s">
        <v>46</v>
      </c>
      <c r="B14" s="8" t="s">
        <v>328</v>
      </c>
      <c r="C14" s="20"/>
      <c r="D14" s="21" cm="1" t="str">
        <f t="array" ref="D14">IFERROR(_xlfn.LET(_xlpm.a,'S2-3 Stamps &amp; Smart Fill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$53:$E$53),"✔ CLEAR","✘ TRY AGAIN"))),"✘ TRY AGAIN")</f>
        <v/>
      </c>
      <c r="E14" s="22"/>
      <c r="F14" s="23" cm="1" t="str">
        <f t="array" ref="F14">IF(E14="Show hint",Key!$B$53,"")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56</v>
      </c>
      <c r="B15" s="8" t="s">
        <v>330</v>
      </c>
      <c r="C15" s="20"/>
      <c r="D15" s="21" cm="1" t="str">
        <f t="array" ref="D15">IFERROR(_xlfn.LET(_xlpm.a,'S2-3 Stamps &amp; Smart Fill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$54:$E$54),"✔ CLEAR","✘ TRY AGAIN"))),"✘ TRY AGAIN")</f>
        <v/>
      </c>
      <c r="E15" s="22"/>
      <c r="F15" s="23" cm="1" t="str">
        <f t="array" ref="F15">IF(E15="Show hint",Key!$B$54,"")</f>
        <v/>
      </c>
      <c r="G15" s="24" cm="1">
        <f t="array" ref="G15">IF(LEFT(D15,1)="✔",IF(E15="Show hint",5,10),0)</f>
        <v>0</v>
      </c>
    </row>
    <row r="16" spans="1:7" ht="19.75" customHeight="1">
      <c r="A16" s="18" t="s">
        <v>66</v>
      </c>
      <c r="B16" s="8" t="s">
        <v>332</v>
      </c>
      <c r="C16" s="20"/>
      <c r="D16" s="21" cm="1" t="str">
        <f t="array" ref="D16">IFERROR(_xlfn.LET(_xlpm.a,'S2-3 Stamps &amp; Smart Fill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$55:$E$55),"✔ CLEAR","✘ TRY AGAIN"))),"✘ TRY AGAIN")</f>
        <v/>
      </c>
      <c r="E16" s="22"/>
      <c r="F16" s="23" cm="1" t="str">
        <f t="array" ref="F16">IF(E16="Show hint",Key!$B$55,"")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71</v>
      </c>
      <c r="B17" s="8" t="s">
        <v>334</v>
      </c>
      <c r="C17" s="20"/>
      <c r="D17" s="21" cm="1" t="str">
        <f t="array" ref="D17">IFERROR(_xlfn.LET(_xlpm.a,'S2-3 Stamps &amp; Smart Fill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$56:$F$56),"✔ CLEAR","✘ TRY AGAIN"))),"✘ TRY AGAIN")</f>
        <v/>
      </c>
      <c r="E17" s="22"/>
      <c r="F17" s="23" cm="1" t="str">
        <f t="array" ref="F17">IF(E17="Show hint",Key!$B$56,"")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76</v>
      </c>
      <c r="B18" s="8" t="s">
        <v>336</v>
      </c>
      <c r="C18" s="20"/>
      <c r="D18" s="21" cm="1" t="str">
        <f t="array" ref="D18">IFERROR(_xlfn.LET(_xlpm.a,'S2-3 Stamps &amp; Smart Fill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$57:$E$57),"✔ CLEAR","✘ TRY AGAIN"))),"✘ TRY AGAIN")</f>
        <v/>
      </c>
      <c r="E18" s="22"/>
      <c r="F18" s="23" cm="1" t="str">
        <f t="array" ref="F18">IF(E18="Show hint",Key!$B$57,"")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81</v>
      </c>
      <c r="B19" s="8" t="s">
        <v>338</v>
      </c>
      <c r="C19" s="20"/>
      <c r="D19" s="21" cm="1" t="str">
        <f t="array" ref="D19">IFERROR(_xlfn.LET(_xlpm.a,'S2-3 Stamps &amp; Smart Fill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$58:$E$58),"✔ CLEAR","✘ TRY AGAIN"))),"✘ TRY AGAIN")</f>
        <v/>
      </c>
      <c r="E19" s="22"/>
      <c r="F19" s="23" cm="1" t="str">
        <f t="array" ref="F19">IF(E19="Show hint",Key!$B$58,"")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86</v>
      </c>
      <c r="B20" s="8" t="s">
        <v>340</v>
      </c>
      <c r="C20" s="20"/>
      <c r="D20" s="21" cm="1" t="str">
        <f t="array" ref="D20">IFERROR(_xlfn.LET(_xlpm.a,'S2-3 Stamps &amp; Smart Fill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$59:$E$59),"✔ CLEAR","✘ TRY AGAIN"))),"✘ TRY AGAIN")</f>
        <v/>
      </c>
      <c r="E20" s="22"/>
      <c r="F20" s="23" cm="1" t="str">
        <f t="array" ref="F20">IF(E20="Show hint",Key!$B$59,"")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91</v>
      </c>
      <c r="B21" s="8" t="s">
        <v>347</v>
      </c>
      <c r="C21" s="20"/>
      <c r="D21" s="21" cm="1" t="str">
        <f t="array" ref="D21">IFERROR(_xlfn.LET(_xlpm.a,'S2-3 Stamps &amp; Smart Fill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$60:$H$60),"✔ CLEAR","✘ TRY AGAIN"))),"✘ TRY AGAIN")</f>
        <v/>
      </c>
      <c r="E21" s="22"/>
      <c r="F21" s="23" cm="1" t="str">
        <f t="array" ref="F21">IF(E21="Show hint",Key!$B$60,"")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100</v>
      </c>
      <c r="B22" s="8" t="s">
        <v>351</v>
      </c>
      <c r="C22" s="20"/>
      <c r="D22" s="21" cm="1" t="str">
        <f t="array" ref="D22">IFERROR(_xlfn.LET(_xlpm.a,'S2-3 Stamps &amp; Smart Fill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$61:$E$61),"✔ CLEAR","✘ TRY AGAIN"))),"✘ TRY AGAIN")</f>
        <v/>
      </c>
      <c r="E22" s="22"/>
      <c r="F22" s="23" cm="1" t="str">
        <f t="array" ref="F22">IF(E22="Show hint",Key!$B$61,"")</f>
        <v/>
      </c>
      <c r="G22" s="24" cm="1">
        <f t="array" ref="G22">IF(LEFT(D22,1)="✔",IF(E22="Show hint",5,10),0)</f>
        <v>0</v>
      </c>
    </row>
    <row r="23" spans="1:7" ht="51.25" customHeight="1">
      <c r="A23" s="18" t="s">
        <v>105</v>
      </c>
      <c r="B23" s="8" t="s">
        <v>353</v>
      </c>
      <c r="C23" s="20"/>
      <c r="D23" s="21" cm="1" t="str">
        <f t="array" ref="D23">IFERROR(_xlfn.LET(_xlpm.a,'S2-3 Stamps &amp; Smart Fill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$62:$E$62),"✔ CLEAR","✘ TRY AGAIN"))),"✘ TRY AGAIN")</f>
        <v/>
      </c>
      <c r="E23" s="22"/>
      <c r="F23" s="23" cm="1" t="str">
        <f t="array" ref="F23">IF(E23="Show hint",Key!$B$62,"")</f>
        <v/>
      </c>
      <c r="G23" s="24" cm="1">
        <f t="array" ref="G23">IF(LEFT(D23,1)="✔",IF(E23="Show hint",5,10),0)</f>
        <v>0</v>
      </c>
    </row>
    <row r="25" spans="1:7" ht="22" customHeight="1">
      <c r="A25" s="4" t="s">
        <v>107</v>
      </c>
      <c r="B25" s="4"/>
      <c r="C25" s="4"/>
      <c r="D25" s="4"/>
      <c r="E25" s="4"/>
      <c r="F25" s="4"/>
      <c r="G25" s="4"/>
    </row>
    <row r="26" spans="1:7">
      <c r="A26" s="6" t="s">
        <v>14</v>
      </c>
      <c r="B26" s="6" t="s">
        <v>33</v>
      </c>
      <c r="C26" s="6" t="s">
        <v>34</v>
      </c>
      <c r="D26" s="6" t="s">
        <v>35</v>
      </c>
      <c r="E26" s="6" t="s">
        <v>36</v>
      </c>
      <c r="F26" s="6" t="s">
        <v>1</v>
      </c>
      <c r="G26" s="6" t="s">
        <v>37</v>
      </c>
    </row>
    <row r="27" spans="1:7" ht="19.75" customHeight="1">
      <c r="A27" s="18" t="s">
        <v>112</v>
      </c>
      <c r="B27" s="8" t="s">
        <v>356</v>
      </c>
      <c r="C27" s="20"/>
      <c r="D27" s="21" cm="1" t="str">
        <f t="array" ref="D27">IFERROR(IF('S2-3 Stamps &amp; Smart Fill'!$C$27&amp;""="","",IF('S2-3 Stamps &amp; Smart Fill'!$C$27&amp;""=Key!$C$63&amp;"","✔ CLEAR","✘ TRY AGAIN")),"✘ TRY AGAIN")</f>
        <v/>
      </c>
      <c r="E27" s="22"/>
      <c r="F27" s="23" cm="1" t="str">
        <f t="array" ref="F27">IF(E27="Show hint",Key!$B$63,"")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119</v>
      </c>
      <c r="B28" s="8" t="s">
        <v>359</v>
      </c>
      <c r="C28" s="20"/>
      <c r="D28" s="21" cm="1" t="str">
        <f t="array" ref="D28">IFERROR(IF('S2-3 Stamps &amp; Smart Fill'!$C$28&amp;""="","",IF('S2-3 Stamps &amp; Smart Fill'!$C$28&amp;""=Key!$C$64&amp;"","✔ CLEAR","✘ TRY AGAIN")),"✘ TRY AGAIN")</f>
        <v/>
      </c>
      <c r="E28" s="22"/>
      <c r="F28" s="23" cm="1" t="str">
        <f t="array" ref="F28">IF(E28="Show hint",Key!$B$64,"")</f>
        <v/>
      </c>
      <c r="G28" s="24" cm="1">
        <f t="array" ref="G28">IF(LEFT(D28,1)="✔",IF(E28="Show hint",5,10),0)</f>
        <v>0</v>
      </c>
    </row>
    <row r="29" spans="1:7" ht="19.75" customHeight="1">
      <c r="A29" s="18" t="s">
        <v>123</v>
      </c>
      <c r="B29" s="8" t="s">
        <v>362</v>
      </c>
      <c r="C29" s="20"/>
      <c r="D29" s="21" cm="1" t="str">
        <f t="array" ref="D29">IFERROR(IF('S2-3 Stamps &amp; Smart Fill'!$C$29&amp;""="","",IF('S2-3 Stamps &amp; Smart Fill'!$C$29&amp;""=Key!$C$65&amp;"","✔ CLEAR","✘ TRY AGAIN")),"✘ TRY AGAIN")</f>
        <v/>
      </c>
      <c r="E29" s="22"/>
      <c r="F29" s="23" cm="1" t="str">
        <f t="array" ref="F29">IF(E29="Show hint",Key!$B$65,"")</f>
        <v/>
      </c>
      <c r="G29" s="24" cm="1">
        <f t="array" ref="G29">IF(LEFT(D29,1)="✔",IF(E29="Show hint",5,10),0)</f>
        <v>0</v>
      </c>
    </row>
    <row r="30" spans="1:7" ht="19.75" customHeight="1">
      <c r="A30" s="18" t="s">
        <v>128</v>
      </c>
      <c r="B30" s="8" t="s">
        <v>365</v>
      </c>
      <c r="C30" s="20"/>
      <c r="D30" s="21" cm="1" t="str">
        <f t="array" ref="D30">IFERROR(IF('S2-3 Stamps &amp; Smart Fill'!$C$30&amp;""="","",IF('S2-3 Stamps &amp; Smart Fill'!$C$30&amp;""=Key!$C$66&amp;"","✔ CLEAR","✘ TRY AGAIN")),"✘ TRY AGAIN")</f>
        <v/>
      </c>
      <c r="E30" s="22"/>
      <c r="F30" s="23" cm="1" t="str">
        <f t="array" ref="F30">IF(E30="Show hint",Key!$B$66,"")</f>
        <v/>
      </c>
      <c r="G30" s="24" cm="1">
        <f t="array" ref="G30">IF(LEFT(D30,1)="✔",IF(E30="Show hint",5,10),0)</f>
        <v>0</v>
      </c>
    </row>
    <row r="32" spans="1:7" ht="22" customHeight="1">
      <c r="A32" s="4" t="s">
        <v>135</v>
      </c>
      <c r="B32" s="4"/>
      <c r="C32" s="4"/>
      <c r="D32" s="4"/>
      <c r="E32" s="4"/>
      <c r="F32" s="4"/>
      <c r="G32" s="4"/>
    </row>
    <row r="33" spans="1:7">
      <c r="B33" s="11" t="s">
        <v>366</v>
      </c>
    </row>
    <row r="34" spans="1:7">
      <c r="A34" s="6" t="s">
        <v>14</v>
      </c>
      <c r="B34" s="6" t="s">
        <v>33</v>
      </c>
      <c r="C34" s="6" t="s">
        <v>34</v>
      </c>
      <c r="D34" s="6" t="s">
        <v>35</v>
      </c>
      <c r="E34" s="6" t="s">
        <v>36</v>
      </c>
      <c r="F34" s="6" t="s">
        <v>1</v>
      </c>
      <c r="G34" s="6" t="s">
        <v>37</v>
      </c>
    </row>
    <row r="35" spans="1:7" ht="19.75" customHeight="1">
      <c r="A35" s="18" t="s">
        <v>139</v>
      </c>
      <c r="B35" s="8" t="s">
        <v>356</v>
      </c>
      <c r="C35" s="20"/>
      <c r="D35" s="21" cm="1" t="str">
        <f t="array" ref="D35">IFERROR(_xlfn.LET(_xlpm.a,'S2-3 Stamps &amp; Smart Fill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$67:$F$67),"✔ CLEAR","✘ TRY AGAIN"))),"✘ TRY AGAIN")</f>
        <v/>
      </c>
      <c r="E35" s="22"/>
      <c r="F35" s="23" cm="1" t="str">
        <f t="array" ref="F35">IF(E35="Show hint",Key!$B$67,"")</f>
        <v/>
      </c>
      <c r="G35" s="24" cm="1">
        <f t="array" ref="G35">IF(LEFT(D35,1)="✔",IF(E35="Show hint",5,10),0)</f>
        <v>0</v>
      </c>
    </row>
    <row r="36" spans="1:7" ht="35.5" customHeight="1">
      <c r="A36" s="18" t="s">
        <v>142</v>
      </c>
      <c r="B36" s="8" t="s">
        <v>359</v>
      </c>
      <c r="C36" s="20"/>
      <c r="D36" s="21" cm="1" t="str">
        <f t="array" ref="D36">IFERROR(_xlfn.LET(_xlpm.a,'S2-3 Stamps &amp; Smart Fill'!$C$36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$68:$K$68),"✔ CLEAR","✘ TRY AGAIN"))),"✘ TRY AGAIN")</f>
        <v/>
      </c>
      <c r="E36" s="22"/>
      <c r="F36" s="23" cm="1" t="str">
        <f t="array" ref="F36">IF(E36="Show hint",Key!$B$68,"")</f>
        <v/>
      </c>
      <c r="G36" s="24" cm="1">
        <f t="array" ref="G36">IF(LEFT(D36,1)="✔",IF(E36="Show hint",5,10),0)</f>
        <v>0</v>
      </c>
    </row>
    <row r="37" spans="1:7" ht="19.75" customHeight="1">
      <c r="A37" s="18" t="s">
        <v>145</v>
      </c>
      <c r="B37" s="8" t="s">
        <v>362</v>
      </c>
      <c r="C37" s="20"/>
      <c r="D37" s="21" cm="1" t="str">
        <f t="array" ref="D37">IFERROR(_xlfn.LET(_xlpm.a,'S2-3 Stamps &amp; Smart Fill'!$C$37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$69:$E$69),"✔ CLEAR","✘ TRY AGAIN"))),"✘ TRY AGAIN")</f>
        <v/>
      </c>
      <c r="E37" s="22"/>
      <c r="F37" s="23" cm="1" t="str">
        <f t="array" ref="F37">IF(E37="Show hint",Key!$B$69,"")</f>
        <v/>
      </c>
      <c r="G37" s="24" cm="1">
        <f t="array" ref="G37">IF(LEFT(D37,1)="✔",IF(E37="Show hint",5,10),0)</f>
        <v>0</v>
      </c>
    </row>
    <row r="38" spans="1:7" ht="19.75" customHeight="1">
      <c r="A38" s="18" t="s">
        <v>148</v>
      </c>
      <c r="B38" s="8" t="s">
        <v>365</v>
      </c>
      <c r="C38" s="20"/>
      <c r="D38" s="21" cm="1" t="str">
        <f t="array" ref="D38">IFERROR(_xlfn.LET(_xlpm.a,'S2-3 Stamps &amp; Smart Fill'!$C$38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$70:$E$70),"✔ CLEAR","✘ TRY AGAIN"))),"✘ TRY AGAIN")</f>
        <v/>
      </c>
      <c r="E38" s="22"/>
      <c r="F38" s="23" cm="1" t="str">
        <f t="array" ref="F38">IF(E38="Show hint",Key!$B$70,"")</f>
        <v/>
      </c>
      <c r="G38" s="24" cm="1">
        <f t="array" ref="G38">IF(LEFT(D38,1)="✔",IF(E38="Show hint",5,10),0)</f>
        <v>0</v>
      </c>
    </row>
    <row r="39" spans="1:7" ht="51.25" customHeight="1">
      <c r="A39" s="18" t="s">
        <v>151</v>
      </c>
      <c r="B39" s="8" t="s">
        <v>384</v>
      </c>
      <c r="C39" s="11" t="s">
        <v>385</v>
      </c>
      <c r="D39" s="21" cm="1" t="str">
        <f t="array" ref="D39">IF(IFERROR(AND(ISNUMBER('S2-3 Arena'!$C$6),NOT(_xlfn.ISFORMULA('S2-3 Arena'!$C$6)),INT('S2-3 Arena'!$C$6)=TODAY()),FALSE),"✔ CLEAR","· not yet")</f>
        <v>· not yet</v>
      </c>
      <c r="E39" s="22"/>
      <c r="F39" s="23" cm="1" t="str">
        <f t="array" ref="F39">IF(E39="Show hint",Key!$B$71,"")</f>
        <v/>
      </c>
      <c r="G39" s="24" cm="1">
        <f t="array" ref="G39">IF(LEFT(D39,1)="✔",IF(E39="Show hint",5,10),0)</f>
        <v>0</v>
      </c>
    </row>
    <row r="40" spans="1:7" ht="19.75" customHeight="1">
      <c r="A40" s="18" t="s">
        <v>154</v>
      </c>
      <c r="B40" s="8" t="s">
        <v>387</v>
      </c>
      <c r="C40" s="11" t="s">
        <v>388</v>
      </c>
      <c r="D40" s="21" cm="1" t="str">
        <f t="array" ref="D40">IF(IFERROR(AND(ISNUMBER('S2-3 Arena'!$C$8),NOT(_xlfn.ISFORMULA('S2-3 Arena'!$C$8)),'S2-3 Arena'!$C$8&gt;0,'S2-3 Arena'!$C$8&lt;1),FALSE),"✔ CLEAR","· not yet")</f>
        <v>· not yet</v>
      </c>
      <c r="E40" s="22"/>
      <c r="F40" s="23" cm="1" t="str">
        <f t="array" ref="F40">IF(E40="Show hint",Key!$B$72,"")</f>
        <v/>
      </c>
      <c r="G40" s="24" cm="1">
        <f t="array" ref="G40">IF(LEFT(D40,1)="✔",IF(E40="Show hint",5,10),0)</f>
        <v>0</v>
      </c>
    </row>
    <row r="41" spans="1:7" ht="51.25" customHeight="1">
      <c r="A41" s="18" t="s">
        <v>159</v>
      </c>
      <c r="B41" s="8" t="s">
        <v>391</v>
      </c>
      <c r="C41" s="11" t="s">
        <v>392</v>
      </c>
      <c r="D41" s="21" cm="1" t="str">
        <f t="array" ref="D41">IF(IFERROR(AND(NOT(_xlfn.ISFORMULA('S2-3 Arena'!$C$12)),'S2-3 Arena'!$C$12="Ada",NOT(_xlfn.ISFORMULA('S2-3 Arena'!$C$13)),'S2-3 Arena'!$C$13="Alan",NOT(_xlfn.ISFORMULA('S2-3 Arena'!$C$14)),'S2-3 Arena'!$C$14="Grace",NOT(_xlfn.ISFORMULA('S2-3 Arena'!$C$15)),'S2-3 Arena'!$C$15="Katherine",NOT(_xlfn.ISFORMULA('S2-3 Arena'!$C$16)),'S2-3 Arena'!$C$16="Tim",NOT(_xlfn.ISFORMULA('S2-3 Arena'!$C$17)),'S2-3 Arena'!$C$17="Margaret",NOT(_xlfn.ISFORMULA('S2-3 Arena'!$C$18)),'S2-3 Arena'!$C$18="Linus",NOT(_xlfn.ISFORMULA('S2-3 Arena'!$C$19)),'S2-3 Arena'!$C$19="Hedy"),FALSE),"✔ CLEAR","· not yet")</f>
        <v>· not yet</v>
      </c>
      <c r="E41" s="22"/>
      <c r="F41" s="23" cm="1" t="str">
        <f t="array" ref="F41">IF(E41="Show hint",Key!$B$73,"")</f>
        <v/>
      </c>
      <c r="G41" s="24" cm="1">
        <f t="array" ref="G41">IF(LEFT(D41,1)="✔",IF(E41="Show hint",5,10),0)</f>
        <v>0</v>
      </c>
    </row>
    <row r="42" spans="1:7" ht="35.5" customHeight="1">
      <c r="A42" s="18" t="s">
        <v>164</v>
      </c>
      <c r="B42" s="8" t="s">
        <v>395</v>
      </c>
      <c r="C42" s="11" t="s">
        <v>396</v>
      </c>
      <c r="D42" s="21" cm="1" t="str">
        <f t="array" ref="D42">IF(IFERROR(AND('S2-3 Arena'!$C$22="Gold"),FALSE),"✔ CLEAR","· not yet")</f>
        <v>· not yet</v>
      </c>
      <c r="E42" s="22"/>
      <c r="F42" s="23" cm="1" t="str">
        <f t="array" ref="F42">IF(E42="Show hint",Key!$B$74,"")</f>
        <v/>
      </c>
      <c r="G42" s="24" cm="1">
        <f t="array" ref="G42">IF(LEFT(D42,1)="✔",IF(E42="Show hint",5,10),0)</f>
        <v>0</v>
      </c>
    </row>
  </sheetData>
  <sheetProtection sheet="1" objects="1" scenarios="1" formatColumns="0" formatRows="0"/>
  <conditionalFormatting sqref="D14:D42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40"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Key!$E$63:$H$63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Key!$E$64:$H$64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Pick an answer" prompt="Press Alt+Down to open the list, choose with the arrow keys, then press Enter." sqref="C29">
      <formula1>Key!$E$65:$H$65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Pick an answer" prompt="Press Alt+Down to open the list, choose with the arrow keys, then press Enter." sqref="C30">
      <formula1>Key!$E$66:$H$66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6"/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7"/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8"/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type="list" allowBlank="1" showInputMessage="1" showErrorMessage="1" promptTitle="Need a hint?" prompt="Pick 'Show hint' (Alt+Down). This question then gives 5 XP instead of 10." sqref="E39">
      <formula1>"Show hint"</formula1>
    </dataValidation>
    <dataValidation type="list" allowBlank="1" showInputMessage="1" showErrorMessage="1" promptTitle="Need a hint?" prompt="Pick 'Show hint' (Alt+Down). This question then gives 5 XP instead of 10." sqref="E40">
      <formula1>"Show hint"</formula1>
    </dataValidation>
    <dataValidation type="list" allowBlank="1" showInputMessage="1" showErrorMessage="1" promptTitle="Need a hint?" prompt="Pick 'Show hint' (Alt+Down). This question then gives 5 XP instead of 10." sqref="E41">
      <formula1>"Show hint"</formula1>
    </dataValidation>
    <dataValidation type="list" allowBlank="1" showInputMessage="1" showErrorMessage="1" promptTitle="Need a hint?" prompt="Pick 'Show hint' (Alt+Down). This question then gives 5 XP instead of 10." sqref="E42">
      <formula1>"Show hint"</formula1>
    </dataValidation>
  </dataValidations>
  <hyperlinks>
    <hyperlink ref="B33" location="'S2-3 Arena'!A1" display="▶ Open S2-3 Arena (or press Ctrl+PgDn)"/>
    <hyperlink ref="C39" location="'S2-3 Arena'!C6" tooltip="Go to S2-3 Arena, cell C6" display="▶ ARENA C5 (cell C6)"/>
    <hyperlink ref="C40" location="'S2-3 Arena'!C8" tooltip="Go to S2-3 Arena, cell C8" display="▶ ARENA C6 (cell C8)"/>
    <hyperlink ref="C41" location="'S2-3 Arena'!C12" tooltip="Go to S2-3 Arena, cell C12" display="▶ ARENA C7 (cell C12)"/>
    <hyperlink ref="C42" location="'S2-3 Arena'!C22" tooltip="Go to S2-3 Arena, cell C22" display="▶ ARENA C8 (cell C22)"/>
  </hyperlink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cols>
    <col min="1" max="1" width="14.7109375" customWidth="1"/>
    <col min="2" max="2" width="20.7109375" customWidth="1"/>
    <col min="3" max="3" width="18.7109375" customWidth="1"/>
    <col min="4" max="26" width="13.7109375" customWidth="1"/>
  </cols>
  <sheetData>
    <row r="1" spans="1:4">
      <c r="A1" s="1" t="s">
        <v>307</v>
      </c>
    </row>
    <row r="2" spans="1:4">
      <c r="A2" s="3" t="s">
        <v>5</v>
      </c>
    </row>
    <row r="3" spans="1:4">
      <c r="A3" s="25" t="s">
        <v>6</v>
      </c>
      <c r="B3" s="26" t="s">
        <v>308</v>
      </c>
      <c r="D3" s="11" t="s">
        <v>309</v>
      </c>
    </row>
    <row r="6" spans="1:4">
      <c r="B6" s="7" t="s">
        <v>310</v>
      </c>
      <c r="C6" s="29"/>
    </row>
    <row r="8" spans="1:4">
      <c r="B8" s="7" t="s">
        <v>311</v>
      </c>
      <c r="C8" s="30"/>
    </row>
    <row r="11" spans="1:4">
      <c r="B11" s="27" t="s">
        <v>312</v>
      </c>
      <c r="C11" s="27" t="s">
        <v>313</v>
      </c>
    </row>
    <row r="12" spans="1:4">
      <c r="B12" s="5" t="s">
        <v>314</v>
      </c>
      <c r="C12" s="28"/>
    </row>
    <row r="13" spans="1:4">
      <c r="B13" s="5" t="s">
        <v>315</v>
      </c>
      <c r="C13" s="28"/>
    </row>
    <row r="14" spans="1:4">
      <c r="B14" s="5" t="s">
        <v>316</v>
      </c>
      <c r="C14" s="28"/>
    </row>
    <row r="15" spans="1:4">
      <c r="B15" s="5" t="s">
        <v>317</v>
      </c>
      <c r="C15" s="28"/>
    </row>
    <row r="16" spans="1:4">
      <c r="B16" s="5" t="s">
        <v>318</v>
      </c>
      <c r="C16" s="28"/>
    </row>
    <row r="17" spans="2:3">
      <c r="B17" s="5" t="s">
        <v>319</v>
      </c>
      <c r="C17" s="28"/>
    </row>
    <row r="18" spans="2:3">
      <c r="B18" s="5" t="s">
        <v>320</v>
      </c>
      <c r="C18" s="28"/>
    </row>
    <row r="19" spans="2:3">
      <c r="B19" s="5" t="s">
        <v>321</v>
      </c>
      <c r="C19" s="28"/>
    </row>
    <row r="22" spans="2:3">
      <c r="B22" s="7" t="s">
        <v>322</v>
      </c>
      <c r="C22" s="28"/>
    </row>
  </sheetData>
  <dataValidations count="1">
    <dataValidation type="list" allowBlank="1" showInputMessage="1" showErrorMessage="1" promptTitle="Pick from the list" prompt="Press Alt+Down to open the list, then choose with the arrow keys." sqref="C22">
      <formula1>"Bronze,Silver,Gold"</formula1>
    </dataValidation>
  </dataValidations>
  <hyperlinks>
    <hyperlink ref="D3" location="'S2-3 Stamps &amp; Smart Fill'!A1" display="◀ Back to S2-3 Stamps &amp; Smart Fill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B8860B"/>
    <pageSetUpPr fitToPage="1"/>
  </sheetPr>
  <dimension ref="A1:G3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479</v>
      </c>
      <c r="B1" s="2"/>
      <c r="C1" s="2"/>
      <c r="D1" s="2"/>
      <c r="E1" s="2"/>
      <c r="F1" s="2"/>
      <c r="G1" s="2"/>
    </row>
    <row r="2" spans="1:7">
      <c r="A2" s="3" t="s">
        <v>480</v>
      </c>
    </row>
    <row r="3" spans="1:7" ht="26" customHeight="1">
      <c r="A3" s="14" cm="1" t="str">
        <f t="array" ref="A3">"SCORE "&amp;TEXT(SUM($G$14:$G$33),"0000")&amp;" / 0160"</f>
        <v>SCORE 0000 / 0160</v>
      </c>
      <c r="C3" s="15" cm="1" t="str">
        <f t="array" ref="C3">IF(SUM($G$14:$G$33)&gt;=160,"★★★",IF(SUM($G$14:$G$33)&gt;=160*0.8,"★★☆",IF(SUM($G$14:$G$33)&gt;=160*0.5,"★☆☆","☆☆☆")))</f>
        <v>☆☆☆</v>
      </c>
      <c r="D3" s="16" cm="1" t="str">
        <f t="array" ref="D3">REPT("█",ROUND(10*SUM($G$14:$G$33)/160,0))&amp;REPT("░",10-ROUND(10*SUM($G$14:$G$33)/160,0))&amp;"  "&amp;TEXT(SUM($G$14:$G$33)/160,"0%")</f>
        <v>░░░░░░░░░░  0%</v>
      </c>
    </row>
    <row r="5" spans="1:7" ht="22" customHeight="1">
      <c r="A5" s="4" t="s">
        <v>420</v>
      </c>
      <c r="B5" s="4"/>
      <c r="C5" s="4"/>
      <c r="D5" s="4"/>
      <c r="E5" s="4"/>
      <c r="F5" s="4"/>
      <c r="G5" s="4"/>
    </row>
    <row r="6" spans="1:7">
      <c r="B6" s="7" t="s">
        <v>421</v>
      </c>
      <c r="C6" s="30"/>
    </row>
    <row r="7" spans="1:7">
      <c r="B7" s="7" t="s">
        <v>422</v>
      </c>
      <c r="C7" s="30"/>
    </row>
    <row r="8" spans="1:7">
      <c r="B8" s="7" t="s">
        <v>423</v>
      </c>
      <c r="C8" s="31" cm="1" t="str">
        <f t="array" ref="C8">IF(OR(C6="",C7=""),"",ROUND(MOD(C7-C6,1)*1440,0))</f>
        <v/>
      </c>
    </row>
    <row r="9" spans="1:7">
      <c r="B9" s="7" t="s">
        <v>424</v>
      </c>
      <c r="C9" s="31">
        <v>10</v>
      </c>
    </row>
    <row r="10" spans="1:7">
      <c r="B10" s="7" t="s">
        <v>425</v>
      </c>
      <c r="C10" s="12" cm="1" t="str">
        <f t="array" ref="C10">IF(AND(SUM('S2-1 Quick Entry'!$G$15:$G$45)&gt;=240*0.5,SUM('S2-2 Clone Machine'!$G$17:$G$50)&gt;=270*0.5,SUM('S2-3 Stamps &amp; Smart Fill'!$G$14:$G$42)&gt;=220*0.5),"OPEN","LOCKED")</f>
        <v>LOCKED</v>
      </c>
      <c r="D10" s="32" cm="1" t="str">
        <f t="array" ref="D10">IF(C10="OPEN","Gate open · go!","Earn ★ on every stage to open the gate")</f>
        <v>Earn ★ on every stage to open the gate</v>
      </c>
    </row>
    <row r="12" spans="1:7" ht="22" customHeight="1">
      <c r="A12" s="4" t="s">
        <v>426</v>
      </c>
      <c r="B12" s="4"/>
      <c r="C12" s="4"/>
      <c r="D12" s="4"/>
      <c r="E12" s="4"/>
      <c r="F12" s="4"/>
      <c r="G12" s="4"/>
    </row>
    <row r="13" spans="1:7">
      <c r="A13" s="6" t="s">
        <v>14</v>
      </c>
      <c r="B13" s="6" t="s">
        <v>33</v>
      </c>
      <c r="C13" s="6" t="s">
        <v>34</v>
      </c>
      <c r="D13" s="6" t="s">
        <v>35</v>
      </c>
      <c r="E13" s="6" t="s">
        <v>36</v>
      </c>
      <c r="F13" s="6" t="s">
        <v>1</v>
      </c>
      <c r="G13" s="6" t="s">
        <v>37</v>
      </c>
    </row>
    <row r="14" spans="1:7" ht="35.5" customHeight="1">
      <c r="A14" s="18" t="s">
        <v>428</v>
      </c>
      <c r="B14" s="32" cm="1" t="str">
        <f t="array" ref="B14">IF($C$10="OPEN","Which keys type today's date as a fixed value?  (from S2-3 Stamps &amp; Smart Fill)","LOCKED · earn ★ on every stage to open the Boss gate")</f>
        <v>LOCKED · earn ★ on every stage to open the Boss gate</v>
      </c>
      <c r="C14" s="20"/>
      <c r="D14" s="21" cm="1" t="str">
        <f t="array" ref="D14">IF($C$10="OPEN",IFERROR(_xlfn.LET(_xlpm.a,Boss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$75:$F$75),"✔ CLEAR","✘ TRY AGAIN"))),"✘ TRY AGAIN"),"LOCKED")</f>
        <v>LOCKED</v>
      </c>
      <c r="E14" s="22"/>
      <c r="F14" s="23" cm="1" t="str">
        <f t="array" ref="F14">IF(E14="Show hint",Key!$B$75,"")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350</v>
      </c>
      <c r="B15" s="32" cm="1" t="str">
        <f t="array" ref="B15">IF($C$10="OPEN","Which keys type the current time as a fixed value?  (from S2-3 Stamps &amp; Smart Fill)","LOCKED · earn ★ on every stage to open the Boss gate")</f>
        <v>LOCKED · earn ★ on every stage to open the Boss gate</v>
      </c>
      <c r="C15" s="20"/>
      <c r="D15" s="21" cm="1" t="str">
        <f t="array" ref="D15">IF($C$10="OPEN",IFERROR(_xlfn.LET(_xlpm.a,Boss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$76:$K$76),"✔ CLEAR","✘ TRY AGAIN"))),"✘ TRY AGAIN"),"LOCKED")</f>
        <v>LOCKED</v>
      </c>
      <c r="E15" s="22"/>
      <c r="F15" s="23" cm="1" t="str">
        <f t="array" ref="F15">IF(E15="Show hint",Key!$B$76,"")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431</v>
      </c>
      <c r="B16" s="32" cm="1" t="str">
        <f t="array" ref="B16">IF($C$10="OPEN","Which keys run Flash Fill?  (from S2-3 Stamps &amp; Smart Fill)","LOCKED · earn ★ on every stage to open the Boss gate")</f>
        <v>LOCKED · earn ★ on every stage to open the Boss gate</v>
      </c>
      <c r="C16" s="20"/>
      <c r="D16" s="21" cm="1" t="str">
        <f t="array" ref="D16">IF($C$10="OPEN",IFERROR(_xlfn.LET(_xlpm.a,Boss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$77:$E$77),"✔ CLEAR","✘ TRY AGAIN"))),"✘ TRY AGAIN"),"LOCKED")</f>
        <v>LOCKED</v>
      </c>
      <c r="E16" s="22"/>
      <c r="F16" s="23" cm="1" t="str">
        <f t="array" ref="F16">IF(E16="Show hint",Key!$B$77,"")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85</v>
      </c>
      <c r="B17" s="32" cm="1" t="str">
        <f t="array" ref="B17">IF($C$10="OPEN","Which keys open the dropdown list of a cell?  (from S2-3 Stamps &amp; Smart Fill)","LOCKED · earn ★ on every stage to open the Boss gate")</f>
        <v>LOCKED · earn ★ on every stage to open the Boss gate</v>
      </c>
      <c r="C17" s="20"/>
      <c r="D17" s="21" cm="1" t="str">
        <f t="array" ref="D17">IF($C$10="OPEN",IFERROR(_xlfn.LET(_xlpm.a,Boss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$78:$E$78),"✔ CLEAR","✘ TRY AGAIN"))),"✘ TRY AGAIN"),"LOCKED")</f>
        <v>LOCKED</v>
      </c>
      <c r="E17" s="22"/>
      <c r="F17" s="23" cm="1" t="str">
        <f t="array" ref="F17">IF(E17="Show hint",Key!$B$78,"")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437</v>
      </c>
      <c r="B18" s="32" cm="1" t="str">
        <f t="array" ref="B18">IF($C$10="OPEN","Which keys insert a function's argument names after you type its name?  (from F1-5 X-Ray)","LOCKED · earn ★ on every stage to open the Boss gate")</f>
        <v>LOCKED · earn ★ on every stage to open the Boss gate</v>
      </c>
      <c r="C18" s="20"/>
      <c r="D18" s="21" cm="1" t="str">
        <f t="array" ref="D18">IF($C$10="OPEN",IFERROR(_xlfn.LET(_xlpm.a,Boss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$79:$F$79),"✔ CLEAR","✘ TRY AGAIN"))),"✘ TRY AGAIN"),"LOCKED")</f>
        <v>LOCKED</v>
      </c>
      <c r="E18" s="22"/>
      <c r="F18" s="23" cm="1" t="str">
        <f t="array" ref="F18">IF(E18="Show hint",Key!$B$79,"")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441</v>
      </c>
      <c r="B19" s="32" cm="1" t="str">
        <f t="array" ref="B19">IF($C$10="OPEN","Which keys open the Insert Function dialog?  (from F1-5 X-Ray)","LOCKED · earn ★ on every stage to open the Boss gate")</f>
        <v>LOCKED · earn ★ on every stage to open the Boss gate</v>
      </c>
      <c r="C19" s="20"/>
      <c r="D19" s="21" cm="1" t="str">
        <f t="array" ref="D19">IF($C$10="OPEN",IFERROR(_xlfn.LET(_xlpm.a,Boss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$80:$E$80),"✔ CLEAR","✘ TRY AGAIN"))),"✘ TRY AGAIN"),"LOCKED")</f>
        <v>LOCKED</v>
      </c>
      <c r="E19" s="22"/>
      <c r="F19" s="23" cm="1" t="str">
        <f t="array" ref="F19">IF(E19="Show hint",Key!$B$80,"")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443</v>
      </c>
      <c r="B20" s="32" cm="1" t="str">
        <f t="array" ref="B20">IF($C$10="OPEN","Which keys confirm an entry and move up one cell?  (from S2-1 Quick Entry)","LOCKED · earn ★ on every stage to open the Boss gate")</f>
        <v>LOCKED · earn ★ on every stage to open the Boss gate</v>
      </c>
      <c r="C20" s="20"/>
      <c r="D20" s="21" cm="1" t="str">
        <f t="array" ref="D20">IF($C$10="OPEN",IFERROR(_xlfn.LET(_xlpm.a,Boss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$81:$E$81),"✔ CLEAR","✘ TRY AGAIN"))),"✘ TRY AGAIN"),"LOCKED")</f>
        <v>LOCKED</v>
      </c>
      <c r="E20" s="22"/>
      <c r="F20" s="23" cm="1" t="str">
        <f t="array" ref="F20">IF(E20="Show hint",Key!$B$81,"")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445</v>
      </c>
      <c r="B21" s="32" cm="1" t="str">
        <f t="array" ref="B21">IF($C$10="OPEN","Which key confirms an entry and moves one cell to the right?  (from S2-1 Quick Entry)","LOCKED · earn ★ on every stage to open the Boss gate")</f>
        <v>LOCKED · earn ★ on every stage to open the Boss gate</v>
      </c>
      <c r="C21" s="20"/>
      <c r="D21" s="21" cm="1" t="str">
        <f t="array" ref="D21">IF($C$10="OPEN",IFERROR(_xlfn.LET(_xlpm.a,Boss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$82:$E$82),"✔ CLEAR","✘ TRY AGAIN"))),"✘ TRY AGAIN"),"LOCKED")</f>
        <v>LOCKED</v>
      </c>
      <c r="E21" s="22"/>
      <c r="F21" s="23" cm="1" t="str">
        <f t="array" ref="F21">IF(E21="Show hint",Key!$B$82,"")</f>
        <v/>
      </c>
      <c r="G21" s="24" cm="1">
        <f t="array" ref="G21">IF(LEFT(D21,1)="✔",IF(E21="Show hint",5,10),0)</f>
        <v>0</v>
      </c>
    </row>
    <row r="23" spans="1:7" ht="22" customHeight="1">
      <c r="A23" s="4" t="s">
        <v>446</v>
      </c>
      <c r="B23" s="4"/>
      <c r="C23" s="4"/>
      <c r="D23" s="4"/>
      <c r="E23" s="4"/>
      <c r="F23" s="4"/>
      <c r="G23" s="4"/>
    </row>
    <row r="24" spans="1:7">
      <c r="B24" s="11" t="s">
        <v>447</v>
      </c>
    </row>
    <row r="25" spans="1:7">
      <c r="A25" s="6" t="s">
        <v>14</v>
      </c>
      <c r="B25" s="6" t="s">
        <v>33</v>
      </c>
      <c r="C25" s="6" t="s">
        <v>34</v>
      </c>
      <c r="D25" s="6" t="s">
        <v>35</v>
      </c>
      <c r="E25" s="6" t="s">
        <v>36</v>
      </c>
      <c r="F25" s="6" t="s">
        <v>1</v>
      </c>
      <c r="G25" s="6" t="s">
        <v>37</v>
      </c>
    </row>
    <row r="26" spans="1:7" ht="35.5" customHeight="1">
      <c r="A26" s="18" t="s">
        <v>450</v>
      </c>
      <c r="B26" s="32" cm="1" t="str">
        <f t="array" ref="B26">IF($C$10="OPEN","In the Boss Arena select B6:B12, type READY and press Ctrl+Enter.","LOCKED · earn ★ on every stage to open the Boss gate")</f>
        <v>LOCKED · earn ★ on every stage to open the Boss gate</v>
      </c>
      <c r="C26" s="11" t="s">
        <v>451</v>
      </c>
      <c r="D26" s="21" cm="1" t="str">
        <f t="array" ref="D26">IF($C$10="OPEN",IF(IFERROR(AND('Boss Arena'!$B$6="READY",'Boss Arena'!$B$7="READY",'Boss Arena'!$B$8="READY",'Boss Arena'!$B$9="READY",'Boss Arena'!$B$10="READY",'Boss Arena'!$B$11="READY",'Boss Arena'!$B$12="READY"),FALSE),"✔ CLEAR","· not yet"),"LOCKED")</f>
        <v>LOCKED</v>
      </c>
      <c r="E26" s="22"/>
      <c r="F26" s="23" cm="1" t="str">
        <f t="array" ref="F26">IF(E26="Show hint",Key!$B$83,"")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454</v>
      </c>
      <c r="B27" s="32" cm="1" t="str">
        <f t="array" ref="B27">IF($C$10="OPEN","In D6 type Street, press Alt+Enter, type City, then press Enter.","LOCKED · earn ★ on every stage to open the Boss gate")</f>
        <v>LOCKED · earn ★ on every stage to open the Boss gate</v>
      </c>
      <c r="C27" s="11" t="s">
        <v>455</v>
      </c>
      <c r="D27" s="21" cm="1" t="str">
        <f t="array" ref="D27">IF($C$10="OPEN",IF(IFERROR(EXACT('Boss Arena'!$D$6,"Street"&amp;CHAR(10)&amp;"City"),FALSE),"✔ CLEAR","· not yet"),"LOCKED")</f>
        <v>LOCKED</v>
      </c>
      <c r="E27" s="22"/>
      <c r="F27" s="23" cm="1" t="str">
        <f t="array" ref="F27">IF(E27="Show hint",Key!$B$84,"")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458</v>
      </c>
      <c r="B28" s="32" cm="1" t="str">
        <f t="array" ref="B28">IF($C$10="OPEN","C15 sums the Q1 column. Select C15:F15 and press Ctrl+R.","LOCKED · earn ★ on every stage to open the Boss gate")</f>
        <v>LOCKED · earn ★ on every stage to open the Boss gate</v>
      </c>
      <c r="C28" s="11" t="s">
        <v>459</v>
      </c>
      <c r="D28" s="21" cm="1" t="str">
        <f t="array" ref="D28">IF($C$10="OPEN",IF(COUNTA('Boss Arena'!$D$15,'Boss Arena'!$E$15,'Boss Arena'!$F$15)=0,"",IF(OR(NOT(_xlfn.ISFORMULA('Boss Arena'!$D$15)),NOT(_xlfn.ISFORMULA('Boss Arena'!$E$15)),NOT(_xlfn.ISFORMULA('Boss Arena'!$F$15))),"✘ Some cells aren't formulas yet",IF(OR(ISERROR('Boss Arena'!$D$15),ISERROR('Boss Arena'!$E$15),ISERROR('Boss Arena'!$F$15)),"✘ Some cells show an error",IF(NOT(AND(IFERROR(AND(ISNUMBER('Boss Arena'!$D$15),ABS('Boss Arena'!$D$15-Key!$E$85)&lt;=1E-9*MAX(1,ABS(Key!$E$85))),FALSE),IFERROR(AND(ISNUMBER('Boss Arena'!$E$15),ABS('Boss Arena'!$E$15-Key!$F$85)&lt;=1E-9*MAX(1,ABS(Key!$F$85))),FALSE),IFERROR(AND(ISNUMBER('Boss Arena'!$F$15),ABS('Boss Arena'!$F$15-Key!$G$85)&lt;=1E-9*MAX(1,ABS(Key!$G$85))),FALSE))),"✘ TRY AGAIN",IF(AND(OR(ISNUMBER(FIND({"=","(",",","+","-","*","/","&amp;"," ","&lt;","&gt;",":","@","^"}&amp;"SUM"&amp;"(",UPPER(_xlfn.FORMULATEXT('Boss Arena'!$D$15)))))),"✔ CLEAR","✘ CLOSE · right value, but use SUM"))))),"LOCKED")</f>
        <v>LOCKED</v>
      </c>
      <c r="E28" s="22"/>
      <c r="F28" s="23" cm="1" t="str">
        <f t="array" ref="F28">IF(E28="Show hint",Key!$B$85,"")</f>
        <v/>
      </c>
      <c r="G28" s="24" cm="1">
        <f t="array" ref="G28">IF(LEFT(D28,1)="✔",IF(E28="Show hint",5,10),0)</f>
        <v>0</v>
      </c>
    </row>
    <row r="29" spans="1:7" ht="35.5" customHeight="1">
      <c r="A29" s="18" t="s">
        <v>462</v>
      </c>
      <c r="B29" s="32" cm="1" t="str">
        <f t="array" ref="B29">IF($C$10="OPEN","Copy LIVE (C23:F23) and paste only its values into SNAPSHOT (C21) with Ctrl+Alt+V, V.","LOCKED · earn ★ on every stage to open the Boss gate")</f>
        <v>LOCKED · earn ★ on every stage to open the Boss gate</v>
      </c>
      <c r="C29" s="11" t="s">
        <v>463</v>
      </c>
      <c r="D29" s="21" cm="1" t="str">
        <f t="array" ref="D29">IF($C$10="OPEN",IF(IFERROR(AND(NOT(_xlfn.ISFORMULA('Boss Arena'!$C$21)),'Boss Arena'!$C$21=31,NOT(_xlfn.ISFORMULA('Boss Arena'!$D$21)),'Boss Arena'!$D$21=31,NOT(_xlfn.ISFORMULA('Boss Arena'!$E$21)),'Boss Arena'!$E$21=34,NOT(_xlfn.ISFORMULA('Boss Arena'!$F$21)),'Boss Arena'!$F$21=35),FALSE),"✔ CLEAR","· not yet"),"LOCKED")</f>
        <v>LOCKED</v>
      </c>
      <c r="E29" s="22"/>
      <c r="F29" s="23" cm="1" t="str">
        <f t="array" ref="F29">IF(E29="Show hint",Key!$B$86,"")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465</v>
      </c>
      <c r="B30" s="32" cm="1" t="str">
        <f t="array" ref="B30">IF($C$10="OPEN","Select F6 and stamp today's date with Ctrl+;, then Enter.","LOCKED · earn ★ on every stage to open the Boss gate")</f>
        <v>LOCKED · earn ★ on every stage to open the Boss gate</v>
      </c>
      <c r="C30" s="11" t="s">
        <v>466</v>
      </c>
      <c r="D30" s="21" cm="1" t="str">
        <f t="array" ref="D30">IF($C$10="OPEN",IF(IFERROR(AND(ISNUMBER('Boss Arena'!$F$6),NOT(_xlfn.ISFORMULA('Boss Arena'!$F$6)),INT('Boss Arena'!$F$6)=TODAY()),FALSE),"✔ CLEAR","· not yet"),"LOCKED")</f>
        <v>LOCKED</v>
      </c>
      <c r="E30" s="22"/>
      <c r="F30" s="23" cm="1" t="str">
        <f t="array" ref="F30">IF(E30="Show hint",Key!$B$87,"")</f>
        <v/>
      </c>
      <c r="G30" s="24" cm="1">
        <f t="array" ref="G30">IF(LEFT(D30,1)="✔",IF(E30="Show hint",5,10),0)</f>
        <v>0</v>
      </c>
    </row>
    <row r="31" spans="1:7" ht="35.5" customHeight="1">
      <c r="A31" s="18" t="s">
        <v>469</v>
      </c>
      <c r="B31" s="32" cm="1" t="str">
        <f t="array" ref="B31">IF($C$10="OPEN","In J6 type Lovelace (the last name in I6), then select J7 and press Ctrl+E.","LOCKED · earn ★ on every stage to open the Boss gate")</f>
        <v>LOCKED · earn ★ on every stage to open the Boss gate</v>
      </c>
      <c r="C31" s="11" t="s">
        <v>470</v>
      </c>
      <c r="D31" s="21" cm="1" t="str">
        <f t="array" ref="D31">IF($C$10="OPEN",IF(IFERROR(AND(NOT(_xlfn.ISFORMULA('Boss Arena'!$J$6)),'Boss Arena'!$J$6="Lovelace",NOT(_xlfn.ISFORMULA('Boss Arena'!$J$7)),'Boss Arena'!$J$7="Turing",NOT(_xlfn.ISFORMULA('Boss Arena'!$J$8)),'Boss Arena'!$J$8="Hopper",NOT(_xlfn.ISFORMULA('Boss Arena'!$J$9)),'Boss Arena'!$J$9="Lamarr",NOT(_xlfn.ISFORMULA('Boss Arena'!$J$10)),'Boss Arena'!$J$10="Torvalds",NOT(_xlfn.ISFORMULA('Boss Arena'!$J$11)),'Boss Arena'!$J$11="Easley"),FALSE),"✔ CLEAR","· not yet"),"LOCKED")</f>
        <v>LOCKED</v>
      </c>
      <c r="E31" s="22"/>
      <c r="F31" s="23" cm="1" t="str">
        <f t="array" ref="F31">IF(E31="Show hint",Key!$B$88,"")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473</v>
      </c>
      <c r="B32" s="32" cm="1" t="str">
        <f t="array" ref="B32">IF($C$10="OPEN","Move Nova's row (L7:N7) up one row: select it, Ctrl+X, click L6, Ctrl+V.","LOCKED · earn ★ on every stage to open the Boss gate")</f>
        <v>LOCKED · earn ★ on every stage to open the Boss gate</v>
      </c>
      <c r="C32" s="11" t="s">
        <v>474</v>
      </c>
      <c r="D32" s="21" cm="1" t="str">
        <f t="array" ref="D32">IF($C$10="OPEN",IF(IFERROR(AND(INDIRECT("'Boss Arena'!L6")="Nova",INDIRECT("'Boss Arena'!M6")=88,INDIRECT("'Boss Arena'!N6")=3,COUNTA(INDIRECT("'Boss Arena'!L7:N7"))=0),FALSE),"✔ CLEAR","· not yet"),"LOCKED")</f>
        <v>LOCKED</v>
      </c>
      <c r="E32" s="22"/>
      <c r="F32" s="23" cm="1" t="str">
        <f t="array" ref="F32">IF(E32="Show hint",Key!$B$89,"")</f>
        <v/>
      </c>
      <c r="G32" s="24" cm="1">
        <f t="array" ref="G32">IF(LEFT(D32,1)="✔",IF(E32="Show hint",5,10),0)</f>
        <v>0</v>
      </c>
    </row>
    <row r="33" spans="1:7" ht="35.5" customHeight="1">
      <c r="A33" s="18" t="s">
        <v>477</v>
      </c>
      <c r="B33" s="32" cm="1" t="str">
        <f t="array" ref="B33">IF($C$10="OPEN","Select F9, press Alt+↓ and choose Platinum.","LOCKED · earn ★ on every stage to open the Boss gate")</f>
        <v>LOCKED · earn ★ on every stage to open the Boss gate</v>
      </c>
      <c r="C33" s="11" t="s">
        <v>478</v>
      </c>
      <c r="D33" s="21" cm="1" t="str">
        <f t="array" ref="D33">IF($C$10="OPEN",IF(IFERROR(AND('Boss Arena'!$F$9="Platinum"),FALSE),"✔ CLEAR","· not yet"),"LOCKED")</f>
        <v>LOCKED</v>
      </c>
      <c r="E33" s="22"/>
      <c r="F33" s="23" cm="1" t="str">
        <f t="array" ref="F33">IF(E33="Show hint",Key!$B$90,"")</f>
        <v/>
      </c>
      <c r="G33" s="24" cm="1">
        <f t="array" ref="G33">IF(LEFT(D33,1)="✔",IF(E33="Show hint",5,10),0)</f>
        <v>0</v>
      </c>
    </row>
  </sheetData>
  <sheetProtection sheet="1" objects="1" scenarios="1" formatColumns="0" formatRows="0"/>
  <conditionalFormatting sqref="D14:D33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26">
    <dataValidation allowBlank="1" showInputMessage="1" showErrorMessage="1" promptTitle="Stamp the time" prompt="Press Ctrl+Shift+: to type the current time." sqref="C6"/>
    <dataValidation allowBlank="1" showInputMessage="1" showErrorMessage="1" promptTitle="Stamp the time" prompt="Press Ctrl+Shift+: to type the current time." sqref="C7"/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</dataValidations>
  <hyperlinks>
    <hyperlink ref="B24" location="'Boss Arena'!A1" display="▶ Open Boss Arena (or press Ctrl+PgDn)"/>
    <hyperlink ref="C26" location="'Boss Arena'!B6" tooltip="Go to Boss Arena, cell B6" display="▶ ARENA B1 (cell B6)"/>
    <hyperlink ref="C27" location="'Boss Arena'!D6" tooltip="Go to Boss Arena, cell D6" display="▶ ARENA B2 (cell D6)"/>
    <hyperlink ref="C28" location="'Boss Arena'!D15" tooltip="Go to Boss Arena, cell D15" display="▶ ARENA B3 (cell D15)"/>
    <hyperlink ref="C29" location="'Boss Arena'!C21" tooltip="Go to Boss Arena, cell C21" display="▶ ARENA B4 (cell C21)"/>
    <hyperlink ref="C30" location="'Boss Arena'!F6" tooltip="Go to Boss Arena, cell F6" display="▶ ARENA B5 (cell F6)"/>
    <hyperlink ref="C31" location="'Boss Arena'!J6" tooltip="Go to Boss Arena, cell J6" display="▶ ARENA B6 (cell J6)"/>
    <hyperlink ref="C32" location="'Boss Arena'!L6" tooltip="Go to Boss Arena, cell L6" display="▶ ARENA B7 (cell L6)"/>
    <hyperlink ref="C33" location="'Boss Arena'!F9" tooltip="Go to Boss Arena, cell F9" display="▶ ARENA B8 (cell F9)"/>
  </hyperlink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cols>
    <col min="1" max="1" width="14.7109375" customWidth="1"/>
    <col min="2" max="3" width="13.7109375" customWidth="1"/>
    <col min="4" max="4" width="18.7109375" customWidth="1"/>
    <col min="5" max="8" width="13.7109375" customWidth="1"/>
    <col min="9" max="9" width="18.7109375" customWidth="1"/>
    <col min="10" max="10" width="16.7109375" customWidth="1"/>
    <col min="11" max="26" width="13.7109375" customWidth="1"/>
  </cols>
  <sheetData>
    <row r="1" spans="1:14">
      <c r="A1" s="1" t="s">
        <v>399</v>
      </c>
    </row>
    <row r="2" spans="1:14">
      <c r="A2" s="3" t="s">
        <v>5</v>
      </c>
    </row>
    <row r="3" spans="1:14">
      <c r="A3" s="25" t="s">
        <v>6</v>
      </c>
      <c r="B3" s="26" t="s">
        <v>400</v>
      </c>
      <c r="D3" s="11" t="s">
        <v>401</v>
      </c>
    </row>
    <row r="5" spans="1:14">
      <c r="B5" s="27" t="s">
        <v>402</v>
      </c>
      <c r="D5" s="27" t="s">
        <v>403</v>
      </c>
      <c r="F5" s="7" t="s">
        <v>404</v>
      </c>
      <c r="I5" s="27" t="s">
        <v>312</v>
      </c>
      <c r="J5" s="27" t="s">
        <v>406</v>
      </c>
      <c r="L5" s="27" t="s">
        <v>408</v>
      </c>
      <c r="M5" s="27" t="s">
        <v>409</v>
      </c>
      <c r="N5" s="27" t="s">
        <v>410</v>
      </c>
    </row>
    <row r="6" spans="1:14">
      <c r="B6" s="28"/>
      <c r="D6" s="28"/>
      <c r="F6" s="29"/>
      <c r="I6" s="5" t="s">
        <v>314</v>
      </c>
      <c r="J6" s="28"/>
    </row>
    <row r="7" spans="1:14">
      <c r="B7" s="28"/>
      <c r="I7" s="5" t="s">
        <v>315</v>
      </c>
      <c r="J7" s="28"/>
      <c r="L7" s="5" t="s">
        <v>411</v>
      </c>
      <c r="M7" s="5">
        <v>88</v>
      </c>
      <c r="N7" s="5">
        <v>3</v>
      </c>
    </row>
    <row r="8" spans="1:14">
      <c r="B8" s="28"/>
      <c r="F8" s="7" t="s">
        <v>405</v>
      </c>
      <c r="I8" s="5" t="s">
        <v>316</v>
      </c>
      <c r="J8" s="28"/>
    </row>
    <row r="9" spans="1:14">
      <c r="B9" s="28"/>
      <c r="F9" s="28"/>
      <c r="I9" s="5" t="s">
        <v>321</v>
      </c>
      <c r="J9" s="28"/>
    </row>
    <row r="10" spans="1:14">
      <c r="B10" s="28"/>
      <c r="I10" s="5" t="s">
        <v>320</v>
      </c>
      <c r="J10" s="28"/>
    </row>
    <row r="11" spans="1:14">
      <c r="B11" s="28"/>
      <c r="I11" s="5" t="s">
        <v>407</v>
      </c>
      <c r="J11" s="28"/>
    </row>
    <row r="12" spans="1:14">
      <c r="B12" s="28"/>
    </row>
    <row r="14" spans="1:14">
      <c r="B14" s="27" t="s">
        <v>412</v>
      </c>
      <c r="C14" s="27" t="s">
        <v>413</v>
      </c>
      <c r="D14" s="27" t="s">
        <v>414</v>
      </c>
      <c r="E14" s="27" t="s">
        <v>415</v>
      </c>
      <c r="F14" s="27" t="s">
        <v>416</v>
      </c>
    </row>
    <row r="15" spans="1:14">
      <c r="B15" s="7" t="s">
        <v>184</v>
      </c>
      <c r="C15" s="5" cm="1">
        <f t="array" ref="C15">SUM(C16:C18)</f>
        <v>31</v>
      </c>
      <c r="D15" s="28"/>
      <c r="E15" s="28"/>
      <c r="F15" s="28"/>
    </row>
    <row r="16" spans="1:14">
      <c r="B16" s="5" t="s">
        <v>417</v>
      </c>
      <c r="C16" s="5">
        <v>10</v>
      </c>
      <c r="D16" s="5">
        <v>14</v>
      </c>
      <c r="E16" s="5">
        <v>9</v>
      </c>
      <c r="F16" s="5">
        <v>12</v>
      </c>
    </row>
    <row r="17" spans="2:6">
      <c r="B17" s="5" t="s">
        <v>418</v>
      </c>
      <c r="C17" s="5">
        <v>8</v>
      </c>
      <c r="D17" s="5">
        <v>11</v>
      </c>
      <c r="E17" s="5">
        <v>15</v>
      </c>
      <c r="F17" s="5">
        <v>7</v>
      </c>
    </row>
    <row r="18" spans="2:6">
      <c r="B18" s="5" t="s">
        <v>419</v>
      </c>
      <c r="C18" s="5">
        <v>13</v>
      </c>
      <c r="D18" s="5">
        <v>6</v>
      </c>
      <c r="E18" s="5">
        <v>10</v>
      </c>
      <c r="F18" s="5">
        <v>16</v>
      </c>
    </row>
    <row r="21" spans="2:6">
      <c r="B21" s="7" t="s">
        <v>189</v>
      </c>
      <c r="C21" s="28"/>
      <c r="D21" s="28"/>
      <c r="E21" s="28"/>
      <c r="F21" s="28"/>
    </row>
    <row r="23" spans="2:6">
      <c r="B23" s="7" t="s">
        <v>190</v>
      </c>
      <c r="C23" s="5" cm="1">
        <f t="array" ref="C23">SUM(C16:C18)</f>
        <v>31</v>
      </c>
      <c r="D23" s="5" cm="1">
        <f t="array" ref="D23">SUM(D16:D18)</f>
        <v>31</v>
      </c>
      <c r="E23" s="5" cm="1">
        <f t="array" ref="E23">SUM(E16:E18)</f>
        <v>34</v>
      </c>
      <c r="F23" s="5" cm="1">
        <f t="array" ref="F23">SUM(F16:F18)</f>
        <v>35</v>
      </c>
    </row>
  </sheetData>
  <dataValidations count="1">
    <dataValidation type="list" allowBlank="1" showInputMessage="1" showErrorMessage="1" promptTitle="Pick from the list" prompt="Press Alt+Down to open the list, then choose with the arrow keys." sqref="F9">
      <formula1>"Gold,Platinum,Diamond"</formula1>
    </dataValidation>
  </dataValidations>
  <hyperlinks>
    <hyperlink ref="D3" location="Boss!A1" display="◀ Back to Boss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D2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50.7109375" customWidth="1"/>
    <col min="4" max="4" width="56.7109375" customWidth="1"/>
  </cols>
  <sheetData>
    <row r="1" spans="1:4" ht="34" customHeight="1">
      <c r="A1" s="1" t="s">
        <v>513</v>
      </c>
      <c r="B1" s="2"/>
      <c r="C1" s="2"/>
      <c r="D1" s="2"/>
    </row>
    <row r="2" spans="1:4">
      <c r="A2" s="3" t="s">
        <v>514</v>
      </c>
    </row>
    <row r="4" spans="1:4">
      <c r="A4" s="6" t="s">
        <v>490</v>
      </c>
      <c r="B4" s="6" t="s">
        <v>16</v>
      </c>
      <c r="C4" s="6" t="s">
        <v>515</v>
      </c>
      <c r="D4" s="6" t="s">
        <v>516</v>
      </c>
    </row>
    <row r="5" spans="1:4" ht="19.75" customHeight="1">
      <c r="A5" s="18" t="s">
        <v>495</v>
      </c>
      <c r="B5" s="19" t="s">
        <v>19</v>
      </c>
      <c r="C5" s="8" t="s">
        <v>517</v>
      </c>
      <c r="D5" s="8" t="s">
        <v>518</v>
      </c>
    </row>
    <row r="6" spans="1:4" ht="35.5" customHeight="1">
      <c r="A6" s="18" t="s">
        <v>495</v>
      </c>
      <c r="B6" s="19" t="s">
        <v>22</v>
      </c>
      <c r="C6" s="8" t="s">
        <v>519</v>
      </c>
      <c r="D6" s="8" t="s">
        <v>520</v>
      </c>
    </row>
    <row r="7" spans="1:4" ht="35.5" customHeight="1">
      <c r="A7" s="18" t="s">
        <v>495</v>
      </c>
      <c r="B7" s="19" t="s">
        <v>25</v>
      </c>
      <c r="C7" s="8" t="s">
        <v>521</v>
      </c>
      <c r="D7" s="8" t="s">
        <v>522</v>
      </c>
    </row>
    <row r="8" spans="1:4" ht="19.75" customHeight="1">
      <c r="A8" s="18" t="s">
        <v>495</v>
      </c>
      <c r="B8" s="19" t="s">
        <v>28</v>
      </c>
      <c r="C8" s="8" t="s">
        <v>523</v>
      </c>
      <c r="D8" s="8" t="s">
        <v>524</v>
      </c>
    </row>
    <row r="9" spans="1:4" ht="35.5" customHeight="1">
      <c r="A9" s="18" t="s">
        <v>495</v>
      </c>
      <c r="B9" s="19" t="s">
        <v>31</v>
      </c>
      <c r="C9" s="8" t="s">
        <v>525</v>
      </c>
      <c r="D9" s="8" t="s">
        <v>526</v>
      </c>
    </row>
    <row r="10" spans="1:4" ht="35.5" customHeight="1">
      <c r="A10" s="18" t="s">
        <v>498</v>
      </c>
      <c r="B10" s="19" t="s">
        <v>196</v>
      </c>
      <c r="C10" s="8" t="s">
        <v>527</v>
      </c>
      <c r="D10" s="8" t="s">
        <v>528</v>
      </c>
    </row>
    <row r="11" spans="1:4" ht="35.5" customHeight="1">
      <c r="A11" s="18" t="s">
        <v>498</v>
      </c>
      <c r="B11" s="19" t="s">
        <v>111</v>
      </c>
      <c r="C11" s="8" t="s">
        <v>529</v>
      </c>
      <c r="D11" s="8" t="s">
        <v>530</v>
      </c>
    </row>
    <row r="12" spans="1:4" ht="19.75" customHeight="1">
      <c r="A12" s="18" t="s">
        <v>498</v>
      </c>
      <c r="B12" s="19" t="s">
        <v>110</v>
      </c>
      <c r="C12" s="8" t="s">
        <v>531</v>
      </c>
      <c r="D12" s="8" t="s">
        <v>532</v>
      </c>
    </row>
    <row r="13" spans="1:4" ht="35.5" customHeight="1">
      <c r="A13" s="18" t="s">
        <v>498</v>
      </c>
      <c r="B13" s="19" t="s">
        <v>200</v>
      </c>
      <c r="C13" s="8" t="s">
        <v>533</v>
      </c>
      <c r="D13" s="8" t="s">
        <v>534</v>
      </c>
    </row>
    <row r="14" spans="1:4" ht="35.5" customHeight="1">
      <c r="A14" s="18" t="s">
        <v>498</v>
      </c>
      <c r="B14" s="19" t="s">
        <v>116</v>
      </c>
      <c r="C14" s="8" t="s">
        <v>535</v>
      </c>
      <c r="D14" s="8" t="s">
        <v>536</v>
      </c>
    </row>
    <row r="15" spans="1:4" ht="19.75" customHeight="1">
      <c r="A15" s="18" t="s">
        <v>498</v>
      </c>
      <c r="B15" s="19" t="s">
        <v>204</v>
      </c>
      <c r="C15" s="8" t="s">
        <v>537</v>
      </c>
      <c r="D15" s="8" t="s">
        <v>538</v>
      </c>
    </row>
    <row r="16" spans="1:4" ht="35.5" customHeight="1">
      <c r="A16" s="18" t="s">
        <v>498</v>
      </c>
      <c r="B16" s="19" t="s">
        <v>132</v>
      </c>
      <c r="C16" s="8" t="s">
        <v>539</v>
      </c>
      <c r="D16" s="8" t="s">
        <v>540</v>
      </c>
    </row>
    <row r="17" spans="1:4" ht="19.75" customHeight="1">
      <c r="A17" s="18" t="s">
        <v>501</v>
      </c>
      <c r="B17" s="19" t="s">
        <v>127</v>
      </c>
      <c r="C17" s="8" t="s">
        <v>541</v>
      </c>
      <c r="D17" s="8" t="s">
        <v>542</v>
      </c>
    </row>
    <row r="18" spans="1:4" ht="35.5" customHeight="1">
      <c r="A18" s="18" t="s">
        <v>501</v>
      </c>
      <c r="B18" s="19" t="s">
        <v>117</v>
      </c>
      <c r="C18" s="8" t="s">
        <v>543</v>
      </c>
      <c r="D18" s="8" t="s">
        <v>544</v>
      </c>
    </row>
    <row r="19" spans="1:4" ht="35.5" customHeight="1">
      <c r="A19" s="18" t="s">
        <v>501</v>
      </c>
      <c r="B19" s="19" t="s">
        <v>118</v>
      </c>
      <c r="C19" s="8" t="s">
        <v>545</v>
      </c>
      <c r="D19" s="8" t="s">
        <v>546</v>
      </c>
    </row>
    <row r="20" spans="1:4" ht="19.75" customHeight="1">
      <c r="A20" s="18" t="s">
        <v>501</v>
      </c>
      <c r="B20" s="19" t="s">
        <v>257</v>
      </c>
      <c r="C20" s="8" t="s">
        <v>547</v>
      </c>
      <c r="D20" s="8" t="s">
        <v>548</v>
      </c>
    </row>
  </sheetData>
  <sheetProtection sheet="1" objects="1" scenarios="1" formatColumns="0" formatRows="0"/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E1" t="s">
        <v>3</v>
      </c>
    </row>
    <row r="2" spans="1:10">
      <c r="A2" t="s">
        <v>38</v>
      </c>
      <c r="B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</row>
    <row r="3" spans="1:10">
      <c r="A3" t="s">
        <v>48</v>
      </c>
      <c r="B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</row>
    <row r="4" spans="1:10">
      <c r="A4" t="s">
        <v>58</v>
      </c>
      <c r="B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</row>
    <row r="5" spans="1:10">
      <c r="A5" t="s">
        <v>68</v>
      </c>
      <c r="B5" t="s">
        <v>69</v>
      </c>
      <c r="E5" t="s">
        <v>70</v>
      </c>
    </row>
    <row r="6" spans="1:10">
      <c r="A6" t="s">
        <v>73</v>
      </c>
      <c r="B6" t="s">
        <v>74</v>
      </c>
      <c r="E6" t="s">
        <v>75</v>
      </c>
    </row>
    <row r="7" spans="1:10">
      <c r="A7" t="s">
        <v>78</v>
      </c>
      <c r="B7" t="s">
        <v>79</v>
      </c>
      <c r="E7" t="s">
        <v>80</v>
      </c>
    </row>
    <row r="8" spans="1:10">
      <c r="A8" t="s">
        <v>83</v>
      </c>
      <c r="B8" t="s">
        <v>84</v>
      </c>
      <c r="E8" t="s">
        <v>85</v>
      </c>
    </row>
    <row r="9" spans="1:10">
      <c r="A9" t="s">
        <v>88</v>
      </c>
      <c r="B9" t="s">
        <v>89</v>
      </c>
      <c r="E9" t="s">
        <v>90</v>
      </c>
    </row>
    <row r="10" spans="1:10">
      <c r="A10" t="s">
        <v>93</v>
      </c>
      <c r="B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</row>
    <row r="11" spans="1:10">
      <c r="A11" t="s">
        <v>102</v>
      </c>
      <c r="B11" t="s">
        <v>103</v>
      </c>
      <c r="E11" t="s">
        <v>104</v>
      </c>
    </row>
    <row r="12" spans="1:10">
      <c r="A12" t="s">
        <v>108</v>
      </c>
      <c r="B12" t="s">
        <v>109</v>
      </c>
      <c r="C12" t="s">
        <v>19</v>
      </c>
      <c r="E12" t="s">
        <v>110</v>
      </c>
      <c r="F12" t="s">
        <v>22</v>
      </c>
      <c r="G12" t="s">
        <v>19</v>
      </c>
      <c r="H12" t="s">
        <v>111</v>
      </c>
    </row>
    <row r="13" spans="1:10">
      <c r="A13" t="s">
        <v>114</v>
      </c>
      <c r="B13" t="s">
        <v>115</v>
      </c>
      <c r="C13" t="s">
        <v>22</v>
      </c>
      <c r="E13" t="s">
        <v>22</v>
      </c>
      <c r="F13" t="s">
        <v>116</v>
      </c>
      <c r="G13" t="s">
        <v>117</v>
      </c>
      <c r="H13" t="s">
        <v>118</v>
      </c>
    </row>
    <row r="14" spans="1:10">
      <c r="A14" t="s">
        <v>121</v>
      </c>
      <c r="B14" t="s">
        <v>122</v>
      </c>
      <c r="C14" t="s">
        <v>25</v>
      </c>
      <c r="E14" t="s">
        <v>110</v>
      </c>
      <c r="F14" t="s">
        <v>116</v>
      </c>
      <c r="G14" t="s">
        <v>22</v>
      </c>
      <c r="H14" t="s">
        <v>25</v>
      </c>
    </row>
    <row r="15" spans="1:10">
      <c r="A15" t="s">
        <v>125</v>
      </c>
      <c r="B15" t="s">
        <v>126</v>
      </c>
      <c r="C15" t="s">
        <v>28</v>
      </c>
      <c r="E15" t="s">
        <v>116</v>
      </c>
      <c r="F15" t="s">
        <v>28</v>
      </c>
      <c r="G15" t="s">
        <v>117</v>
      </c>
      <c r="H15" t="s">
        <v>127</v>
      </c>
    </row>
    <row r="16" spans="1:10">
      <c r="A16" t="s">
        <v>130</v>
      </c>
      <c r="B16" t="s">
        <v>131</v>
      </c>
      <c r="C16" t="s">
        <v>31</v>
      </c>
      <c r="E16" t="s">
        <v>132</v>
      </c>
      <c r="F16" t="s">
        <v>31</v>
      </c>
      <c r="G16" t="s">
        <v>117</v>
      </c>
      <c r="H16" t="s">
        <v>111</v>
      </c>
    </row>
    <row r="17" spans="1:10">
      <c r="A17" t="s">
        <v>137</v>
      </c>
      <c r="B17" t="s">
        <v>109</v>
      </c>
      <c r="E17" t="s">
        <v>138</v>
      </c>
    </row>
    <row r="18" spans="1:10">
      <c r="A18" t="s">
        <v>140</v>
      </c>
      <c r="B18" t="s">
        <v>115</v>
      </c>
      <c r="E18" t="s">
        <v>141</v>
      </c>
    </row>
    <row r="19" spans="1:10">
      <c r="A19" t="s">
        <v>143</v>
      </c>
      <c r="B19" t="s">
        <v>122</v>
      </c>
      <c r="E19" t="s">
        <v>144</v>
      </c>
    </row>
    <row r="20" spans="1:10">
      <c r="A20" t="s">
        <v>146</v>
      </c>
      <c r="B20" t="s">
        <v>126</v>
      </c>
      <c r="E20" t="s">
        <v>147</v>
      </c>
    </row>
    <row r="21" spans="1:10">
      <c r="A21" t="s">
        <v>149</v>
      </c>
      <c r="B21" t="s">
        <v>131</v>
      </c>
      <c r="E21" t="s">
        <v>150</v>
      </c>
    </row>
    <row r="22" spans="1:10">
      <c r="A22" t="s">
        <v>152</v>
      </c>
      <c r="B22" t="s">
        <v>153</v>
      </c>
    </row>
    <row r="23" spans="1:10">
      <c r="A23" t="s">
        <v>157</v>
      </c>
      <c r="B23" t="s">
        <v>158</v>
      </c>
    </row>
    <row r="24" spans="1:10">
      <c r="A24" t="s">
        <v>162</v>
      </c>
      <c r="B24" t="s">
        <v>163</v>
      </c>
    </row>
    <row r="25" spans="1:10">
      <c r="A25" t="s">
        <v>167</v>
      </c>
      <c r="B25" t="s">
        <v>168</v>
      </c>
    </row>
    <row r="26" spans="1:10">
      <c r="A26" t="s">
        <v>207</v>
      </c>
      <c r="B26" t="s">
        <v>109</v>
      </c>
      <c r="E26" t="s">
        <v>138</v>
      </c>
    </row>
    <row r="27" spans="1:10">
      <c r="A27" t="s">
        <v>209</v>
      </c>
      <c r="B27" t="s">
        <v>115</v>
      </c>
      <c r="E27" t="s">
        <v>141</v>
      </c>
    </row>
    <row r="28" spans="1:10">
      <c r="A28" t="s">
        <v>211</v>
      </c>
      <c r="B28" t="s">
        <v>122</v>
      </c>
      <c r="E28" t="s">
        <v>144</v>
      </c>
    </row>
    <row r="29" spans="1:10">
      <c r="A29" t="s">
        <v>213</v>
      </c>
      <c r="B29" t="s">
        <v>126</v>
      </c>
      <c r="E29" t="s">
        <v>147</v>
      </c>
    </row>
    <row r="30" spans="1:10">
      <c r="A30" t="s">
        <v>215</v>
      </c>
      <c r="B30" t="s">
        <v>131</v>
      </c>
      <c r="E30" t="s">
        <v>150</v>
      </c>
    </row>
    <row r="31" spans="1:10">
      <c r="A31" t="s">
        <v>217</v>
      </c>
      <c r="B31" t="s">
        <v>218</v>
      </c>
      <c r="E31" t="s">
        <v>219</v>
      </c>
      <c r="F31" t="s">
        <v>220</v>
      </c>
      <c r="G31" t="s">
        <v>221</v>
      </c>
      <c r="H31" t="s">
        <v>222</v>
      </c>
      <c r="I31" t="s">
        <v>223</v>
      </c>
      <c r="J31" t="s">
        <v>224</v>
      </c>
    </row>
    <row r="32" spans="1:10">
      <c r="A32" t="s">
        <v>226</v>
      </c>
      <c r="B32" t="s">
        <v>227</v>
      </c>
      <c r="E32" t="s">
        <v>228</v>
      </c>
      <c r="F32" t="s">
        <v>229</v>
      </c>
      <c r="G32" t="s">
        <v>230</v>
      </c>
      <c r="H32" t="s">
        <v>231</v>
      </c>
      <c r="I32" t="s">
        <v>232</v>
      </c>
      <c r="J32" t="s">
        <v>233</v>
      </c>
    </row>
    <row r="33" spans="1:10">
      <c r="A33" t="s">
        <v>235</v>
      </c>
      <c r="B33" t="s">
        <v>236</v>
      </c>
      <c r="E33" t="s">
        <v>237</v>
      </c>
      <c r="F33" t="s">
        <v>238</v>
      </c>
      <c r="G33" t="s">
        <v>239</v>
      </c>
      <c r="H33" t="s">
        <v>240</v>
      </c>
      <c r="I33" t="s">
        <v>241</v>
      </c>
      <c r="J33" t="s">
        <v>242</v>
      </c>
    </row>
    <row r="34" spans="1:10">
      <c r="A34" t="s">
        <v>244</v>
      </c>
      <c r="B34" t="s">
        <v>245</v>
      </c>
      <c r="E34" t="s">
        <v>246</v>
      </c>
    </row>
    <row r="35" spans="1:10">
      <c r="A35" t="s">
        <v>248</v>
      </c>
      <c r="B35" t="s">
        <v>249</v>
      </c>
      <c r="E35" t="s">
        <v>250</v>
      </c>
    </row>
    <row r="36" spans="1:10">
      <c r="A36" t="s">
        <v>252</v>
      </c>
      <c r="B36" t="s">
        <v>253</v>
      </c>
      <c r="C36" t="s">
        <v>196</v>
      </c>
      <c r="E36" t="s">
        <v>110</v>
      </c>
      <c r="F36" t="s">
        <v>132</v>
      </c>
      <c r="G36" t="s">
        <v>196</v>
      </c>
      <c r="H36" t="s">
        <v>19</v>
      </c>
    </row>
    <row r="37" spans="1:10">
      <c r="A37" t="s">
        <v>255</v>
      </c>
      <c r="B37" t="s">
        <v>256</v>
      </c>
      <c r="C37" t="s">
        <v>111</v>
      </c>
      <c r="E37" t="s">
        <v>110</v>
      </c>
      <c r="F37" t="s">
        <v>111</v>
      </c>
      <c r="G37" t="s">
        <v>117</v>
      </c>
      <c r="H37" t="s">
        <v>257</v>
      </c>
    </row>
    <row r="38" spans="1:10">
      <c r="A38" t="s">
        <v>259</v>
      </c>
      <c r="B38" t="s">
        <v>260</v>
      </c>
      <c r="C38" t="s">
        <v>110</v>
      </c>
      <c r="E38" t="s">
        <v>110</v>
      </c>
      <c r="F38" t="s">
        <v>28</v>
      </c>
      <c r="G38" t="s">
        <v>204</v>
      </c>
      <c r="H38" t="s">
        <v>25</v>
      </c>
    </row>
    <row r="39" spans="1:10">
      <c r="A39" t="s">
        <v>262</v>
      </c>
      <c r="B39" t="s">
        <v>263</v>
      </c>
      <c r="C39" t="s">
        <v>200</v>
      </c>
      <c r="E39" t="s">
        <v>19</v>
      </c>
      <c r="F39" t="s">
        <v>200</v>
      </c>
      <c r="G39" t="s">
        <v>116</v>
      </c>
      <c r="H39" t="s">
        <v>257</v>
      </c>
    </row>
    <row r="40" spans="1:10">
      <c r="A40" t="s">
        <v>265</v>
      </c>
      <c r="B40" t="s">
        <v>266</v>
      </c>
      <c r="C40" t="s">
        <v>116</v>
      </c>
      <c r="E40" t="s">
        <v>204</v>
      </c>
      <c r="F40" t="s">
        <v>196</v>
      </c>
      <c r="G40" t="s">
        <v>116</v>
      </c>
      <c r="H40" t="s">
        <v>19</v>
      </c>
    </row>
    <row r="41" spans="1:10">
      <c r="A41" t="s">
        <v>268</v>
      </c>
      <c r="B41" t="s">
        <v>269</v>
      </c>
      <c r="C41" t="s">
        <v>204</v>
      </c>
      <c r="E41" t="s">
        <v>204</v>
      </c>
      <c r="F41" t="s">
        <v>117</v>
      </c>
      <c r="G41" t="s">
        <v>118</v>
      </c>
      <c r="H41" t="s">
        <v>31</v>
      </c>
    </row>
    <row r="42" spans="1:10">
      <c r="A42" t="s">
        <v>272</v>
      </c>
      <c r="B42" t="s">
        <v>273</v>
      </c>
      <c r="C42" t="s">
        <v>132</v>
      </c>
      <c r="E42" t="s">
        <v>200</v>
      </c>
      <c r="F42" t="s">
        <v>111</v>
      </c>
      <c r="G42" t="s">
        <v>132</v>
      </c>
      <c r="H42" t="s">
        <v>110</v>
      </c>
    </row>
    <row r="43" spans="1:10">
      <c r="A43" t="s">
        <v>277</v>
      </c>
      <c r="B43" t="s">
        <v>253</v>
      </c>
      <c r="E43" t="s">
        <v>278</v>
      </c>
    </row>
    <row r="44" spans="1:10">
      <c r="A44" t="s">
        <v>279</v>
      </c>
      <c r="B44" t="s">
        <v>256</v>
      </c>
      <c r="E44" t="s">
        <v>280</v>
      </c>
    </row>
    <row r="45" spans="1:10">
      <c r="A45" t="s">
        <v>281</v>
      </c>
      <c r="B45" t="s">
        <v>260</v>
      </c>
      <c r="E45" t="s">
        <v>282</v>
      </c>
    </row>
    <row r="46" spans="1:10">
      <c r="A46" t="s">
        <v>283</v>
      </c>
      <c r="B46" t="s">
        <v>263</v>
      </c>
      <c r="E46" t="s">
        <v>284</v>
      </c>
      <c r="F46" t="s">
        <v>285</v>
      </c>
    </row>
    <row r="47" spans="1:10">
      <c r="A47" t="s">
        <v>286</v>
      </c>
      <c r="B47" t="s">
        <v>266</v>
      </c>
      <c r="E47" t="s">
        <v>287</v>
      </c>
    </row>
    <row r="48" spans="1:10">
      <c r="A48" t="s">
        <v>288</v>
      </c>
      <c r="B48" t="s">
        <v>269</v>
      </c>
      <c r="E48" t="s">
        <v>289</v>
      </c>
    </row>
    <row r="49" spans="1:9">
      <c r="A49" t="s">
        <v>290</v>
      </c>
      <c r="B49" t="s">
        <v>273</v>
      </c>
      <c r="E49" t="s">
        <v>291</v>
      </c>
    </row>
    <row r="50" spans="1:9">
      <c r="A50" t="s">
        <v>292</v>
      </c>
      <c r="B50" t="s">
        <v>293</v>
      </c>
      <c r="E50" cm="1">
        <f t="array" ref="E50">SUM('S2-2 Arena'!$D$7:$D$10)</f>
        <v>1020</v>
      </c>
      <c r="F50" cm="1">
        <f t="array" ref="F50">SUM('S2-2 Arena'!$E$7:$E$10)</f>
        <v>1270</v>
      </c>
      <c r="G50" cm="1">
        <f t="array" ref="G50">SUM('S2-2 Arena'!$F$7:$F$10)</f>
        <v>1030</v>
      </c>
      <c r="H50" cm="1">
        <f t="array" ref="H50">SUM('S2-2 Arena'!$G$7:$G$10)</f>
        <v>1530</v>
      </c>
      <c r="I50" cm="1">
        <f t="array" ref="I50">SUM('S2-2 Arena'!$H$7:$H$10)</f>
        <v>1035</v>
      </c>
    </row>
    <row r="51" spans="1:9">
      <c r="A51" t="s">
        <v>296</v>
      </c>
      <c r="B51" t="s">
        <v>297</v>
      </c>
    </row>
    <row r="52" spans="1:9">
      <c r="A52" t="s">
        <v>300</v>
      </c>
      <c r="B52" t="s">
        <v>301</v>
      </c>
    </row>
    <row r="53" spans="1:9">
      <c r="A53" t="s">
        <v>327</v>
      </c>
      <c r="B53" t="s">
        <v>253</v>
      </c>
      <c r="E53" t="s">
        <v>278</v>
      </c>
    </row>
    <row r="54" spans="1:9">
      <c r="A54" t="s">
        <v>329</v>
      </c>
      <c r="B54" t="s">
        <v>256</v>
      </c>
      <c r="E54" t="s">
        <v>280</v>
      </c>
    </row>
    <row r="55" spans="1:9">
      <c r="A55" t="s">
        <v>331</v>
      </c>
      <c r="B55" t="s">
        <v>260</v>
      </c>
      <c r="E55" t="s">
        <v>282</v>
      </c>
    </row>
    <row r="56" spans="1:9">
      <c r="A56" t="s">
        <v>333</v>
      </c>
      <c r="B56" t="s">
        <v>263</v>
      </c>
      <c r="E56" t="s">
        <v>284</v>
      </c>
      <c r="F56" t="s">
        <v>285</v>
      </c>
    </row>
    <row r="57" spans="1:9">
      <c r="A57" t="s">
        <v>335</v>
      </c>
      <c r="B57" t="s">
        <v>266</v>
      </c>
      <c r="E57" t="s">
        <v>287</v>
      </c>
    </row>
    <row r="58" spans="1:9">
      <c r="A58" t="s">
        <v>337</v>
      </c>
      <c r="B58" t="s">
        <v>269</v>
      </c>
      <c r="E58" t="s">
        <v>289</v>
      </c>
    </row>
    <row r="59" spans="1:9">
      <c r="A59" t="s">
        <v>339</v>
      </c>
      <c r="B59" t="s">
        <v>273</v>
      </c>
      <c r="E59" t="s">
        <v>291</v>
      </c>
    </row>
    <row r="60" spans="1:9">
      <c r="A60" t="s">
        <v>341</v>
      </c>
      <c r="B60" t="s">
        <v>342</v>
      </c>
      <c r="E60" t="s">
        <v>343</v>
      </c>
      <c r="F60" t="s">
        <v>344</v>
      </c>
      <c r="G60" t="s">
        <v>345</v>
      </c>
      <c r="H60" t="s">
        <v>346</v>
      </c>
    </row>
    <row r="61" spans="1:9">
      <c r="A61" t="s">
        <v>348</v>
      </c>
      <c r="B61" t="s">
        <v>349</v>
      </c>
      <c r="E61" t="s">
        <v>350</v>
      </c>
    </row>
    <row r="62" spans="1:9">
      <c r="A62" t="s">
        <v>352</v>
      </c>
      <c r="B62" t="s">
        <v>115</v>
      </c>
      <c r="E62" t="s">
        <v>141</v>
      </c>
    </row>
    <row r="63" spans="1:9">
      <c r="A63" t="s">
        <v>354</v>
      </c>
      <c r="B63" t="s">
        <v>355</v>
      </c>
      <c r="C63" t="s">
        <v>127</v>
      </c>
      <c r="E63" t="s">
        <v>204</v>
      </c>
      <c r="F63" t="s">
        <v>127</v>
      </c>
      <c r="G63" t="s">
        <v>196</v>
      </c>
      <c r="H63" t="s">
        <v>132</v>
      </c>
    </row>
    <row r="64" spans="1:9">
      <c r="A64" t="s">
        <v>357</v>
      </c>
      <c r="B64" t="s">
        <v>358</v>
      </c>
      <c r="C64" t="s">
        <v>117</v>
      </c>
      <c r="E64" t="s">
        <v>200</v>
      </c>
      <c r="F64" t="s">
        <v>117</v>
      </c>
      <c r="G64" t="s">
        <v>116</v>
      </c>
      <c r="H64" t="s">
        <v>204</v>
      </c>
    </row>
    <row r="65" spans="1:11">
      <c r="A65" t="s">
        <v>360</v>
      </c>
      <c r="B65" t="s">
        <v>361</v>
      </c>
      <c r="C65" t="s">
        <v>118</v>
      </c>
      <c r="E65" t="s">
        <v>19</v>
      </c>
      <c r="F65" t="s">
        <v>118</v>
      </c>
      <c r="G65" t="s">
        <v>204</v>
      </c>
      <c r="H65" t="s">
        <v>22</v>
      </c>
    </row>
    <row r="66" spans="1:11">
      <c r="A66" t="s">
        <v>363</v>
      </c>
      <c r="B66" t="s">
        <v>364</v>
      </c>
      <c r="C66" t="s">
        <v>257</v>
      </c>
      <c r="E66" t="s">
        <v>257</v>
      </c>
      <c r="F66" t="s">
        <v>110</v>
      </c>
      <c r="G66" t="s">
        <v>25</v>
      </c>
      <c r="H66" t="s">
        <v>200</v>
      </c>
    </row>
    <row r="67" spans="1:11">
      <c r="A67" t="s">
        <v>367</v>
      </c>
      <c r="B67" t="s">
        <v>355</v>
      </c>
      <c r="E67" t="s">
        <v>368</v>
      </c>
      <c r="F67" t="s">
        <v>369</v>
      </c>
    </row>
    <row r="68" spans="1:11">
      <c r="A68" t="s">
        <v>370</v>
      </c>
      <c r="B68" t="s">
        <v>358</v>
      </c>
      <c r="E68" t="s">
        <v>371</v>
      </c>
      <c r="F68" t="s">
        <v>372</v>
      </c>
      <c r="G68" t="s">
        <v>373</v>
      </c>
      <c r="H68" t="s">
        <v>374</v>
      </c>
      <c r="I68" t="s">
        <v>375</v>
      </c>
      <c r="J68" t="s">
        <v>376</v>
      </c>
      <c r="K68" t="s">
        <v>377</v>
      </c>
    </row>
    <row r="69" spans="1:11">
      <c r="A69" t="s">
        <v>378</v>
      </c>
      <c r="B69" t="s">
        <v>361</v>
      </c>
      <c r="E69" t="s">
        <v>379</v>
      </c>
    </row>
    <row r="70" spans="1:11">
      <c r="A70" t="s">
        <v>380</v>
      </c>
      <c r="B70" t="s">
        <v>364</v>
      </c>
      <c r="E70" t="s">
        <v>381</v>
      </c>
    </row>
    <row r="71" spans="1:11">
      <c r="A71" t="s">
        <v>382</v>
      </c>
      <c r="B71" t="s">
        <v>383</v>
      </c>
    </row>
    <row r="72" spans="1:11">
      <c r="A72" t="s">
        <v>386</v>
      </c>
      <c r="B72" t="s">
        <v>358</v>
      </c>
    </row>
    <row r="73" spans="1:11">
      <c r="A73" t="s">
        <v>389</v>
      </c>
      <c r="B73" t="s">
        <v>390</v>
      </c>
    </row>
    <row r="74" spans="1:11">
      <c r="A74" t="s">
        <v>393</v>
      </c>
      <c r="B74" t="s">
        <v>394</v>
      </c>
    </row>
    <row r="75" spans="1:11">
      <c r="A75" t="s">
        <v>427</v>
      </c>
      <c r="B75" t="s">
        <v>355</v>
      </c>
      <c r="E75" t="s">
        <v>368</v>
      </c>
      <c r="F75" t="s">
        <v>369</v>
      </c>
    </row>
    <row r="76" spans="1:11">
      <c r="A76" t="s">
        <v>429</v>
      </c>
      <c r="B76" t="s">
        <v>358</v>
      </c>
      <c r="E76" t="s">
        <v>371</v>
      </c>
      <c r="F76" t="s">
        <v>372</v>
      </c>
      <c r="G76" t="s">
        <v>373</v>
      </c>
      <c r="H76" t="s">
        <v>374</v>
      </c>
      <c r="I76" t="s">
        <v>375</v>
      </c>
      <c r="J76" t="s">
        <v>376</v>
      </c>
      <c r="K76" t="s">
        <v>377</v>
      </c>
    </row>
    <row r="77" spans="1:11">
      <c r="A77" t="s">
        <v>430</v>
      </c>
      <c r="B77" t="s">
        <v>361</v>
      </c>
      <c r="E77" t="s">
        <v>379</v>
      </c>
    </row>
    <row r="78" spans="1:11">
      <c r="A78" t="s">
        <v>432</v>
      </c>
      <c r="B78" t="s">
        <v>364</v>
      </c>
      <c r="E78" t="s">
        <v>381</v>
      </c>
    </row>
    <row r="79" spans="1:11">
      <c r="A79" t="s">
        <v>433</v>
      </c>
      <c r="B79" t="s">
        <v>434</v>
      </c>
      <c r="E79" t="s">
        <v>435</v>
      </c>
      <c r="F79" t="s">
        <v>436</v>
      </c>
    </row>
    <row r="80" spans="1:11">
      <c r="A80" t="s">
        <v>438</v>
      </c>
      <c r="B80" t="s">
        <v>439</v>
      </c>
      <c r="E80" t="s">
        <v>440</v>
      </c>
    </row>
    <row r="81" spans="1:7">
      <c r="A81" t="s">
        <v>442</v>
      </c>
      <c r="B81" t="s">
        <v>109</v>
      </c>
      <c r="E81" t="s">
        <v>138</v>
      </c>
    </row>
    <row r="82" spans="1:7">
      <c r="A82" t="s">
        <v>444</v>
      </c>
      <c r="B82" t="s">
        <v>115</v>
      </c>
      <c r="E82" t="s">
        <v>141</v>
      </c>
    </row>
    <row r="83" spans="1:7">
      <c r="A83" t="s">
        <v>448</v>
      </c>
      <c r="B83" t="s">
        <v>449</v>
      </c>
    </row>
    <row r="84" spans="1:7">
      <c r="A84" t="s">
        <v>452</v>
      </c>
      <c r="B84" t="s">
        <v>453</v>
      </c>
    </row>
    <row r="85" spans="1:7">
      <c r="A85" t="s">
        <v>456</v>
      </c>
      <c r="B85" t="s">
        <v>457</v>
      </c>
      <c r="E85" cm="1">
        <f t="array" ref="E85">SUM('Boss Arena'!$D$16:$D$18)</f>
        <v>31</v>
      </c>
      <c r="F85" cm="1">
        <f t="array" ref="F85">SUM('Boss Arena'!$E$16:$E$18)</f>
        <v>34</v>
      </c>
      <c r="G85" cm="1">
        <f t="array" ref="G85">SUM('Boss Arena'!$F$16:$F$18)</f>
        <v>35</v>
      </c>
    </row>
    <row r="86" spans="1:7">
      <c r="A86" t="s">
        <v>460</v>
      </c>
      <c r="B86" t="s">
        <v>461</v>
      </c>
    </row>
    <row r="87" spans="1:7">
      <c r="A87" t="s">
        <v>464</v>
      </c>
      <c r="B87" t="s">
        <v>127</v>
      </c>
    </row>
    <row r="88" spans="1:7">
      <c r="A88" t="s">
        <v>467</v>
      </c>
      <c r="B88" t="s">
        <v>468</v>
      </c>
    </row>
    <row r="89" spans="1:7">
      <c r="A89" t="s">
        <v>471</v>
      </c>
      <c r="B89" t="s">
        <v>472</v>
      </c>
    </row>
    <row r="90" spans="1:7">
      <c r="A90" t="s">
        <v>475</v>
      </c>
      <c r="B90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Start</vt:lpstr>
      <vt:lpstr>S2-1 Quick Entry</vt:lpstr>
      <vt:lpstr>S2-1 Arena</vt:lpstr>
      <vt:lpstr>S2-2 Clone Machine</vt:lpstr>
      <vt:lpstr>S2-2 Arena</vt:lpstr>
      <vt:lpstr>S2-3 Stamps &amp; Smart Fill</vt:lpstr>
      <vt:lpstr>S2-3 Arena</vt:lpstr>
      <vt:lpstr>Boss</vt:lpstr>
      <vt:lpstr>Boss Arena</vt:lpstr>
      <vt:lpstr>Cheat Codes</vt:lpstr>
      <vt:lpstr>Boss!Print_Titles</vt:lpstr>
      <vt:lpstr>'Cheat Codes'!Print_Titles</vt:lpstr>
      <vt:lpstr>'S2-1 Quick Entry'!Print_Titles</vt:lpstr>
      <vt:lpstr>'S2-2 Clone Machine'!Print_Titles</vt:lpstr>
      <vt:lpstr>'S2-3 Stamps &amp; Smart Fill'!Print_Titles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Shortcuts 2 · Enter &amp; Edit</dc:title>
  <dc:subject>Excel practice: Type, fill, copy and stamp data at speed.</dc:subject>
  <dc:creator>excel-drills</dc:creator>
  <cp:keywords>Excel, practice, shortcuts, Enter &amp; Edit</cp:keywords>
  <dc:description>Generated by excel-drills. Requires Windows with Excel 365 or 2021+ (English).</dc:description>
  <cp:lastModifiedBy>excel-drills</cp:lastModifiedBy>
  <dcterms:created xsi:type="dcterms:W3CDTF">2026-10-12T00:00:00Z</dcterms:created>
  <dcterms:modified xsi:type="dcterms:W3CDTF">2026-10-12T00:00:00Z</dcterms:modified>
  <cp:category>Excel practice</cp:category>
</cp:coreProperties>
</file>