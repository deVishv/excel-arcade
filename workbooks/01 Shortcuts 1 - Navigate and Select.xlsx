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S1-1 Warp Zones" sheetId="2" r:id="rId2"/>
    <sheet name="S1-1 Arena" sheetId="3" r:id="rId3"/>
    <sheet name="S1-2 Teleport" sheetId="4" r:id="rId4"/>
    <sheet name="S1-2 Arena" sheetId="5" r:id="rId5"/>
    <sheet name="S1-3 Lasso" sheetId="6" r:id="rId6"/>
    <sheet name="S1-3 Arena" sheetId="7" r:id="rId7"/>
    <sheet name="S1-4 Grab" sheetId="8" r:id="rId8"/>
    <sheet name="S1-4 Arena" sheetId="9" r:id="rId9"/>
    <sheet name="Boss" sheetId="10" r:id="rId10"/>
    <sheet name="Boss Arena" sheetId="11" r:id="rId11"/>
    <sheet name="Cheat Codes" sheetId="12" r:id="rId12"/>
    <sheet name="Key" sheetId="13" state="veryHidden" r:id="rId13"/>
  </sheets>
  <definedNames>
    <definedName name="_xlnm.Print_Titles" localSheetId="9">Boss!$1:$4</definedName>
    <definedName name="_xlnm.Print_Titles" localSheetId="11">'Cheat Codes'!$4:$4</definedName>
    <definedName name="_xlnm.Print_Titles" localSheetId="1">'S1-1 Warp Zones'!$1:$4</definedName>
    <definedName name="_xlnm.Print_Titles" localSheetId="3">'S1-2 Teleport'!$1:$4</definedName>
    <definedName name="_xlnm.Print_Titles" localSheetId="5">'S1-3 Lasso'!$1:$4</definedName>
    <definedName name="_xlnm.Print_Titles" localSheetId="7">'S1-4 Grab'!$1:$4</definedName>
    <definedName name="TREASURE">'S1-2 Arena'!$M$40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<sst xmlns="http://schemas.openxmlformats.org/spreadsheetml/2006/main" count="914" uniqueCount="487">
  <si>
    <t>Challenge</t>
  </si>
  <si>
    <t>Hint</t>
  </si>
  <si>
    <t>Expected</t>
  </si>
  <si>
    <t>Lists / per-cell expectations →</t>
  </si>
  <si>
    <t>ARENA ▸ S1-1 WARP ZONES</t>
  </si>
  <si>
    <t>Practice area · everything here is editable. Missions and their checks are on the stage sheet.</t>
  </si>
  <si>
    <t>PASS CODE</t>
  </si>
  <si>
    <t>QUASAR</t>
  </si>
  <si>
    <t>◀ Back to S1-1 Warp Zones</t>
  </si>
  <si>
    <t>TRAIL ▼</t>
  </si>
  <si>
    <t>COMET</t>
  </si>
  <si>
    <t>ISLANDS ▼</t>
  </si>
  <si>
    <t>NEBULA</t>
  </si>
  <si>
    <t>ROW TRAIL ▶</t>
  </si>
  <si>
    <t>PULSAR</t>
  </si>
  <si>
    <t>START HERE</t>
  </si>
  <si>
    <t>ANCHOR</t>
  </si>
  <si>
    <t>ORBIT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</si>
  <si>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</si>
  <si>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</si>
  <si>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</si>
  <si>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</si>
  <si>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</si>
  <si>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Jump to the edge of the current data block.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Land on a blank? The next press leaps to the next filled cell.</t>
    </r>
  </si>
  <si>
    <t>Ctrl+Arrow</t>
  </si>
  <si>
    <t>2</t>
  </si>
  <si>
    <r>
      <rPr>
        <b/>
        <sz val="12"/>
        <color rgb="FF1F2328"/>
        <rFont val="Calibri"/>
        <family val="2"/>
        <scheme val="minor"/>
      </rPr>
      <t>Jump to cell A1, the top-left corner of the sheet.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fastest way back to the start of any sheet.</t>
    </r>
  </si>
  <si>
    <t>Ctrl+Home</t>
  </si>
  <si>
    <t>3</t>
  </si>
  <si>
    <r>
      <rPr>
        <b/>
        <sz val="12"/>
        <color rgb="FF1F2328"/>
        <rFont val="Calibri"/>
        <family val="2"/>
        <scheme val="minor"/>
      </rPr>
      <t>Jump to the last used cell: lowest used row, rightmost used column.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 quick way to see how big a sheet really is.</t>
    </r>
  </si>
  <si>
    <t>Ctrl+End</t>
  </si>
  <si>
    <t>4</t>
  </si>
  <si>
    <r>
      <rPr>
        <b/>
        <sz val="12"/>
        <color rgb="FF1F2328"/>
        <rFont val="Calibri"/>
        <family val="2"/>
        <scheme val="minor"/>
      </rPr>
      <t>Move to column A of the row you are in.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Ctrl+Home goes to A1; Home alone stays in your row.</t>
    </r>
  </si>
  <si>
    <t>Home</t>
  </si>
  <si>
    <t>WARM-UP · flashback to earlier stages</t>
  </si>
  <si>
    <t>Nothing to review yet — fresh start!</t>
  </si>
  <si>
    <t>TRAINING · recognize the move (pick from the list)</t>
  </si>
  <si>
    <t>Mission</t>
  </si>
  <si>
    <t>Your answer</t>
  </si>
  <si>
    <t>Result</t>
  </si>
  <si>
    <t>Hint?</t>
  </si>
  <si>
    <t>XP</t>
  </si>
  <si>
    <t>S1-1 Warp Zones T1</t>
  </si>
  <si>
    <t>Hold Ctrl and tap an arrow key.</t>
  </si>
  <si>
    <t>Shift+Space</t>
  </si>
  <si>
    <t>PgDn / PgUp</t>
  </si>
  <si>
    <t>Ctrl+PgUp</t>
  </si>
  <si>
    <t>T1</t>
  </si>
  <si>
    <t>Which keys jump to the edge of the current data block (any direction)?</t>
  </si>
  <si>
    <t>S1-1 Warp Zones T2</t>
  </si>
  <si>
    <t>Ctrl plus the key that means 'start'.</t>
  </si>
  <si>
    <t>Ctrl+Space</t>
  </si>
  <si>
    <t>F5 / Ctrl+G</t>
  </si>
  <si>
    <t>T2</t>
  </si>
  <si>
    <t>Which keys take you to the very first cell of the sheet (A1)?</t>
  </si>
  <si>
    <t>S1-1 Warp Zones T3</t>
  </si>
  <si>
    <t>Ctrl plus the opposite of Home.</t>
  </si>
  <si>
    <t>Ctrl+Shift+Home</t>
  </si>
  <si>
    <t>Ctrl+Shift+Arrow</t>
  </si>
  <si>
    <t>T3</t>
  </si>
  <si>
    <t>Which keys jump to the last used cell on the sheet?</t>
  </si>
  <si>
    <t>S1-1 Warp Zones T4</t>
  </si>
  <si>
    <t>One key, no Ctrl.</t>
  </si>
  <si>
    <t>Shift+Arrow</t>
  </si>
  <si>
    <t>T4</t>
  </si>
  <si>
    <t>Which single key moves to column A of the current row?</t>
  </si>
  <si>
    <t>CHALLENGES · recall it, then do it</t>
  </si>
  <si>
    <t>▶ Open S1-1 Arena (or press Ctrl+PgDn)</t>
  </si>
  <si>
    <t>S1-1 Warp Zones C1</t>
  </si>
  <si>
    <t>CTRL+ARROW</t>
  </si>
  <si>
    <t>CTRL+DOWN</t>
  </si>
  <si>
    <t>CTRL+LEFT</t>
  </si>
  <si>
    <t>CTRL+RIGHT</t>
  </si>
  <si>
    <t>CTRL+UP</t>
  </si>
  <si>
    <t>C1</t>
  </si>
  <si>
    <t>S1-1 Warp Zones C2</t>
  </si>
  <si>
    <t>CTRL+HOME</t>
  </si>
  <si>
    <t>C2</t>
  </si>
  <si>
    <t>S1-1 Warp Zones C3</t>
  </si>
  <si>
    <t>CTRL+END</t>
  </si>
  <si>
    <t>C3</t>
  </si>
  <si>
    <t>S1-1 Warp Zones C4</t>
  </si>
  <si>
    <t>HOME</t>
  </si>
  <si>
    <t>C4</t>
  </si>
  <si>
    <t>S1-1 Warp Zones C5</t>
  </si>
  <si>
    <t>Ctrl+↓ stops at the last filled cell before a blank.</t>
  </si>
  <si>
    <t>C5</t>
  </si>
  <si>
    <t>In the arena, click B6 and press Ctrl+↓. You fly to the bottom of the TRAIL. Type the word you land on.</t>
  </si>
  <si>
    <t>S1-1 Warp Zones C6</t>
  </si>
  <si>
    <t>Just keep pressing until you reach a word.</t>
  </si>
  <si>
    <t>C6</t>
  </si>
  <si>
    <t>In the arena, click D6. Keep pressing Ctrl+↓: each press jumps to the next edge, even across the gaps. Type the word where the islands end.</t>
  </si>
  <si>
    <t>S1-1 Warp Zones C7</t>
  </si>
  <si>
    <t>→ works just like ↓, sideways.</t>
  </si>
  <si>
    <t>C7</t>
  </si>
  <si>
    <t>In the arena, click F10 and press Ctrl+→. Type the word you land on.</t>
  </si>
  <si>
    <t>S1-1 Warp Zones C8</t>
  </si>
  <si>
    <t>Ctrl+End = lowest used row + rightmost used column.</t>
  </si>
  <si>
    <t>C8</t>
  </si>
  <si>
    <t>In the arena, press Ctrl+End to jump to the last used cell. Type the word there.</t>
  </si>
  <si>
    <t>S1-1 Warp Zones C9</t>
  </si>
  <si>
    <t>Home jumps to column A of the same row.</t>
  </si>
  <si>
    <t>C9</t>
  </si>
  <si>
    <t>In the arena, click H20 (START HERE) and press Home. Type the word in the cell you land on.</t>
  </si>
  <si>
    <t>STAGE S1-1 ▸ WARP ZONES</t>
  </si>
  <si>
    <t>Goal: cross huge tables in one keystroke</t>
  </si>
  <si>
    <t>ARENA ▸ S1-2 TELEPORT</t>
  </si>
  <si>
    <t>ZEPHYR</t>
  </si>
  <si>
    <t>◀ Back to S1-2 Teleport</t>
  </si>
  <si>
    <t>Teleport targets are hidden on this sheet. Use Go To (F5 or Ctrl+G).</t>
  </si>
  <si>
    <t>VORTEX</t>
  </si>
  <si>
    <t>GALAXY</t>
  </si>
  <si>
    <r>
      <rPr>
        <b/>
        <sz val="12"/>
        <color rgb="FF1F2328"/>
        <rFont val="Calibri"/>
        <family val="2"/>
        <scheme val="minor"/>
      </rPr>
      <t>Open Go To: type an address or a name and jump there.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Type a range like B2:D9 to jump there and select it.</t>
    </r>
  </si>
  <si>
    <r>
      <rPr>
        <b/>
        <sz val="12"/>
        <color rgb="FF1F2328"/>
        <rFont val="Calibri"/>
        <family val="2"/>
        <scheme val="minor"/>
      </rPr>
      <t>Move to the next sheet tab.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Hold Ctrl and keep tapping PgDn to flip through every tab.</t>
    </r>
  </si>
  <si>
    <t>Ctrl+PgDn</t>
  </si>
  <si>
    <r>
      <rPr>
        <b/>
        <sz val="12"/>
        <color rgb="FF1F2328"/>
        <rFont val="Calibri"/>
        <family val="2"/>
        <scheme val="minor"/>
      </rPr>
      <t>Move to the previous sheet tab.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Pairs with Ctrl+PgDn: Up goes left.</t>
    </r>
  </si>
  <si>
    <r>
      <rPr>
        <b/>
        <sz val="12"/>
        <color rgb="FF1F2328"/>
        <rFont val="Calibri"/>
        <family val="2"/>
        <scheme val="minor"/>
      </rPr>
      <t>Scroll one screen down / up.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Faster than holding ↓ when you just want to browse.</t>
    </r>
  </si>
  <si>
    <t>5</t>
  </si>
  <si>
    <r>
      <rPr>
        <b/>
        <sz val="12"/>
        <color rgb="FF1F2328"/>
        <rFont val="Calibri"/>
        <family val="2"/>
        <scheme val="minor"/>
      </rPr>
      <t>Scroll one screen right / left.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Wide sheet? Alt+PgDn pages sideways.</t>
    </r>
  </si>
  <si>
    <t>Alt+PgDn / Alt+PgUp</t>
  </si>
  <si>
    <t>S1-2 Teleport W1</t>
  </si>
  <si>
    <t>W1</t>
  </si>
  <si>
    <t>Which keys jump to the edge of the current data block (any direction)?  (from S1-1 Warp Zones)</t>
  </si>
  <si>
    <t>S1-2 Teleport W2</t>
  </si>
  <si>
    <t>W2</t>
  </si>
  <si>
    <t>Which keys take you to the very first cell of the sheet (A1)?  (from S1-1 Warp Zones)</t>
  </si>
  <si>
    <t>S1-2 Teleport W3</t>
  </si>
  <si>
    <t>W3</t>
  </si>
  <si>
    <t>Which keys jump to the last used cell on the sheet?  (from S1-1 Warp Zones)</t>
  </si>
  <si>
    <t>S1-2 Teleport W4</t>
  </si>
  <si>
    <t>W4</t>
  </si>
  <si>
    <t>Which single key moves to column A of the current row?  (from S1-1 Warp Zones)</t>
  </si>
  <si>
    <t>S1-2 Teleport T1</t>
  </si>
  <si>
    <t>A function key, or Ctrl plus G.</t>
  </si>
  <si>
    <t>Which key opens the Go To box?</t>
  </si>
  <si>
    <t>S1-2 Teleport T2</t>
  </si>
  <si>
    <t>Ctrl plus Page Down.</t>
  </si>
  <si>
    <t>Which keys move to the next sheet?</t>
  </si>
  <si>
    <t>S1-2 Teleport T3</t>
  </si>
  <si>
    <t>Ctrl plus Page Up.</t>
  </si>
  <si>
    <t>Which keys move to the previous sheet?</t>
  </si>
  <si>
    <t>S1-2 Teleport T4</t>
  </si>
  <si>
    <t>Page Down.</t>
  </si>
  <si>
    <t>Which key scrolls one screen down?</t>
  </si>
  <si>
    <t>S1-2 Teleport T5</t>
  </si>
  <si>
    <t>Alt plus Page Down.</t>
  </si>
  <si>
    <t>T5</t>
  </si>
  <si>
    <t>Which keys scroll one screen to the right?</t>
  </si>
  <si>
    <t>▶ Open S1-2 Arena (or press Ctrl+PgDn)</t>
  </si>
  <si>
    <t>S1-2 Teleport C1</t>
  </si>
  <si>
    <t>CTRL+G</t>
  </si>
  <si>
    <t>F5</t>
  </si>
  <si>
    <t>S1-2 Teleport C2</t>
  </si>
  <si>
    <t>CTRL+PGDN</t>
  </si>
  <si>
    <t>S1-2 Teleport C3</t>
  </si>
  <si>
    <t>CTRL+PGUP</t>
  </si>
  <si>
    <t>S1-2 Teleport C4</t>
  </si>
  <si>
    <t>PGDN</t>
  </si>
  <si>
    <t>S1-2 Teleport C5</t>
  </si>
  <si>
    <t>ALT+PGDN</t>
  </si>
  <si>
    <t>S1-2 Teleport C6</t>
  </si>
  <si>
    <t>Go To jumps on the sheet you're on: open the arena first.</t>
  </si>
  <si>
    <t>Go to the arena sheet, press F5 (or Ctrl+G), type K777 in the Reference box and press Enter. Type the word you land on.</t>
  </si>
  <si>
    <t>S1-2 Teleport C7</t>
  </si>
  <si>
    <t>Defined names are listed at the top of the Go To box.</t>
  </si>
  <si>
    <t>Press F5 and double-click TREASURE in the Go To list (names work from any sheet). Type the word you land on.</t>
  </si>
  <si>
    <t>S1-2 Teleport C8</t>
  </si>
  <si>
    <t>Ctrl+PgDn = the next tab to the right.</t>
  </si>
  <si>
    <t>From this sheet press Ctrl+PgDn once. Type the PASS CODE shown in cell B3 of the sheet you land on.</t>
  </si>
  <si>
    <t>S1-2 Teleport C9</t>
  </si>
  <si>
    <t>Ctrl+PgUp = the previous tab to the left.</t>
  </si>
  <si>
    <t>From this sheet press Ctrl+PgUp once. Type the PASS CODE shown in cell B3 of the sheet you land on.</t>
  </si>
  <si>
    <t>STAGE S1-2 ▸ TELEPORT</t>
  </si>
  <si>
    <t>Goal: jump to any cell or sheet instantly</t>
  </si>
  <si>
    <t>ARENA ▸ S1-3 LASSO</t>
  </si>
  <si>
    <t>COSMOS</t>
  </si>
  <si>
    <t>◀ Back to S1-3 Lasso</t>
  </si>
  <si>
    <t>POINTS ▼</t>
  </si>
  <si>
    <t>Ship</t>
  </si>
  <si>
    <t>Crew</t>
  </si>
  <si>
    <t>Fuel</t>
  </si>
  <si>
    <t>Comet</t>
  </si>
  <si>
    <t>Nova</t>
  </si>
  <si>
    <t>Vega</t>
  </si>
  <si>
    <t>Orion</t>
  </si>
  <si>
    <t>Lyra</t>
  </si>
  <si>
    <t>Draco</t>
  </si>
  <si>
    <t>Hydra</t>
  </si>
  <si>
    <t>Cygnus</t>
  </si>
  <si>
    <t>Pyxis</t>
  </si>
  <si>
    <t>Ara</t>
  </si>
  <si>
    <t>NOTES</t>
  </si>
  <si>
    <t>launch</t>
  </si>
  <si>
    <t>dock</t>
  </si>
  <si>
    <t>refuel</t>
  </si>
  <si>
    <t>repair</t>
  </si>
  <si>
    <r>
      <rPr>
        <b/>
        <sz val="12"/>
        <color rgb="FF1F2328"/>
        <rFont val="Calibri"/>
        <family val="2"/>
        <scheme val="minor"/>
      </rPr>
      <t>Grow the selection one cell at a time.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Overshot? Shift plus the opposite arrow shrinks it back.</t>
    </r>
  </si>
  <si>
    <r>
      <rPr>
        <b/>
        <sz val="12"/>
        <color rgb="FF1F2328"/>
        <rFont val="Calibri"/>
        <family val="2"/>
        <scheme val="minor"/>
      </rPr>
      <t>Extend the selection to the edge of the data block.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Select a whole column of data in one move: Ctrl+Shift+↓.</t>
    </r>
  </si>
  <si>
    <r>
      <rPr>
        <b/>
        <sz val="12"/>
        <color rgb="FF1F2328"/>
        <rFont val="Calibri"/>
        <family val="2"/>
        <scheme val="minor"/>
      </rPr>
      <t>Extend the selection to the last used cell.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Grabs everything from here to the end of the data.</t>
    </r>
  </si>
  <si>
    <t>Ctrl+Shift+End</t>
  </si>
  <si>
    <r>
      <rPr>
        <b/>
        <sz val="12"/>
        <color rgb="FF1F2328"/>
        <rFont val="Calibri"/>
        <family val="2"/>
        <scheme val="minor"/>
      </rPr>
      <t>Extend the selection back to cell A1.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Selects everything above and to the left of you.</t>
    </r>
  </si>
  <si>
    <t>S1-3 Lasso W1</t>
  </si>
  <si>
    <t>Which key opens the Go To box?  (from S1-2 Teleport)</t>
  </si>
  <si>
    <t>S1-3 Lasso W2</t>
  </si>
  <si>
    <t>Which keys move to the next sheet?  (from S1-2 Teleport)</t>
  </si>
  <si>
    <t>S1-3 Lasso W3</t>
  </si>
  <si>
    <t>Which keys move to the previous sheet?  (from S1-2 Teleport)</t>
  </si>
  <si>
    <t>S1-3 Lasso W4</t>
  </si>
  <si>
    <t>Which key scrolls one screen down?  (from S1-2 Teleport)</t>
  </si>
  <si>
    <t>S1-3 Lasso W5</t>
  </si>
  <si>
    <t>W5</t>
  </si>
  <si>
    <t>Which keys scroll one screen to the right?  (from S1-2 Teleport)</t>
  </si>
  <si>
    <t>S1-3 Lasso T1</t>
  </si>
  <si>
    <t>Hold Shift and tap an arrow.</t>
  </si>
  <si>
    <t>Which keys grow the selection by one cell?</t>
  </si>
  <si>
    <t>S1-3 Lasso T2</t>
  </si>
  <si>
    <t>The warp-zone keys plus Shift.</t>
  </si>
  <si>
    <t>Ctrl+A</t>
  </si>
  <si>
    <t>Which keys extend the selection all the way to the edge of the data?</t>
  </si>
  <si>
    <t>S1-3 Lasso T3</t>
  </si>
  <si>
    <t>Ctrl+End plus Shift.</t>
  </si>
  <si>
    <t>Which keys extend the selection to the last used cell?</t>
  </si>
  <si>
    <t>S1-3 Lasso T4</t>
  </si>
  <si>
    <t>Ctrl+Home plus Shift.</t>
  </si>
  <si>
    <t>Which keys extend the selection back to cell A1?</t>
  </si>
  <si>
    <t>▶ Open S1-3 Arena (or press Ctrl+PgDn)</t>
  </si>
  <si>
    <t>S1-3 Lasso C1</t>
  </si>
  <si>
    <t>SHIFT+ARROW</t>
  </si>
  <si>
    <t>SHIFT+DOWN</t>
  </si>
  <si>
    <t>SHIFT+LEFT</t>
  </si>
  <si>
    <t>SHIFT+RIGHT</t>
  </si>
  <si>
    <t>SHIFT+UP</t>
  </si>
  <si>
    <t>S1-3 Lasso C2</t>
  </si>
  <si>
    <t>CTRL+SHIFT+ARROW</t>
  </si>
  <si>
    <t>CTRL+SHIFT+DOWN</t>
  </si>
  <si>
    <t>CTRL+SHIFT+LEFT</t>
  </si>
  <si>
    <t>CTRL+SHIFT+RIGHT</t>
  </si>
  <si>
    <t>CTRL+SHIFT+UP</t>
  </si>
  <si>
    <t>SHIFT+CTRL+ARROW</t>
  </si>
  <si>
    <t>SHIFT+CTRL+DOWN</t>
  </si>
  <si>
    <t>SHIFT+CTRL+LEFT</t>
  </si>
  <si>
    <t>SHIFT+CTRL+RIGHT</t>
  </si>
  <si>
    <t>SHIFT+CTRL+UP</t>
  </si>
  <si>
    <t>S1-3 Lasso C3</t>
  </si>
  <si>
    <t>CTRL+SHIFT+END</t>
  </si>
  <si>
    <t>SHIFT+CTRL+END</t>
  </si>
  <si>
    <t>S1-3 Lasso C4</t>
  </si>
  <si>
    <t>CTRL+SHIFT+HOME</t>
  </si>
  <si>
    <t>SHIFT+CTRL+HOME</t>
  </si>
  <si>
    <t>S1-3 Lasso C5</t>
  </si>
  <si>
    <t>No Sum in the status bar? Right-click it and tick Sum.</t>
  </si>
  <si>
    <t>In the arena, click B6 and press Ctrl+Shift+↓ to select every POINTS value. Type the Sum shown in the status bar (bottom right).</t>
  </si>
  <si>
    <t>S1-3 Lasso C6</t>
  </si>
  <si>
    <t>Each Shift+↓ adds one row.</t>
  </si>
  <si>
    <t>In the arena, click B6, then press Shift+↓ four times so five cells are selected. Type the status-bar Sum.</t>
  </si>
  <si>
    <t>S1-3 Lasso C7</t>
  </si>
  <si>
    <t>Count = how many filled cells are selected.</t>
  </si>
  <si>
    <t>In the arena, click D6 and press Ctrl+Shift+End. Type the Count shown in the status bar.</t>
  </si>
  <si>
    <t>S1-3 Lasso C8</t>
  </si>
  <si>
    <t>The selection now runs from A1 to H12.</t>
  </si>
  <si>
    <t>In the arena, click H12 and press Ctrl+Shift+Home. Type the status-bar Count.</t>
  </si>
  <si>
    <t>STAGE S1-3 ▸ LASSO</t>
  </si>
  <si>
    <t>Goal: select big blocks in one move</t>
  </si>
  <si>
    <t>ARENA ▸ S1-4 GRAB</t>
  </si>
  <si>
    <t>METEOR</t>
  </si>
  <si>
    <t>◀ Back to S1-4 Grab</t>
  </si>
  <si>
    <t>GEMS ▼</t>
  </si>
  <si>
    <t>ROW 30 ▶</t>
  </si>
  <si>
    <t>gem</t>
  </si>
  <si>
    <t>end</t>
  </si>
  <si>
    <t>PLANETS</t>
  </si>
  <si>
    <t>Planet</t>
  </si>
  <si>
    <t>Moons</t>
  </si>
  <si>
    <t>Rings</t>
  </si>
  <si>
    <t>Day (h)</t>
  </si>
  <si>
    <t>Mercury</t>
  </si>
  <si>
    <t>No</t>
  </si>
  <si>
    <t>Venus</t>
  </si>
  <si>
    <t>Earth</t>
  </si>
  <si>
    <t>Mars</t>
  </si>
  <si>
    <t>Jupiter</t>
  </si>
  <si>
    <t>Yes</t>
  </si>
  <si>
    <t>Saturn</t>
  </si>
  <si>
    <t>Uranus</t>
  </si>
  <si>
    <t>Neptune</t>
  </si>
  <si>
    <t>Ceres</t>
  </si>
  <si>
    <t>Pluto</t>
  </si>
  <si>
    <t>Haumea</t>
  </si>
  <si>
    <t>Eris</t>
  </si>
  <si>
    <r>
      <rPr>
        <b/>
        <sz val="12"/>
        <color rgb="FF1F2328"/>
        <rFont val="Calibri"/>
        <family val="2"/>
        <scheme val="minor"/>
      </rPr>
      <t>Select the entire row.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Memory hook: Shift+Space = row, Ctrl+Space = column.</t>
    </r>
  </si>
  <si>
    <r>
      <rPr>
        <b/>
        <sz val="12"/>
        <color rgb="FF1F2328"/>
        <rFont val="Calibri"/>
        <family val="2"/>
        <scheme val="minor"/>
      </rPr>
      <t>Select the entire column.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Next world: Ctrl+0 hides the column you selected.</t>
    </r>
  </si>
  <si>
    <r>
      <rPr>
        <b/>
        <sz val="12"/>
        <color rgb="FF1F2328"/>
        <rFont val="Calibri"/>
        <family val="2"/>
        <scheme val="minor"/>
      </rPr>
      <t>Select the current data block; keep pressing to select the whole sheet.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Ctrl+Shift+* also selects the current data block.</t>
    </r>
  </si>
  <si>
    <t>S1-4 Grab W1</t>
  </si>
  <si>
    <t>Which keys grow the selection by one cell?  (from S1-3 Lasso)</t>
  </si>
  <si>
    <t>S1-4 Grab W2</t>
  </si>
  <si>
    <t>Which keys extend the selection all the way to the edge of the data?  (from S1-3 Lasso)</t>
  </si>
  <si>
    <t>S1-4 Grab W3</t>
  </si>
  <si>
    <t>Which keys extend the selection to the last used cell?  (from S1-3 Lasso)</t>
  </si>
  <si>
    <t>S1-4 Grab W4</t>
  </si>
  <si>
    <t>Which keys extend the selection back to cell A1?  (from S1-3 Lasso)</t>
  </si>
  <si>
    <t>S1-4 Grab T1</t>
  </si>
  <si>
    <t>The long key plus Shift.</t>
  </si>
  <si>
    <t>Which keys select the entire row?</t>
  </si>
  <si>
    <t>S1-4 Grab T2</t>
  </si>
  <si>
    <t>The long key plus Ctrl.</t>
  </si>
  <si>
    <t>Which keys select the entire column?</t>
  </si>
  <si>
    <t>S1-4 Grab T3</t>
  </si>
  <si>
    <t>Think 'A' for All.</t>
  </si>
  <si>
    <t>Which keys select the current data block (and the whole sheet if you keep pressing)?</t>
  </si>
  <si>
    <t>▶ Open S1-4 Arena (or press Ctrl+PgDn)</t>
  </si>
  <si>
    <t>S1-4 Grab C1</t>
  </si>
  <si>
    <t>SHIFT+SPACE</t>
  </si>
  <si>
    <t>S1-4 Grab C2</t>
  </si>
  <si>
    <t>CTRL+SPACE</t>
  </si>
  <si>
    <t>S1-4 Grab C3</t>
  </si>
  <si>
    <t>CTRL+A</t>
  </si>
  <si>
    <t>CTRL+SHIFT+SPACE</t>
  </si>
  <si>
    <t>SHIFT+CTRL+SPACE</t>
  </si>
  <si>
    <t>S1-4 Grab C4</t>
  </si>
  <si>
    <t>Ctrl+Space = column.</t>
  </si>
  <si>
    <t>In the arena, click any cell in column F and press Ctrl+Space to select the whole column. Type the status-bar Sum.</t>
  </si>
  <si>
    <t>S1-4 Grab C5</t>
  </si>
  <si>
    <t>Shift+Space = row.</t>
  </si>
  <si>
    <t>In the arena, click any cell in row 30 and press Shift+Space to select the whole row. Type the status-bar Count.</t>
  </si>
  <si>
    <t>S1-4 Grab C6</t>
  </si>
  <si>
    <t>One press of Ctrl+A in data = the current block.</t>
  </si>
  <si>
    <t>In the arena, click any cell inside the PLANETS table (it starts at B40) and press Ctrl+A once. Excel selects just that block. Type the status-bar Count.</t>
  </si>
  <si>
    <t>STAGE S1-4 ▸ GRAB</t>
  </si>
  <si>
    <t>Goal: grab whole rows, columns and blocks</t>
  </si>
  <si>
    <t>BOSS ARENA ▸ NAVIGATE &amp; SELECT</t>
  </si>
  <si>
    <t>SUPERNOVA</t>
  </si>
  <si>
    <t>◀ Back to Boss</t>
  </si>
  <si>
    <t>LONG TRAIL ▼</t>
  </si>
  <si>
    <t>TITAN</t>
  </si>
  <si>
    <t>ECLIPSE</t>
  </si>
  <si>
    <t>ENERGY ▼</t>
  </si>
  <si>
    <t>CRYSTALS</t>
  </si>
  <si>
    <t>x</t>
  </si>
  <si>
    <t>y</t>
  </si>
  <si>
    <t>MOONS</t>
  </si>
  <si>
    <t>Moon</t>
  </si>
  <si>
    <t>Km</t>
  </si>
  <si>
    <t>Found</t>
  </si>
  <si>
    <t>ancient</t>
  </si>
  <si>
    <t>Phobos</t>
  </si>
  <si>
    <t>Deimos</t>
  </si>
  <si>
    <t>Io</t>
  </si>
  <si>
    <t>Europa</t>
  </si>
  <si>
    <t>Ganymede</t>
  </si>
  <si>
    <t>Callisto</t>
  </si>
  <si>
    <t>Titan</t>
  </si>
  <si>
    <t>Rhea</t>
  </si>
  <si>
    <t>Iapetus</t>
  </si>
  <si>
    <t>Dione</t>
  </si>
  <si>
    <t>Miranda</t>
  </si>
  <si>
    <t>Ariel</t>
  </si>
  <si>
    <t>Triton</t>
  </si>
  <si>
    <t>Charon</t>
  </si>
  <si>
    <t>START</t>
  </si>
  <si>
    <t>LAUNCH</t>
  </si>
  <si>
    <t>HALO</t>
  </si>
  <si>
    <t>AURORA</t>
  </si>
  <si>
    <t>ZENITH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</si>
  <si>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</si>
  <si>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</si>
  <si>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</si>
  <si>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</si>
  <si>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</si>
  <si>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</si>
  <si>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</si>
  <si>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</si>
  <si>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</si>
  <si>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</si>
  <si>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</si>
  <si>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</si>
  <si>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</si>
  <si>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</si>
  <si>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F4</t>
  </si>
  <si>
    <t>Boss F5</t>
  </si>
  <si>
    <t>Boss F6</t>
  </si>
  <si>
    <t>F6</t>
  </si>
  <si>
    <t>Boss F7</t>
  </si>
  <si>
    <t>F7</t>
  </si>
  <si>
    <t>BOSS MISSIONS</t>
  </si>
  <si>
    <t>▶ Open Boss Arena (or press Ctrl+PgDn)</t>
  </si>
  <si>
    <t>Boss B1</t>
  </si>
  <si>
    <t>One press of Ctrl+↓.</t>
  </si>
  <si>
    <t>B1</t>
  </si>
  <si>
    <t>Boss B2</t>
  </si>
  <si>
    <t>Keep pressing until you hit a word.</t>
  </si>
  <si>
    <t>B2</t>
  </si>
  <si>
    <t>Boss B3</t>
  </si>
  <si>
    <t>Teleport first, then warp sideways.</t>
  </si>
  <si>
    <t>B3</t>
  </si>
  <si>
    <t>Boss B4</t>
  </si>
  <si>
    <t>Lowest row, rightmost column.</t>
  </si>
  <si>
    <t>B4</t>
  </si>
  <si>
    <t>Boss B5</t>
  </si>
  <si>
    <t>Type Q900 in Reference.</t>
  </si>
  <si>
    <t>B5</t>
  </si>
  <si>
    <t>Boss B6</t>
  </si>
  <si>
    <t>Ctrl+Shift+↓ selects to the edge.</t>
  </si>
  <si>
    <t>B6</t>
  </si>
  <si>
    <t>Boss B7</t>
  </si>
  <si>
    <t>B7</t>
  </si>
  <si>
    <t>Boss B8</t>
  </si>
  <si>
    <t>One press selects the current block.</t>
  </si>
  <si>
    <t>B8</t>
  </si>
  <si>
    <t>Boss B9</t>
  </si>
  <si>
    <t>Home = column A.</t>
  </si>
  <si>
    <t>B9</t>
  </si>
  <si>
    <t>Boss B10</t>
  </si>
  <si>
    <t>B10</t>
  </si>
  <si>
    <t>BOSS ▸ NAVIGATE &amp; SELECT</t>
  </si>
  <si>
    <t>Every move from this world in one gauntlet. Clear it under par for rank S.</t>
  </si>
  <si>
    <t>SHORTCUTS 1 ▸ NAVIGATE &amp; SELECT</t>
  </si>
  <si>
    <t>Move and select anywhere on a sheet without touching the mouse.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</si>
  <si>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</si>
  <si>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</si>
  <si>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</si>
  <si>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</si>
  <si>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</si>
  <si>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</si>
  <si>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</si>
  <si>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</si>
  <si>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</si>
  <si>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</si>
  <si>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</si>
  <si>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</si>
  <si>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</si>
  <si>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S1-1</t>
  </si>
  <si>
    <t>Warp Zones</t>
  </si>
  <si>
    <t>Go to S1-1 Warp Zones</t>
  </si>
  <si>
    <t>S1-2</t>
  </si>
  <si>
    <t>Teleport</t>
  </si>
  <si>
    <t>Go to S1-2 Teleport</t>
  </si>
  <si>
    <t>S1-3</t>
  </si>
  <si>
    <t>Lasso</t>
  </si>
  <si>
    <t>Go to S1-3 Lasso</t>
  </si>
  <si>
    <t>S1-4</t>
  </si>
  <si>
    <t>Grab</t>
  </si>
  <si>
    <t>Go to S1-4 Grab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</si>
  <si>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</si>
  <si>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</si>
  <si>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</si>
  <si>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</si>
  <si>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</si>
  <si>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</si>
  <si>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</si>
  <si>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</si>
  <si>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</si>
  <si>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NAVIGATE &amp; SELECT</t>
  </si>
  <si>
    <t>Every move from this world on one page. Keep it open while you play, or print it (Ctrl+P).</t>
  </si>
  <si>
    <t>What it does</t>
  </si>
  <si>
    <t>Pro tip</t>
  </si>
  <si>
    <t>Jump to the edge of the current data block.</t>
  </si>
  <si>
    <t>Land on a blank? The next press leaps to the next filled cell.</t>
  </si>
  <si>
    <t>Jump to cell A1, the top-left corner of the sheet.</t>
  </si>
  <si>
    <t>The fastest way back to the start of any sheet.</t>
  </si>
  <si>
    <t>Jump to the last used cell: lowest used row, rightmost used column.</t>
  </si>
  <si>
    <t>A quick way to see how big a sheet really is.</t>
  </si>
  <si>
    <t>Move to column A of the row you are in.</t>
  </si>
  <si>
    <t>Ctrl+Home goes to A1; Home alone stays in your row.</t>
  </si>
  <si>
    <t>Open Go To: type an address or a name and jump there.</t>
  </si>
  <si>
    <t>Type a range like B2:D9 to jump there and select it.</t>
  </si>
  <si>
    <t>Move to the next sheet tab.</t>
  </si>
  <si>
    <t>Hold Ctrl and keep tapping PgDn to flip through every tab.</t>
  </si>
  <si>
    <t>Move to the previous sheet tab.</t>
  </si>
  <si>
    <t>Pairs with Ctrl+PgDn: Up goes left.</t>
  </si>
  <si>
    <t>Scroll one screen down / up.</t>
  </si>
  <si>
    <t>Faster than holding ↓ when you just want to browse.</t>
  </si>
  <si>
    <t>Scroll one screen right / left.</t>
  </si>
  <si>
    <t>Wide sheet? Alt+PgDn pages sideways.</t>
  </si>
  <si>
    <t>Grow the selection one cell at a time.</t>
  </si>
  <si>
    <t>Overshot? Shift plus the opposite arrow shrinks it back.</t>
  </si>
  <si>
    <t>Extend the selection to the edge of the data block.</t>
  </si>
  <si>
    <t>Select a whole column of data in one move: Ctrl+Shift+↓.</t>
  </si>
  <si>
    <t>Extend the selection to the last used cell.</t>
  </si>
  <si>
    <t>Grabs everything from here to the end of the data.</t>
  </si>
  <si>
    <t>Extend the selection back to cell A1.</t>
  </si>
  <si>
    <t>Selects everything above and to the left of you.</t>
  </si>
  <si>
    <t>Select the entire row.</t>
  </si>
  <si>
    <t>Memory hook: Shift+Space = row, Ctrl+Space = column.</t>
  </si>
  <si>
    <t>Select the entire column.</t>
  </si>
  <si>
    <t>Next world: Ctrl+0 hides the column you selected.</t>
  </si>
  <si>
    <t>Select the current data block; keep pressing to select the whole sheet.</t>
  </si>
  <si>
    <t>Ctrl+Shift+* also selects the current data block.</t>
  </si>
</sst>
</file>

<file path=xl/styles.xml><?xml version="1.0" encoding="utf-8"?>
<styleSheet xmlns="http://schemas.openxmlformats.org/spreadsheetml/2006/main">
  <numFmts count="3">
    <numFmt numFmtId="164" formatCode="@"/>
    <numFmt numFmtId="165" formatCode="h:mm AM/PM"/>
    <numFmt numFmtId="166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0" fontId="10" fillId="0" borderId="0" xfId="0" applyFont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165" fontId="16" fillId="5" borderId="1" xfId="0" applyNumberFormat="1" applyFont="1" applyFill="1" applyBorder="1" applyAlignment="1" applyProtection="1">
      <alignment vertical="top"/>
      <protection locked="0"/>
    </xf>
    <xf numFmtId="166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Relationship Id="rId1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4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415</v>
      </c>
      <c r="B1" s="2"/>
      <c r="C1" s="2"/>
      <c r="D1" s="2"/>
      <c r="E1" s="2"/>
      <c r="F1" s="2"/>
    </row>
    <row r="2" spans="1:6">
      <c r="A2" s="3" t="s">
        <v>416</v>
      </c>
    </row>
    <row r="4" spans="1:6">
      <c r="A4" s="4" t="s">
        <v>417</v>
      </c>
      <c r="B4" s="4"/>
      <c r="C4" s="4"/>
      <c r="D4" s="4"/>
      <c r="E4" s="4"/>
      <c r="F4" s="4"/>
    </row>
    <row r="5" spans="1:6">
      <c r="A5" s="5" t="s">
        <v>418</v>
      </c>
    </row>
    <row r="6" spans="1:6">
      <c r="A6" s="5" t="s">
        <v>419</v>
      </c>
    </row>
    <row r="7" spans="1:6">
      <c r="A7" s="5" t="s">
        <v>420</v>
      </c>
    </row>
    <row r="8" spans="1:6">
      <c r="A8" s="5" t="s">
        <v>421</v>
      </c>
    </row>
    <row r="9" spans="1:6">
      <c r="A9" s="5" t="s">
        <v>422</v>
      </c>
    </row>
    <row r="11" spans="1:6">
      <c r="A11" s="4" t="s">
        <v>423</v>
      </c>
      <c r="B11" s="4"/>
      <c r="C11" s="4"/>
      <c r="D11" s="4"/>
      <c r="E11" s="4"/>
      <c r="F11" s="4"/>
    </row>
    <row r="12" spans="1:6">
      <c r="A12" s="6" t="s">
        <v>424</v>
      </c>
      <c r="B12" s="6" t="s">
        <v>425</v>
      </c>
      <c r="C12" s="6" t="s">
        <v>426</v>
      </c>
      <c r="D12" s="6" t="s">
        <v>427</v>
      </c>
      <c r="E12" s="6" t="s">
        <v>428</v>
      </c>
      <c r="F12" s="6" t="s">
        <v>429</v>
      </c>
    </row>
    <row r="13" spans="1:6">
      <c r="A13" s="7" t="s">
        <v>430</v>
      </c>
      <c r="B13" s="8" t="s">
        <v>431</v>
      </c>
      <c r="C13" s="9" cm="1" t="str">
        <f t="array" ref="C13">SUM('S1-1 Warp Zones'!$G$17:$G$33)&amp;" / 130"</f>
        <v>0 / 130</v>
      </c>
      <c r="D13" s="10" cm="1" t="str">
        <f t="array" ref="D13">IF(SUM('S1-1 Warp Zones'!$G$17:$G$33)&gt;=130,"★★★",IF(SUM('S1-1 Warp Zones'!$G$17:$G$33)&gt;=130*0.8,"★★☆",IF(SUM('S1-1 Warp Zones'!$G$17:$G$33)&gt;=130*0.5,"★☆☆","☆☆☆")))</f>
        <v>☆☆☆</v>
      </c>
      <c r="E13" s="9" cm="1" t="str">
        <f t="array" ref="E13">IF(SUM('S1-1 Warp Zones'!$G$17:$G$33)&gt;=130,"PERFECT",IF(SUM('S1-1 Warp Zones'!$G$17:$G$33)&gt;=130*0.5,"CLEARED",IF(SUM('S1-1 Warp Zones'!$G$17:$G$33)&gt;0,"IN PROGRESS","NEW")))</f>
        <v>NEW</v>
      </c>
      <c r="F13" s="11" t="s">
        <v>432</v>
      </c>
    </row>
    <row r="14" spans="1:6">
      <c r="A14" s="7" t="s">
        <v>433</v>
      </c>
      <c r="B14" s="8" t="s">
        <v>434</v>
      </c>
      <c r="C14" s="9" cm="1" t="str">
        <f t="array" ref="C14">SUM('S1-2 Teleport'!$G$15:$G$39)&amp;" / 180"</f>
        <v>0 / 180</v>
      </c>
      <c r="D14" s="10" cm="1" t="str">
        <f t="array" ref="D14">IF(SUM('S1-2 Teleport'!$G$15:$G$39)&gt;=180,"★★★",IF(SUM('S1-2 Teleport'!$G$15:$G$39)&gt;=180*0.8,"★★☆",IF(SUM('S1-2 Teleport'!$G$15:$G$39)&gt;=180*0.5,"★☆☆","☆☆☆")))</f>
        <v>☆☆☆</v>
      </c>
      <c r="E14" s="9" cm="1" t="str">
        <f t="array" ref="E14">IF(SUM('S1-2 Teleport'!$G$15:$G$39)&gt;=180,"PERFECT",IF(SUM('S1-2 Teleport'!$G$15:$G$39)&gt;=180*0.5,"CLEARED",IF(SUM('S1-2 Teleport'!$G$15:$G$39)&gt;0,"IN PROGRESS","NEW")))</f>
        <v>NEW</v>
      </c>
      <c r="F14" s="11" t="s">
        <v>435</v>
      </c>
    </row>
    <row r="15" spans="1:6">
      <c r="A15" s="7" t="s">
        <v>436</v>
      </c>
      <c r="B15" s="8" t="s">
        <v>437</v>
      </c>
      <c r="C15" s="9" cm="1" t="str">
        <f t="array" ref="C15">SUM('S1-3 Lasso'!$G$14:$G$37)&amp;" / 170"</f>
        <v>0 / 170</v>
      </c>
      <c r="D15" s="10" cm="1" t="str">
        <f t="array" ref="D15">IF(SUM('S1-3 Lasso'!$G$14:$G$37)&gt;=170,"★★★",IF(SUM('S1-3 Lasso'!$G$14:$G$37)&gt;=170*0.8,"★★☆",IF(SUM('S1-3 Lasso'!$G$14:$G$37)&gt;=170*0.5,"★☆☆","☆☆☆")))</f>
        <v>☆☆☆</v>
      </c>
      <c r="E15" s="9" cm="1" t="str">
        <f t="array" ref="E15">IF(SUM('S1-3 Lasso'!$G$14:$G$37)&gt;=170,"PERFECT",IF(SUM('S1-3 Lasso'!$G$14:$G$37)&gt;=170*0.5,"CLEARED",IF(SUM('S1-3 Lasso'!$G$14:$G$37)&gt;0,"IN PROGRESS","NEW")))</f>
        <v>NEW</v>
      </c>
      <c r="F15" s="11" t="s">
        <v>438</v>
      </c>
    </row>
    <row r="16" spans="1:6">
      <c r="A16" s="7" t="s">
        <v>439</v>
      </c>
      <c r="B16" s="8" t="s">
        <v>440</v>
      </c>
      <c r="C16" s="9" cm="1" t="str">
        <f t="array" ref="C16">SUM('S1-4 Grab'!$G$13:$G$32)&amp;" / 130"</f>
        <v>0 / 130</v>
      </c>
      <c r="D16" s="10" cm="1" t="str">
        <f t="array" ref="D16">IF(SUM('S1-4 Grab'!$G$13:$G$32)&gt;=130,"★★★",IF(SUM('S1-4 Grab'!$G$13:$G$32)&gt;=130*0.8,"★★☆",IF(SUM('S1-4 Grab'!$G$13:$G$32)&gt;=130*0.5,"★☆☆","☆☆☆")))</f>
        <v>☆☆☆</v>
      </c>
      <c r="E16" s="9" cm="1" t="str">
        <f t="array" ref="E16">IF(SUM('S1-4 Grab'!$G$13:$G$32)&gt;=130,"PERFECT",IF(SUM('S1-4 Grab'!$G$13:$G$32)&gt;=130*0.5,"CLEARED",IF(SUM('S1-4 Grab'!$G$13:$G$32)&gt;0,"IN PROGRESS","NEW")))</f>
        <v>NEW</v>
      </c>
      <c r="F16" s="11" t="s">
        <v>441</v>
      </c>
    </row>
    <row r="17" spans="1:6">
      <c r="A17" s="7" t="s">
        <v>442</v>
      </c>
      <c r="B17" s="8" t="s">
        <v>443</v>
      </c>
      <c r="C17" s="9" cm="1" t="str">
        <f t="array" ref="C17">SUM(Boss!$G$14:$G$34)&amp;" / 170"</f>
        <v>0 / 170</v>
      </c>
      <c r="D17" s="10" cm="1" t="str">
        <f t="array" ref="D17">IF(SUM(Boss!$G$14:$G$34)&gt;=170,"★★★",IF(SUM(Boss!$G$14:$G$34)&gt;=170*0.8,"★★☆",IF(SUM(Boss!$G$14:$G$34)&gt;=170*0.5,"★☆☆","☆☆☆")))</f>
        <v>☆☆☆</v>
      </c>
      <c r="E17" s="9" cm="1" t="str">
        <f t="array" ref="E17">IF(Boss!$C$10="OPEN",IF(SUM(Boss!$G$14:$G$34)&gt;=170*0.5,"DEFEATED","OPEN"),"LOCKED")</f>
        <v>LOCKED</v>
      </c>
      <c r="F17" s="11" t="s">
        <v>444</v>
      </c>
    </row>
    <row r="19" spans="1:6">
      <c r="A19" s="7" t="s">
        <v>445</v>
      </c>
      <c r="B19" s="12" cm="1" t="str">
        <f t="array" ref="B19">(SUM('S1-1 Warp Zones'!$G$17:$G$33)+SUM('S1-2 Teleport'!$G$15:$G$39)+SUM('S1-3 Lasso'!$G$14:$G$37)+SUM('S1-4 Grab'!$G$13:$G$32)+SUM(Boss!$G$14:$G$34))&amp;" / 780"</f>
        <v>0 / 780</v>
      </c>
    </row>
    <row r="20" spans="1:6">
      <c r="A20" s="7" t="s">
        <v>446</v>
      </c>
      <c r="B20" s="12" cm="1" t="str">
        <f t="array" ref="B20">_xlfn.LET(_xlpm.p,(SUM('S1-1 Warp Zones'!$G$17:$G$33)+SUM('S1-2 Teleport'!$G$15:$G$39)+SUM('S1-3 Lasso'!$G$14:$G$37)+SUM('S1-4 Grab'!$G$13:$G$32)+SUM(Boss!$G$14:$G$34))/780,IF(AND(_xlpm.p&gt;=1,ISNUMBER(Boss!$C$8),Boss!$C$8&lt;=10),"S",IF(_xlpm.p&gt;=0.9,"A",IF(_xlpm.p&gt;=0.75,"B",IF(_xlpm.p&gt;=0.5,"C","D")))))</f>
        <v>D</v>
      </c>
      <c r="C20" s="13" t="s">
        <v>447</v>
      </c>
    </row>
    <row r="21" spans="1:6">
      <c r="A21" s="7" t="s">
        <v>448</v>
      </c>
      <c r="B21" s="12" cm="1" t="str">
        <f t="array" ref="B21">IF(ISNUMBER(Boss!$C$8),Boss!$C$8&amp;" min (par 10)","—")</f>
        <v>—</v>
      </c>
    </row>
    <row r="22" spans="1:6">
      <c r="A22" s="7" t="s">
        <v>449</v>
      </c>
      <c r="B22" s="12" cm="1" t="str">
        <f t="array" ref="B22">IFERROR(INDEX($A$13:$A$16,MATCH("☆☆☆",$D$13:$D$16,0))&amp;" "&amp;INDEX($B$13:$B$16,MATCH("☆☆☆",$D$13:$D$16,0)),IF(Boss!$C$10="OPEN","the Boss","All clear! Aim for rank S"))</f>
        <v>S1-1 Warp Zones</v>
      </c>
    </row>
    <row r="24" spans="1:6">
      <c r="A24" s="13" t="s">
        <v>450</v>
      </c>
    </row>
  </sheetData>
  <sheetProtection sheet="1" objects="1" scenarios="1" formatColumns="0" formatRows="0"/>
  <hyperlinks>
    <hyperlink ref="F13" location="'S1-1 Warp Zones'!A1" display="Go to S1-1 Warp Zones"/>
    <hyperlink ref="F14" location="'S1-2 Teleport'!A1" display="Go to S1-2 Teleport"/>
    <hyperlink ref="F15" location="'S1-3 Lasso'!A1" display="Go to S1-3 Lasso"/>
    <hyperlink ref="F16" location="'S1-4 Grab'!A1" display="Go to S1-4 Grab"/>
    <hyperlink ref="F17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104</v>
      </c>
      <c r="B1" s="2"/>
      <c r="C1" s="2"/>
      <c r="D1" s="2"/>
      <c r="E1" s="2"/>
      <c r="F1" s="2"/>
      <c r="G1" s="2"/>
    </row>
    <row r="2" spans="1:7">
      <c r="A2" s="3" t="s">
        <v>105</v>
      </c>
    </row>
    <row r="3" spans="1:7" ht="26" customHeight="1">
      <c r="A3" s="14" cm="1" t="str">
        <f t="array" ref="A3">"SCORE "&amp;TEXT(SUM($G$17:$G$33),"0000")&amp;" / 0130"</f>
        <v>SCORE 0000 / 0130</v>
      </c>
      <c r="C3" s="15" cm="1" t="str">
        <f t="array" ref="C3">IF(SUM($G$17:$G$33)&gt;=130,"★★★",IF(SUM($G$17:$G$33)&gt;=130*0.8,"★★☆",IF(SUM($G$17:$G$33)&gt;=130*0.5,"★☆☆","☆☆☆")))</f>
        <v>☆☆☆</v>
      </c>
      <c r="D3" s="16" cm="1" t="str">
        <f t="array" ref="D3">REPT("█",ROUND(10*SUM($G$17:$G$33)/130,0))&amp;REPT("░",10-ROUND(10*SUM($G$17:$G$33)/130,0))&amp;"  "&amp;TEXT(SUM($G$17:$G$33)/130,"0%")</f>
        <v>░░░░░░░░░░  0%</v>
      </c>
      <c r="F3" s="17" cm="1" t="str">
        <f t="array" ref="F3">IF(SUM($G$17:$G$33)&gt;=130*0.5,"STAGE CLEAR! ▶ Next: S1-2 Teleport","")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51.25" customHeight="1">
      <c r="A7" s="18" t="s">
        <v>22</v>
      </c>
      <c r="B7" s="8" t="s">
        <v>23</v>
      </c>
      <c r="C7" s="19" t="s">
        <v>24</v>
      </c>
    </row>
    <row r="8" spans="1:7" ht="67" customHeight="1">
      <c r="A8" s="18" t="s">
        <v>25</v>
      </c>
      <c r="B8" s="8" t="s">
        <v>26</v>
      </c>
      <c r="C8" s="19" t="s">
        <v>27</v>
      </c>
    </row>
    <row r="9" spans="1:7" ht="67" customHeight="1">
      <c r="A9" s="18" t="s">
        <v>28</v>
      </c>
      <c r="B9" s="8" t="s">
        <v>29</v>
      </c>
      <c r="C9" s="19" t="s">
        <v>30</v>
      </c>
    </row>
    <row r="10" spans="1:7" ht="51.25" customHeight="1">
      <c r="A10" s="18" t="s">
        <v>31</v>
      </c>
      <c r="B10" s="8" t="s">
        <v>32</v>
      </c>
      <c r="C10" s="19" t="s">
        <v>33</v>
      </c>
    </row>
    <row r="12" spans="1:7" ht="22" customHeight="1">
      <c r="A12" s="4" t="s">
        <v>34</v>
      </c>
      <c r="B12" s="4"/>
      <c r="C12" s="4"/>
      <c r="D12" s="4"/>
      <c r="E12" s="4"/>
      <c r="F12" s="4"/>
      <c r="G12" s="4"/>
    </row>
    <row r="13" spans="1:7">
      <c r="B13" s="20" t="s">
        <v>35</v>
      </c>
    </row>
    <row r="15" spans="1:7" ht="22" customHeight="1">
      <c r="A15" s="4" t="s">
        <v>36</v>
      </c>
      <c r="B15" s="4"/>
      <c r="C15" s="4"/>
      <c r="D15" s="4"/>
      <c r="E15" s="4"/>
      <c r="F15" s="4"/>
      <c r="G15" s="4"/>
    </row>
    <row r="16" spans="1:7">
      <c r="A16" s="6" t="s">
        <v>19</v>
      </c>
      <c r="B16" s="6" t="s">
        <v>37</v>
      </c>
      <c r="C16" s="6" t="s">
        <v>38</v>
      </c>
      <c r="D16" s="6" t="s">
        <v>39</v>
      </c>
      <c r="E16" s="6" t="s">
        <v>40</v>
      </c>
      <c r="F16" s="6" t="s">
        <v>1</v>
      </c>
      <c r="G16" s="6" t="s">
        <v>41</v>
      </c>
    </row>
    <row r="17" spans="1:7" ht="35.5" customHeight="1">
      <c r="A17" s="18" t="s">
        <v>47</v>
      </c>
      <c r="B17" s="8" t="s">
        <v>48</v>
      </c>
      <c r="C17" s="21"/>
      <c r="D17" s="22" cm="1" t="str">
        <f t="array" ref="D17">IFERROR(IF('S1-1 Warp Zones'!$C$17&amp;""="","",IF('S1-1 Warp Zones'!$C$17&amp;""=Key!$C$2&amp;"","✔ CLEAR","✘ TRY AGAIN")),"✘ TRY AGAIN")</f>
        <v/>
      </c>
      <c r="E17" s="23"/>
      <c r="F17" s="24" cm="1" t="str">
        <f t="array" ref="F17">IF(E17="Show hint",Key!$B$2,"")</f>
        <v/>
      </c>
      <c r="G17" s="25" cm="1">
        <f t="array" ref="G17">IF(LEFT(D17,1)="✔",IF(E17="Show hint",5,10),0)</f>
        <v>0</v>
      </c>
    </row>
    <row r="18" spans="1:7" ht="35.5" customHeight="1">
      <c r="A18" s="18" t="s">
        <v>53</v>
      </c>
      <c r="B18" s="8" t="s">
        <v>54</v>
      </c>
      <c r="C18" s="21"/>
      <c r="D18" s="22" cm="1" t="str">
        <f t="array" ref="D18">IFERROR(IF('S1-1 Warp Zones'!$C$18&amp;""="","",IF('S1-1 Warp Zones'!$C$18&amp;""=Key!$C$3&amp;"","✔ CLEAR","✘ TRY AGAIN")),"✘ TRY AGAIN")</f>
        <v/>
      </c>
      <c r="E18" s="23"/>
      <c r="F18" s="24" cm="1" t="str">
        <f t="array" ref="F18">IF(E18="Show hint",Key!$B$3,"")</f>
        <v/>
      </c>
      <c r="G18" s="25" cm="1">
        <f t="array" ref="G18">IF(LEFT(D18,1)="✔",IF(E18="Show hint",5,10),0)</f>
        <v>0</v>
      </c>
    </row>
    <row r="19" spans="1:7" ht="35.5" customHeight="1">
      <c r="A19" s="18" t="s">
        <v>59</v>
      </c>
      <c r="B19" s="8" t="s">
        <v>60</v>
      </c>
      <c r="C19" s="21"/>
      <c r="D19" s="22" cm="1" t="str">
        <f t="array" ref="D19">IFERROR(IF('S1-1 Warp Zones'!$C$19&amp;""="","",IF('S1-1 Warp Zones'!$C$19&amp;""=Key!$C$4&amp;"","✔ CLEAR","✘ TRY AGAIN")),"✘ TRY AGAIN")</f>
        <v/>
      </c>
      <c r="E19" s="23"/>
      <c r="F19" s="24" cm="1" t="str">
        <f t="array" ref="F19">IF(E19="Show hint",Key!$B$4,"")</f>
        <v/>
      </c>
      <c r="G19" s="25" cm="1">
        <f t="array" ref="G19">IF(LEFT(D19,1)="✔",IF(E19="Show hint",5,10),0)</f>
        <v>0</v>
      </c>
    </row>
    <row r="20" spans="1:7" ht="35.5" customHeight="1">
      <c r="A20" s="18" t="s">
        <v>64</v>
      </c>
      <c r="B20" s="8" t="s">
        <v>65</v>
      </c>
      <c r="C20" s="21"/>
      <c r="D20" s="22" cm="1" t="str">
        <f t="array" ref="D20">IFERROR(IF('S1-1 Warp Zones'!$C$20&amp;""="","",IF('S1-1 Warp Zones'!$C$20&amp;""=Key!$C$5&amp;"","✔ CLEAR","✘ TRY AGAIN")),"✘ TRY AGAIN")</f>
        <v/>
      </c>
      <c r="E20" s="23"/>
      <c r="F20" s="24" cm="1" t="str">
        <f t="array" ref="F20">IF(E20="Show hint",Key!$B$5,"")</f>
        <v/>
      </c>
      <c r="G20" s="25" cm="1">
        <f t="array" ref="G20">IF(LEFT(D20,1)="✔",IF(E20="Show hint",5,10),0)</f>
        <v>0</v>
      </c>
    </row>
    <row r="22" spans="1:7" ht="22" customHeight="1">
      <c r="A22" s="4" t="s">
        <v>66</v>
      </c>
      <c r="B22" s="4"/>
      <c r="C22" s="4"/>
      <c r="D22" s="4"/>
      <c r="E22" s="4"/>
      <c r="F22" s="4"/>
      <c r="G22" s="4"/>
    </row>
    <row r="23" spans="1:7">
      <c r="B23" s="11" t="s">
        <v>67</v>
      </c>
    </row>
    <row r="24" spans="1:7">
      <c r="A24" s="6" t="s">
        <v>19</v>
      </c>
      <c r="B24" s="6" t="s">
        <v>37</v>
      </c>
      <c r="C24" s="6" t="s">
        <v>38</v>
      </c>
      <c r="D24" s="6" t="s">
        <v>39</v>
      </c>
      <c r="E24" s="6" t="s">
        <v>40</v>
      </c>
      <c r="F24" s="6" t="s">
        <v>1</v>
      </c>
      <c r="G24" s="6" t="s">
        <v>41</v>
      </c>
    </row>
    <row r="25" spans="1:7" ht="35.5" customHeight="1">
      <c r="A25" s="18" t="s">
        <v>74</v>
      </c>
      <c r="B25" s="8" t="s">
        <v>48</v>
      </c>
      <c r="C25" s="21"/>
      <c r="D25" s="22" cm="1" t="str">
        <f t="array" ref="D25">IFERROR(_xlfn.LET(_xlpm.a,'S1-1 Warp Zones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I$6),"✔ CLEAR","✘ TRY AGAIN"))),"✘ TRY AGAIN")</f>
        <v/>
      </c>
      <c r="E25" s="23"/>
      <c r="F25" s="24" cm="1" t="str">
        <f t="array" ref="F25">IF(E25="Show hint",Key!$B$6,"")</f>
        <v/>
      </c>
      <c r="G25" s="25" cm="1">
        <f t="array" ref="G25">IF(LEFT(D25,1)="✔",IF(E25="Show hint",5,10),0)</f>
        <v>0</v>
      </c>
    </row>
    <row r="26" spans="1:7" ht="35.5" customHeight="1">
      <c r="A26" s="18" t="s">
        <v>77</v>
      </c>
      <c r="B26" s="8" t="s">
        <v>54</v>
      </c>
      <c r="C26" s="21"/>
      <c r="D26" s="22" cm="1" t="str">
        <f t="array" ref="D26">IFERROR(_xlfn.LET(_xlpm.a,'S1-1 Warp Zones'!$C$26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26" s="23"/>
      <c r="F26" s="24" cm="1" t="str">
        <f t="array" ref="F26">IF(E26="Show hint",Key!$B$7,"")</f>
        <v/>
      </c>
      <c r="G26" s="25" cm="1">
        <f t="array" ref="G26">IF(LEFT(D26,1)="✔",IF(E26="Show hint",5,10),0)</f>
        <v>0</v>
      </c>
    </row>
    <row r="27" spans="1:7" ht="35.5" customHeight="1">
      <c r="A27" s="18" t="s">
        <v>80</v>
      </c>
      <c r="B27" s="8" t="s">
        <v>60</v>
      </c>
      <c r="C27" s="21"/>
      <c r="D27" s="22" cm="1" t="str">
        <f t="array" ref="D27">IFERROR(_xlfn.LET(_xlpm.a,'S1-1 Warp Zones'!$C$27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E$8),"✔ CLEAR","✘ TRY AGAIN"))),"✘ TRY AGAIN")</f>
        <v/>
      </c>
      <c r="E27" s="23"/>
      <c r="F27" s="24" cm="1" t="str">
        <f t="array" ref="F27">IF(E27="Show hint",Key!$B$8,"")</f>
        <v/>
      </c>
      <c r="G27" s="25" cm="1">
        <f t="array" ref="G27">IF(LEFT(D27,1)="✔",IF(E27="Show hint",5,10),0)</f>
        <v>0</v>
      </c>
    </row>
    <row r="28" spans="1:7" ht="35.5" customHeight="1">
      <c r="A28" s="18" t="s">
        <v>83</v>
      </c>
      <c r="B28" s="8" t="s">
        <v>65</v>
      </c>
      <c r="C28" s="21"/>
      <c r="D28" s="22" cm="1" t="str">
        <f t="array" ref="D28">IFERROR(_xlfn.LET(_xlpm.a,'S1-1 Warp Zones'!$C$28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8" s="23"/>
      <c r="F28" s="24" cm="1" t="str">
        <f t="array" ref="F28">IF(E28="Show hint",Key!$B$9,"")</f>
        <v/>
      </c>
      <c r="G28" s="25" cm="1">
        <f t="array" ref="G28">IF(LEFT(D28,1)="✔",IF(E28="Show hint",5,10),0)</f>
        <v>0</v>
      </c>
    </row>
    <row r="29" spans="1:7" ht="51.25" customHeight="1">
      <c r="A29" s="18" t="s">
        <v>86</v>
      </c>
      <c r="B29" s="8" t="s">
        <v>87</v>
      </c>
      <c r="C29" s="21"/>
      <c r="D29" s="22" cm="1" t="str">
        <f t="array" ref="D29">IFERROR(_xlfn.LET(_xlpm.a,'S1-1 Warp Zones'!$C$29,IF(TRIM(_xlpm.a&amp;"")="","",IF(SUBSTITUTE(SUBSTITUTE(UPPER(_xlpm.a&amp;"")," ",""),"$","")=Key!$C$10,"✔ CLEAR","✘ TRY AGAIN"))),"✘ TRY AGAIN")</f>
        <v/>
      </c>
      <c r="E29" s="23"/>
      <c r="F29" s="24" cm="1" t="str">
        <f t="array" ref="F29">IF(E29="Show hint",Key!$B$10,"")</f>
        <v/>
      </c>
      <c r="G29" s="25" cm="1">
        <f t="array" ref="G29">IF(LEFT(D29,1)="✔",IF(E29="Show hint",5,10),0)</f>
        <v>0</v>
      </c>
    </row>
    <row r="30" spans="1:7" ht="51.25" customHeight="1">
      <c r="A30" s="18" t="s">
        <v>90</v>
      </c>
      <c r="B30" s="8" t="s">
        <v>91</v>
      </c>
      <c r="C30" s="21"/>
      <c r="D30" s="22" cm="1" t="str">
        <f t="array" ref="D30">IFERROR(_xlfn.LET(_xlpm.a,'S1-1 Warp Zones'!$C$30,IF(TRIM(_xlpm.a&amp;"")="","",IF(SUBSTITUTE(SUBSTITUTE(UPPER(_xlpm.a&amp;"")," ",""),"$","")=Key!$C$11,"✔ CLEAR","✘ TRY AGAIN"))),"✘ TRY AGAIN")</f>
        <v/>
      </c>
      <c r="E30" s="23"/>
      <c r="F30" s="24" cm="1" t="str">
        <f t="array" ref="F30">IF(E30="Show hint",Key!$B$11,"")</f>
        <v/>
      </c>
      <c r="G30" s="25" cm="1">
        <f t="array" ref="G30">IF(LEFT(D30,1)="✔",IF(E30="Show hint",5,10),0)</f>
        <v>0</v>
      </c>
    </row>
    <row r="31" spans="1:7" ht="35.5" customHeight="1">
      <c r="A31" s="18" t="s">
        <v>94</v>
      </c>
      <c r="B31" s="8" t="s">
        <v>95</v>
      </c>
      <c r="C31" s="21"/>
      <c r="D31" s="22" cm="1" t="str">
        <f t="array" ref="D31">IFERROR(_xlfn.LET(_xlpm.a,'S1-1 Warp Zones'!$C$31,IF(TRIM(_xlpm.a&amp;"")="","",IF(SUBSTITUTE(SUBSTITUTE(UPPER(_xlpm.a&amp;"")," ",""),"$","")=Key!$C$12,"✔ CLEAR","✘ TRY AGAIN"))),"✘ TRY AGAIN")</f>
        <v/>
      </c>
      <c r="E31" s="23"/>
      <c r="F31" s="24" cm="1" t="str">
        <f t="array" ref="F31">IF(E31="Show hint",Key!$B$12,"")</f>
        <v/>
      </c>
      <c r="G31" s="25" cm="1">
        <f t="array" ref="G31">IF(LEFT(D31,1)="✔",IF(E31="Show hint",5,10),0)</f>
        <v>0</v>
      </c>
    </row>
    <row r="32" spans="1:7" ht="35.5" customHeight="1">
      <c r="A32" s="18" t="s">
        <v>98</v>
      </c>
      <c r="B32" s="8" t="s">
        <v>99</v>
      </c>
      <c r="C32" s="21"/>
      <c r="D32" s="22" cm="1" t="str">
        <f t="array" ref="D32">IFERROR(_xlfn.LET(_xlpm.a,'S1-1 Warp Zones'!$C$32,IF(TRIM(_xlpm.a&amp;"")="","",IF(SUBSTITUTE(SUBSTITUTE(UPPER(_xlpm.a&amp;"")," ",""),"$","")=Key!$C$13,"✔ CLEAR","✘ TRY AGAIN"))),"✘ TRY AGAIN")</f>
        <v/>
      </c>
      <c r="E32" s="23"/>
      <c r="F32" s="24" cm="1" t="str">
        <f t="array" ref="F32">IF(E32="Show hint",Key!$B$13,"")</f>
        <v/>
      </c>
      <c r="G32" s="25" cm="1">
        <f t="array" ref="G32">IF(LEFT(D32,1)="✔",IF(E32="Show hint",5,10),0)</f>
        <v>0</v>
      </c>
    </row>
    <row r="33" spans="1:7" ht="35.5" customHeight="1">
      <c r="A33" s="18" t="s">
        <v>102</v>
      </c>
      <c r="B33" s="8" t="s">
        <v>103</v>
      </c>
      <c r="C33" s="21"/>
      <c r="D33" s="22" cm="1" t="str">
        <f t="array" ref="D33">IFERROR(_xlfn.LET(_xlpm.a,'S1-1 Warp Zones'!$C$33,IF(TRIM(_xlpm.a&amp;"")="","",IF(SUBSTITUTE(SUBSTITUTE(UPPER(_xlpm.a&amp;"")," ",""),"$","")=Key!$C$14,"✔ CLEAR","✘ TRY AGAIN"))),"✘ TRY AGAIN")</f>
        <v/>
      </c>
      <c r="E33" s="23"/>
      <c r="F33" s="24" cm="1" t="str">
        <f t="array" ref="F33">IF(E33="Show hint",Key!$B$14,"")</f>
        <v/>
      </c>
      <c r="G33" s="25" cm="1">
        <f t="array" ref="G33">IF(LEFT(D33,1)="✔",IF(E33="Show hint",5,10),0)</f>
        <v>0</v>
      </c>
    </row>
  </sheetData>
  <sheetProtection sheet="1" objects="1" scenarios="1" formatColumns="0" formatRows="0"/>
  <conditionalFormatting sqref="D17:D33">
    <cfRule type="expression" dxfId="0" priority="1">
      <formula>LEFT($D17,1)="✔"</formula>
    </cfRule>
    <cfRule type="expression" dxfId="1" priority="2">
      <formula>LEFT($D17,1)="✘"</formula>
    </cfRule>
    <cfRule type="expression" dxfId="2" priority="3">
      <formula>$D17="LOCKED"</formula>
    </cfRule>
  </conditionalFormatting>
  <dataValidations count="26">
    <dataValidation type="list" allowBlank="1" showInputMessage="1" showErrorMessage="1" promptTitle="Pick an answer" prompt="Press Alt+Down to open the list, choose with the arrow keys, then press Enter." sqref="C17">
      <formula1>Key!$E$2:$H$2</formula1>
    </dataValidation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type="list" allowBlank="1" showInputMessage="1" showErrorMessage="1" promptTitle="Pick an answer" prompt="Press Alt+Down to open the list, choose with the arrow keys, then press Enter." sqref="C18">
      <formula1>Key!$E$3:$H$3</formula1>
    </dataValidation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type="list" allowBlank="1" showInputMessage="1" showErrorMessage="1" promptTitle="Pick an answer" prompt="Press Alt+Down to open the list, choose with the arrow keys, then press Enter." sqref="C19">
      <formula1>Key!$E$4:$H$4</formula1>
    </dataValidation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type="list" allowBlank="1" showInputMessage="1" showErrorMessage="1" promptTitle="Pick an answer" prompt="Press Alt+Down to open the list, choose with the arrow keys, then press Enter." sqref="C20">
      <formula1>Key!$E$5:$H$5</formula1>
    </dataValidation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7"/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8"/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what you found" prompt="Do the move in the arena, then type the word or number you found here." sqref="C29"/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allowBlank="1" showInputMessage="1" showErrorMessage="1" promptTitle="Type what you found" prompt="Do the move in the arena, then type the word or number you found here." sqref="C30"/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what you found" prompt="Do the move in the arena, then type the word or number you found here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what you found" prompt="Do the move in the arena, then type the word or number you found here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what you found" prompt="Do the move in the arena, then type the word or number you found here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3" location="'S1-1 Arena'!A1" display="▶ Open S1-1 Arena (or press Ctrl+PgDn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805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16">
      <c r="A1" s="1" t="s">
        <v>4</v>
      </c>
    </row>
    <row r="2" spans="1:16">
      <c r="A2" s="3" t="s">
        <v>5</v>
      </c>
    </row>
    <row r="3" spans="1:16">
      <c r="A3" s="26" t="s">
        <v>6</v>
      </c>
      <c r="B3" s="27" t="s">
        <v>7</v>
      </c>
      <c r="D3" s="11" t="s">
        <v>8</v>
      </c>
    </row>
    <row r="5" spans="1:16">
      <c r="B5" s="28" t="s">
        <v>9</v>
      </c>
      <c r="D5" s="28" t="s">
        <v>11</v>
      </c>
    </row>
    <row r="6" spans="1:16">
      <c r="B6" s="5">
        <v>1</v>
      </c>
      <c r="D6" s="5">
        <v>1</v>
      </c>
    </row>
    <row r="7" spans="1:16">
      <c r="B7" s="5">
        <v>2</v>
      </c>
      <c r="D7" s="5">
        <v>2</v>
      </c>
    </row>
    <row r="8" spans="1:16">
      <c r="B8" s="5">
        <v>3</v>
      </c>
      <c r="D8" s="5">
        <v>3</v>
      </c>
    </row>
    <row r="9" spans="1:16">
      <c r="B9" s="5">
        <v>4</v>
      </c>
      <c r="D9" s="5">
        <v>4</v>
      </c>
      <c r="F9" s="28" t="s">
        <v>13</v>
      </c>
    </row>
    <row r="10" spans="1:16">
      <c r="B10" s="5">
        <v>5</v>
      </c>
      <c r="D10" s="5">
        <v>5</v>
      </c>
      <c r="F10" s="5">
        <v>1</v>
      </c>
      <c r="G10" s="5">
        <v>2</v>
      </c>
      <c r="H10" s="5">
        <v>3</v>
      </c>
      <c r="I10" s="5">
        <v>4</v>
      </c>
      <c r="J10" s="5">
        <v>5</v>
      </c>
      <c r="K10" s="5">
        <v>6</v>
      </c>
      <c r="L10" s="5">
        <v>7</v>
      </c>
      <c r="M10" s="5">
        <v>8</v>
      </c>
      <c r="N10" s="5">
        <v>9</v>
      </c>
      <c r="O10" s="5">
        <v>10</v>
      </c>
      <c r="P10" s="5" t="s">
        <v>14</v>
      </c>
    </row>
    <row r="11" spans="1:16">
      <c r="B11" s="5">
        <v>6</v>
      </c>
      <c r="D11" s="5">
        <v>6</v>
      </c>
    </row>
    <row r="12" spans="1:16">
      <c r="B12" s="5">
        <v>7</v>
      </c>
      <c r="D12" s="5">
        <v>7</v>
      </c>
    </row>
    <row r="13" spans="1:16">
      <c r="B13" s="5">
        <v>8</v>
      </c>
      <c r="D13" s="5">
        <v>8</v>
      </c>
    </row>
    <row r="14" spans="1:16">
      <c r="B14" s="5">
        <v>9</v>
      </c>
      <c r="D14" s="5">
        <v>9</v>
      </c>
    </row>
    <row r="15" spans="1:16">
      <c r="B15" s="5">
        <v>10</v>
      </c>
      <c r="D15" s="5">
        <v>10</v>
      </c>
    </row>
    <row r="16" spans="1:16">
      <c r="B16" s="5">
        <v>11</v>
      </c>
      <c r="D16" s="5">
        <v>11</v>
      </c>
    </row>
    <row r="17" spans="1:8">
      <c r="B17" s="5">
        <v>12</v>
      </c>
      <c r="D17" s="5">
        <v>12</v>
      </c>
    </row>
    <row r="18" spans="1:8">
      <c r="B18" s="5">
        <v>13</v>
      </c>
      <c r="D18" s="5">
        <v>13</v>
      </c>
    </row>
    <row r="19" spans="1:8">
      <c r="B19" s="5">
        <v>14</v>
      </c>
      <c r="D19" s="5">
        <v>14</v>
      </c>
    </row>
    <row r="20" spans="1:8">
      <c r="A20" s="5" t="s">
        <v>16</v>
      </c>
      <c r="B20" s="5">
        <v>15</v>
      </c>
      <c r="D20" s="5">
        <v>15</v>
      </c>
      <c r="H20" s="7" t="s">
        <v>15</v>
      </c>
    </row>
    <row r="21" spans="1:8">
      <c r="B21" s="5">
        <v>16</v>
      </c>
    </row>
    <row r="22" spans="1:8">
      <c r="B22" s="5">
        <v>17</v>
      </c>
    </row>
    <row r="23" spans="1:8">
      <c r="B23" s="5">
        <v>18</v>
      </c>
    </row>
    <row r="24" spans="1:8">
      <c r="B24" s="5">
        <v>19</v>
      </c>
    </row>
    <row r="25" spans="1:8">
      <c r="B25" s="5">
        <v>20</v>
      </c>
    </row>
    <row r="26" spans="1:8">
      <c r="B26" s="5">
        <v>21</v>
      </c>
    </row>
    <row r="27" spans="1:8">
      <c r="B27" s="5">
        <v>22</v>
      </c>
    </row>
    <row r="28" spans="1:8">
      <c r="B28" s="5">
        <v>23</v>
      </c>
    </row>
    <row r="29" spans="1:8">
      <c r="B29" s="5">
        <v>24</v>
      </c>
    </row>
    <row r="30" spans="1:8">
      <c r="B30" s="5">
        <v>25</v>
      </c>
      <c r="D30" s="5">
        <v>16</v>
      </c>
    </row>
    <row r="31" spans="1:8">
      <c r="B31" s="5">
        <v>26</v>
      </c>
      <c r="D31" s="5">
        <v>17</v>
      </c>
    </row>
    <row r="32" spans="1:8">
      <c r="B32" s="5">
        <v>27</v>
      </c>
      <c r="D32" s="5">
        <v>18</v>
      </c>
    </row>
    <row r="33" spans="2:4">
      <c r="B33" s="5">
        <v>28</v>
      </c>
      <c r="D33" s="5">
        <v>19</v>
      </c>
    </row>
    <row r="34" spans="2:4">
      <c r="B34" s="5">
        <v>29</v>
      </c>
      <c r="D34" s="5">
        <v>20</v>
      </c>
    </row>
    <row r="35" spans="2:4">
      <c r="B35" s="5">
        <v>30</v>
      </c>
      <c r="D35" s="5">
        <v>21</v>
      </c>
    </row>
    <row r="36" spans="2:4">
      <c r="B36" s="5">
        <v>31</v>
      </c>
      <c r="D36" s="5">
        <v>22</v>
      </c>
    </row>
    <row r="37" spans="2:4">
      <c r="B37" s="5">
        <v>32</v>
      </c>
      <c r="D37" s="5">
        <v>23</v>
      </c>
    </row>
    <row r="38" spans="2:4">
      <c r="B38" s="5">
        <v>33</v>
      </c>
      <c r="D38" s="5">
        <v>24</v>
      </c>
    </row>
    <row r="39" spans="2:4">
      <c r="B39" s="5">
        <v>34</v>
      </c>
      <c r="D39" s="5">
        <v>25</v>
      </c>
    </row>
    <row r="40" spans="2:4">
      <c r="B40" s="5">
        <v>35</v>
      </c>
      <c r="D40" s="5">
        <v>26</v>
      </c>
    </row>
    <row r="41" spans="2:4">
      <c r="B41" s="5">
        <v>36</v>
      </c>
      <c r="D41" s="5">
        <v>27</v>
      </c>
    </row>
    <row r="42" spans="2:4">
      <c r="B42" s="5">
        <v>37</v>
      </c>
      <c r="D42" s="5">
        <v>28</v>
      </c>
    </row>
    <row r="43" spans="2:4">
      <c r="B43" s="5">
        <v>38</v>
      </c>
      <c r="D43" s="5">
        <v>29</v>
      </c>
    </row>
    <row r="44" spans="2:4">
      <c r="B44" s="5">
        <v>39</v>
      </c>
      <c r="D44" s="5">
        <v>30</v>
      </c>
    </row>
    <row r="45" spans="2:4">
      <c r="B45" s="5">
        <v>40</v>
      </c>
      <c r="D45" s="5">
        <v>31</v>
      </c>
    </row>
    <row r="46" spans="2:4">
      <c r="B46" s="5">
        <v>41</v>
      </c>
      <c r="D46" s="5">
        <v>32</v>
      </c>
    </row>
    <row r="47" spans="2:4">
      <c r="B47" s="5">
        <v>42</v>
      </c>
      <c r="D47" s="5">
        <v>33</v>
      </c>
    </row>
    <row r="48" spans="2:4">
      <c r="B48" s="5">
        <v>43</v>
      </c>
      <c r="D48" s="5">
        <v>34</v>
      </c>
    </row>
    <row r="49" spans="2:4">
      <c r="B49" s="5">
        <v>44</v>
      </c>
      <c r="D49" s="5">
        <v>35</v>
      </c>
    </row>
    <row r="50" spans="2:4">
      <c r="B50" s="5">
        <v>45</v>
      </c>
      <c r="D50" s="5">
        <v>36</v>
      </c>
    </row>
    <row r="51" spans="2:4">
      <c r="B51" s="5">
        <v>46</v>
      </c>
      <c r="D51" s="5">
        <v>37</v>
      </c>
    </row>
    <row r="52" spans="2:4">
      <c r="B52" s="5">
        <v>47</v>
      </c>
      <c r="D52" s="5">
        <v>38</v>
      </c>
    </row>
    <row r="53" spans="2:4">
      <c r="B53" s="5">
        <v>48</v>
      </c>
      <c r="D53" s="5">
        <v>39</v>
      </c>
    </row>
    <row r="54" spans="2:4">
      <c r="B54" s="5">
        <v>49</v>
      </c>
      <c r="D54" s="5">
        <v>40</v>
      </c>
    </row>
    <row r="55" spans="2:4">
      <c r="B55" s="5">
        <v>50</v>
      </c>
      <c r="D55" s="5">
        <v>41</v>
      </c>
    </row>
    <row r="56" spans="2:4">
      <c r="B56" s="5">
        <v>51</v>
      </c>
      <c r="D56" s="5">
        <v>42</v>
      </c>
    </row>
    <row r="57" spans="2:4">
      <c r="B57" s="5">
        <v>52</v>
      </c>
      <c r="D57" s="5">
        <v>43</v>
      </c>
    </row>
    <row r="58" spans="2:4">
      <c r="B58" s="5">
        <v>53</v>
      </c>
      <c r="D58" s="5">
        <v>44</v>
      </c>
    </row>
    <row r="59" spans="2:4">
      <c r="B59" s="5">
        <v>54</v>
      </c>
      <c r="D59" s="5">
        <v>45</v>
      </c>
    </row>
    <row r="60" spans="2:4">
      <c r="B60" s="5">
        <v>55</v>
      </c>
      <c r="D60" s="5">
        <v>46</v>
      </c>
    </row>
    <row r="61" spans="2:4">
      <c r="B61" s="5">
        <v>56</v>
      </c>
    </row>
    <row r="62" spans="2:4">
      <c r="B62" s="5">
        <v>57</v>
      </c>
    </row>
    <row r="63" spans="2:4">
      <c r="B63" s="5">
        <v>58</v>
      </c>
    </row>
    <row r="64" spans="2:4">
      <c r="B64" s="5">
        <v>59</v>
      </c>
    </row>
    <row r="65" spans="2:2">
      <c r="B65" s="5">
        <v>60</v>
      </c>
    </row>
    <row r="66" spans="2:2">
      <c r="B66" s="5">
        <v>61</v>
      </c>
    </row>
    <row r="67" spans="2:2">
      <c r="B67" s="5">
        <v>62</v>
      </c>
    </row>
    <row r="68" spans="2:2">
      <c r="B68" s="5">
        <v>63</v>
      </c>
    </row>
    <row r="69" spans="2:2">
      <c r="B69" s="5">
        <v>64</v>
      </c>
    </row>
    <row r="70" spans="2:2">
      <c r="B70" s="5">
        <v>65</v>
      </c>
    </row>
    <row r="71" spans="2:2">
      <c r="B71" s="5">
        <v>66</v>
      </c>
    </row>
    <row r="72" spans="2:2">
      <c r="B72" s="5">
        <v>67</v>
      </c>
    </row>
    <row r="73" spans="2:2">
      <c r="B73" s="5">
        <v>68</v>
      </c>
    </row>
    <row r="74" spans="2:2">
      <c r="B74" s="5">
        <v>69</v>
      </c>
    </row>
    <row r="75" spans="2:2">
      <c r="B75" s="5">
        <v>70</v>
      </c>
    </row>
    <row r="76" spans="2:2">
      <c r="B76" s="5">
        <v>71</v>
      </c>
    </row>
    <row r="77" spans="2:2">
      <c r="B77" s="5">
        <v>72</v>
      </c>
    </row>
    <row r="78" spans="2:2">
      <c r="B78" s="5">
        <v>73</v>
      </c>
    </row>
    <row r="79" spans="2:2">
      <c r="B79" s="5">
        <v>74</v>
      </c>
    </row>
    <row r="80" spans="2:2">
      <c r="B80" s="5">
        <v>75</v>
      </c>
    </row>
    <row r="81" spans="2:2">
      <c r="B81" s="5">
        <v>76</v>
      </c>
    </row>
    <row r="82" spans="2:2">
      <c r="B82" s="5">
        <v>77</v>
      </c>
    </row>
    <row r="83" spans="2:2">
      <c r="B83" s="5">
        <v>78</v>
      </c>
    </row>
    <row r="84" spans="2:2">
      <c r="B84" s="5">
        <v>79</v>
      </c>
    </row>
    <row r="85" spans="2:2">
      <c r="B85" s="5">
        <v>80</v>
      </c>
    </row>
    <row r="86" spans="2:2">
      <c r="B86" s="5">
        <v>81</v>
      </c>
    </row>
    <row r="87" spans="2:2">
      <c r="B87" s="5">
        <v>82</v>
      </c>
    </row>
    <row r="88" spans="2:2">
      <c r="B88" s="5">
        <v>83</v>
      </c>
    </row>
    <row r="89" spans="2:2">
      <c r="B89" s="5">
        <v>84</v>
      </c>
    </row>
    <row r="90" spans="2:2">
      <c r="B90" s="5">
        <v>85</v>
      </c>
    </row>
    <row r="91" spans="2:2">
      <c r="B91" s="5">
        <v>86</v>
      </c>
    </row>
    <row r="92" spans="2:2">
      <c r="B92" s="5">
        <v>87</v>
      </c>
    </row>
    <row r="93" spans="2:2">
      <c r="B93" s="5">
        <v>88</v>
      </c>
    </row>
    <row r="94" spans="2:2">
      <c r="B94" s="5">
        <v>89</v>
      </c>
    </row>
    <row r="95" spans="2:2">
      <c r="B95" s="5">
        <v>90</v>
      </c>
    </row>
    <row r="96" spans="2:2">
      <c r="B96" s="5">
        <v>91</v>
      </c>
    </row>
    <row r="97" spans="2:4">
      <c r="B97" s="5">
        <v>92</v>
      </c>
    </row>
    <row r="98" spans="2:4">
      <c r="B98" s="5">
        <v>93</v>
      </c>
    </row>
    <row r="99" spans="2:4">
      <c r="B99" s="5">
        <v>94</v>
      </c>
    </row>
    <row r="100" spans="2:4">
      <c r="B100" s="5">
        <v>95</v>
      </c>
      <c r="D100" s="5">
        <v>47</v>
      </c>
    </row>
    <row r="101" spans="2:4">
      <c r="B101" s="5">
        <v>96</v>
      </c>
      <c r="D101" s="5">
        <v>48</v>
      </c>
    </row>
    <row r="102" spans="2:4">
      <c r="B102" s="5">
        <v>97</v>
      </c>
      <c r="D102" s="5">
        <v>49</v>
      </c>
    </row>
    <row r="103" spans="2:4">
      <c r="B103" s="5">
        <v>98</v>
      </c>
      <c r="D103" s="5">
        <v>50</v>
      </c>
    </row>
    <row r="104" spans="2:4">
      <c r="B104" s="5">
        <v>99</v>
      </c>
      <c r="D104" s="5">
        <v>51</v>
      </c>
    </row>
    <row r="105" spans="2:4">
      <c r="B105" s="5">
        <v>100</v>
      </c>
      <c r="D105" s="5">
        <v>52</v>
      </c>
    </row>
    <row r="106" spans="2:4">
      <c r="B106" s="5">
        <v>101</v>
      </c>
      <c r="D106" s="5">
        <v>53</v>
      </c>
    </row>
    <row r="107" spans="2:4">
      <c r="B107" s="5">
        <v>102</v>
      </c>
      <c r="D107" s="5">
        <v>54</v>
      </c>
    </row>
    <row r="108" spans="2:4">
      <c r="B108" s="5">
        <v>103</v>
      </c>
      <c r="D108" s="5">
        <v>55</v>
      </c>
    </row>
    <row r="109" spans="2:4">
      <c r="B109" s="5">
        <v>104</v>
      </c>
      <c r="D109" s="5">
        <v>56</v>
      </c>
    </row>
    <row r="110" spans="2:4">
      <c r="B110" s="5">
        <v>105</v>
      </c>
      <c r="D110" s="5">
        <v>57</v>
      </c>
    </row>
    <row r="111" spans="2:4">
      <c r="B111" s="5">
        <v>106</v>
      </c>
      <c r="D111" s="5">
        <v>58</v>
      </c>
    </row>
    <row r="112" spans="2:4">
      <c r="B112" s="5">
        <v>107</v>
      </c>
      <c r="D112" s="5">
        <v>59</v>
      </c>
    </row>
    <row r="113" spans="2:4">
      <c r="B113" s="5">
        <v>108</v>
      </c>
      <c r="D113" s="5">
        <v>60</v>
      </c>
    </row>
    <row r="114" spans="2:4">
      <c r="B114" s="5">
        <v>109</v>
      </c>
      <c r="D114" s="5">
        <v>61</v>
      </c>
    </row>
    <row r="115" spans="2:4">
      <c r="B115" s="5">
        <v>110</v>
      </c>
      <c r="D115" s="5">
        <v>62</v>
      </c>
    </row>
    <row r="116" spans="2:4">
      <c r="B116" s="5">
        <v>111</v>
      </c>
      <c r="D116" s="5">
        <v>63</v>
      </c>
    </row>
    <row r="117" spans="2:4">
      <c r="B117" s="5">
        <v>112</v>
      </c>
      <c r="D117" s="5">
        <v>64</v>
      </c>
    </row>
    <row r="118" spans="2:4">
      <c r="B118" s="5">
        <v>113</v>
      </c>
      <c r="D118" s="5">
        <v>65</v>
      </c>
    </row>
    <row r="119" spans="2:4">
      <c r="B119" s="5">
        <v>114</v>
      </c>
      <c r="D119" s="5">
        <v>66</v>
      </c>
    </row>
    <row r="120" spans="2:4">
      <c r="B120" s="5">
        <v>115</v>
      </c>
      <c r="D120" s="5">
        <v>67</v>
      </c>
    </row>
    <row r="121" spans="2:4">
      <c r="B121" s="5">
        <v>116</v>
      </c>
      <c r="D121" s="5">
        <v>68</v>
      </c>
    </row>
    <row r="122" spans="2:4">
      <c r="B122" s="5">
        <v>117</v>
      </c>
      <c r="D122" s="5">
        <v>69</v>
      </c>
    </row>
    <row r="123" spans="2:4">
      <c r="B123" s="5">
        <v>118</v>
      </c>
      <c r="D123" s="5">
        <v>70</v>
      </c>
    </row>
    <row r="124" spans="2:4">
      <c r="B124" s="5">
        <v>119</v>
      </c>
      <c r="D124" s="5">
        <v>71</v>
      </c>
    </row>
    <row r="125" spans="2:4">
      <c r="B125" s="5">
        <v>120</v>
      </c>
      <c r="D125" s="5">
        <v>72</v>
      </c>
    </row>
    <row r="126" spans="2:4">
      <c r="B126" s="5">
        <v>121</v>
      </c>
      <c r="D126" s="5">
        <v>73</v>
      </c>
    </row>
    <row r="127" spans="2:4">
      <c r="B127" s="5">
        <v>122</v>
      </c>
      <c r="D127" s="5">
        <v>74</v>
      </c>
    </row>
    <row r="128" spans="2:4">
      <c r="B128" s="5">
        <v>123</v>
      </c>
      <c r="D128" s="5">
        <v>75</v>
      </c>
    </row>
    <row r="129" spans="2:4">
      <c r="B129" s="5">
        <v>124</v>
      </c>
      <c r="D129" s="5">
        <v>76</v>
      </c>
    </row>
    <row r="130" spans="2:4">
      <c r="B130" s="5">
        <v>125</v>
      </c>
      <c r="D130" s="5">
        <v>77</v>
      </c>
    </row>
    <row r="131" spans="2:4">
      <c r="B131" s="5">
        <v>126</v>
      </c>
    </row>
    <row r="132" spans="2:4">
      <c r="B132" s="5">
        <v>127</v>
      </c>
    </row>
    <row r="133" spans="2:4">
      <c r="B133" s="5">
        <v>128</v>
      </c>
    </row>
    <row r="134" spans="2:4">
      <c r="B134" s="5">
        <v>129</v>
      </c>
    </row>
    <row r="135" spans="2:4">
      <c r="B135" s="5">
        <v>130</v>
      </c>
    </row>
    <row r="136" spans="2:4">
      <c r="B136" s="5">
        <v>131</v>
      </c>
    </row>
    <row r="137" spans="2:4">
      <c r="B137" s="5">
        <v>132</v>
      </c>
    </row>
    <row r="138" spans="2:4">
      <c r="B138" s="5">
        <v>133</v>
      </c>
    </row>
    <row r="139" spans="2:4">
      <c r="B139" s="5">
        <v>134</v>
      </c>
    </row>
    <row r="140" spans="2:4">
      <c r="B140" s="5">
        <v>135</v>
      </c>
    </row>
    <row r="141" spans="2:4">
      <c r="B141" s="5">
        <v>136</v>
      </c>
    </row>
    <row r="142" spans="2:4">
      <c r="B142" s="5">
        <v>137</v>
      </c>
    </row>
    <row r="143" spans="2:4">
      <c r="B143" s="5">
        <v>138</v>
      </c>
    </row>
    <row r="144" spans="2:4">
      <c r="B144" s="5">
        <v>139</v>
      </c>
    </row>
    <row r="145" spans="2:2">
      <c r="B145" s="5">
        <v>140</v>
      </c>
    </row>
    <row r="146" spans="2:2">
      <c r="B146" s="5">
        <v>141</v>
      </c>
    </row>
    <row r="147" spans="2:2">
      <c r="B147" s="5">
        <v>142</v>
      </c>
    </row>
    <row r="148" spans="2:2">
      <c r="B148" s="5">
        <v>143</v>
      </c>
    </row>
    <row r="149" spans="2:2">
      <c r="B149" s="5">
        <v>144</v>
      </c>
    </row>
    <row r="150" spans="2:2">
      <c r="B150" s="5">
        <v>145</v>
      </c>
    </row>
    <row r="151" spans="2:2">
      <c r="B151" s="5">
        <v>146</v>
      </c>
    </row>
    <row r="152" spans="2:2">
      <c r="B152" s="5">
        <v>147</v>
      </c>
    </row>
    <row r="153" spans="2:2">
      <c r="B153" s="5">
        <v>148</v>
      </c>
    </row>
    <row r="154" spans="2:2">
      <c r="B154" s="5">
        <v>149</v>
      </c>
    </row>
    <row r="155" spans="2:2">
      <c r="B155" s="5">
        <v>150</v>
      </c>
    </row>
    <row r="156" spans="2:2">
      <c r="B156" s="5">
        <v>151</v>
      </c>
    </row>
    <row r="157" spans="2:2">
      <c r="B157" s="5">
        <v>152</v>
      </c>
    </row>
    <row r="158" spans="2:2">
      <c r="B158" s="5">
        <v>153</v>
      </c>
    </row>
    <row r="159" spans="2:2">
      <c r="B159" s="5">
        <v>154</v>
      </c>
    </row>
    <row r="160" spans="2:2">
      <c r="B160" s="5">
        <v>155</v>
      </c>
    </row>
    <row r="161" spans="2:2">
      <c r="B161" s="5">
        <v>156</v>
      </c>
    </row>
    <row r="162" spans="2:2">
      <c r="B162" s="5">
        <v>157</v>
      </c>
    </row>
    <row r="163" spans="2:2">
      <c r="B163" s="5">
        <v>158</v>
      </c>
    </row>
    <row r="164" spans="2:2">
      <c r="B164" s="5">
        <v>159</v>
      </c>
    </row>
    <row r="165" spans="2:2">
      <c r="B165" s="5">
        <v>160</v>
      </c>
    </row>
    <row r="166" spans="2:2">
      <c r="B166" s="5">
        <v>161</v>
      </c>
    </row>
    <row r="167" spans="2:2">
      <c r="B167" s="5">
        <v>162</v>
      </c>
    </row>
    <row r="168" spans="2:2">
      <c r="B168" s="5">
        <v>163</v>
      </c>
    </row>
    <row r="169" spans="2:2">
      <c r="B169" s="5">
        <v>164</v>
      </c>
    </row>
    <row r="170" spans="2:2">
      <c r="B170" s="5">
        <v>165</v>
      </c>
    </row>
    <row r="171" spans="2:2">
      <c r="B171" s="5">
        <v>166</v>
      </c>
    </row>
    <row r="172" spans="2:2">
      <c r="B172" s="5">
        <v>167</v>
      </c>
    </row>
    <row r="173" spans="2:2">
      <c r="B173" s="5">
        <v>168</v>
      </c>
    </row>
    <row r="174" spans="2:2">
      <c r="B174" s="5">
        <v>169</v>
      </c>
    </row>
    <row r="175" spans="2:2">
      <c r="B175" s="5">
        <v>170</v>
      </c>
    </row>
    <row r="176" spans="2:2">
      <c r="B176" s="5">
        <v>171</v>
      </c>
    </row>
    <row r="177" spans="2:2">
      <c r="B177" s="5">
        <v>172</v>
      </c>
    </row>
    <row r="178" spans="2:2">
      <c r="B178" s="5">
        <v>173</v>
      </c>
    </row>
    <row r="179" spans="2:2">
      <c r="B179" s="5">
        <v>174</v>
      </c>
    </row>
    <row r="180" spans="2:2">
      <c r="B180" s="5">
        <v>175</v>
      </c>
    </row>
    <row r="181" spans="2:2">
      <c r="B181" s="5">
        <v>176</v>
      </c>
    </row>
    <row r="182" spans="2:2">
      <c r="B182" s="5">
        <v>177</v>
      </c>
    </row>
    <row r="183" spans="2:2">
      <c r="B183" s="5">
        <v>178</v>
      </c>
    </row>
    <row r="184" spans="2:2">
      <c r="B184" s="5">
        <v>179</v>
      </c>
    </row>
    <row r="185" spans="2:2">
      <c r="B185" s="5">
        <v>180</v>
      </c>
    </row>
    <row r="186" spans="2:2">
      <c r="B186" s="5">
        <v>181</v>
      </c>
    </row>
    <row r="187" spans="2:2">
      <c r="B187" s="5">
        <v>182</v>
      </c>
    </row>
    <row r="188" spans="2:2">
      <c r="B188" s="5">
        <v>183</v>
      </c>
    </row>
    <row r="189" spans="2:2">
      <c r="B189" s="5">
        <v>184</v>
      </c>
    </row>
    <row r="190" spans="2:2">
      <c r="B190" s="5">
        <v>185</v>
      </c>
    </row>
    <row r="191" spans="2:2">
      <c r="B191" s="5">
        <v>186</v>
      </c>
    </row>
    <row r="192" spans="2:2">
      <c r="B192" s="5">
        <v>187</v>
      </c>
    </row>
    <row r="193" spans="2:2">
      <c r="B193" s="5">
        <v>188</v>
      </c>
    </row>
    <row r="194" spans="2:2">
      <c r="B194" s="5">
        <v>189</v>
      </c>
    </row>
    <row r="195" spans="2:2">
      <c r="B195" s="5">
        <v>190</v>
      </c>
    </row>
    <row r="196" spans="2:2">
      <c r="B196" s="5">
        <v>191</v>
      </c>
    </row>
    <row r="197" spans="2:2">
      <c r="B197" s="5">
        <v>192</v>
      </c>
    </row>
    <row r="198" spans="2:2">
      <c r="B198" s="5">
        <v>193</v>
      </c>
    </row>
    <row r="199" spans="2:2">
      <c r="B199" s="5">
        <v>194</v>
      </c>
    </row>
    <row r="200" spans="2:2">
      <c r="B200" s="5">
        <v>195</v>
      </c>
    </row>
    <row r="201" spans="2:2">
      <c r="B201" s="5">
        <v>196</v>
      </c>
    </row>
    <row r="202" spans="2:2">
      <c r="B202" s="5">
        <v>197</v>
      </c>
    </row>
    <row r="203" spans="2:2">
      <c r="B203" s="5">
        <v>198</v>
      </c>
    </row>
    <row r="204" spans="2:2">
      <c r="B204" s="5">
        <v>199</v>
      </c>
    </row>
    <row r="205" spans="2:2">
      <c r="B205" s="5">
        <v>200</v>
      </c>
    </row>
    <row r="206" spans="2:2">
      <c r="B206" s="5">
        <v>201</v>
      </c>
    </row>
    <row r="207" spans="2:2">
      <c r="B207" s="5">
        <v>202</v>
      </c>
    </row>
    <row r="208" spans="2:2">
      <c r="B208" s="5">
        <v>203</v>
      </c>
    </row>
    <row r="209" spans="2:2">
      <c r="B209" s="5">
        <v>204</v>
      </c>
    </row>
    <row r="210" spans="2:2">
      <c r="B210" s="5">
        <v>205</v>
      </c>
    </row>
    <row r="211" spans="2:2">
      <c r="B211" s="5">
        <v>206</v>
      </c>
    </row>
    <row r="212" spans="2:2">
      <c r="B212" s="5">
        <v>207</v>
      </c>
    </row>
    <row r="213" spans="2:2">
      <c r="B213" s="5">
        <v>208</v>
      </c>
    </row>
    <row r="214" spans="2:2">
      <c r="B214" s="5">
        <v>209</v>
      </c>
    </row>
    <row r="215" spans="2:2">
      <c r="B215" s="5">
        <v>210</v>
      </c>
    </row>
    <row r="216" spans="2:2">
      <c r="B216" s="5">
        <v>211</v>
      </c>
    </row>
    <row r="217" spans="2:2">
      <c r="B217" s="5">
        <v>212</v>
      </c>
    </row>
    <row r="218" spans="2:2">
      <c r="B218" s="5">
        <v>213</v>
      </c>
    </row>
    <row r="219" spans="2:2">
      <c r="B219" s="5">
        <v>214</v>
      </c>
    </row>
    <row r="220" spans="2:2">
      <c r="B220" s="5">
        <v>215</v>
      </c>
    </row>
    <row r="221" spans="2:2">
      <c r="B221" s="5">
        <v>216</v>
      </c>
    </row>
    <row r="222" spans="2:2">
      <c r="B222" s="5">
        <v>217</v>
      </c>
    </row>
    <row r="223" spans="2:2">
      <c r="B223" s="5">
        <v>218</v>
      </c>
    </row>
    <row r="224" spans="2:2">
      <c r="B224" s="5">
        <v>219</v>
      </c>
    </row>
    <row r="225" spans="2:2">
      <c r="B225" s="5">
        <v>220</v>
      </c>
    </row>
    <row r="226" spans="2:2">
      <c r="B226" s="5">
        <v>221</v>
      </c>
    </row>
    <row r="227" spans="2:2">
      <c r="B227" s="5">
        <v>222</v>
      </c>
    </row>
    <row r="228" spans="2:2">
      <c r="B228" s="5">
        <v>223</v>
      </c>
    </row>
    <row r="229" spans="2:2">
      <c r="B229" s="5">
        <v>224</v>
      </c>
    </row>
    <row r="230" spans="2:2">
      <c r="B230" s="5">
        <v>225</v>
      </c>
    </row>
    <row r="231" spans="2:2">
      <c r="B231" s="5">
        <v>226</v>
      </c>
    </row>
    <row r="232" spans="2:2">
      <c r="B232" s="5">
        <v>227</v>
      </c>
    </row>
    <row r="233" spans="2:2">
      <c r="B233" s="5">
        <v>228</v>
      </c>
    </row>
    <row r="234" spans="2:2">
      <c r="B234" s="5">
        <v>229</v>
      </c>
    </row>
    <row r="235" spans="2:2">
      <c r="B235" s="5">
        <v>230</v>
      </c>
    </row>
    <row r="236" spans="2:2">
      <c r="B236" s="5">
        <v>231</v>
      </c>
    </row>
    <row r="237" spans="2:2">
      <c r="B237" s="5">
        <v>232</v>
      </c>
    </row>
    <row r="238" spans="2:2">
      <c r="B238" s="5">
        <v>233</v>
      </c>
    </row>
    <row r="239" spans="2:2">
      <c r="B239" s="5">
        <v>234</v>
      </c>
    </row>
    <row r="240" spans="2:2">
      <c r="B240" s="5">
        <v>235</v>
      </c>
    </row>
    <row r="241" spans="2:2">
      <c r="B241" s="5">
        <v>236</v>
      </c>
    </row>
    <row r="242" spans="2:2">
      <c r="B242" s="5">
        <v>237</v>
      </c>
    </row>
    <row r="243" spans="2:2">
      <c r="B243" s="5">
        <v>238</v>
      </c>
    </row>
    <row r="244" spans="2:2">
      <c r="B244" s="5">
        <v>239</v>
      </c>
    </row>
    <row r="245" spans="2:2">
      <c r="B245" s="5">
        <v>240</v>
      </c>
    </row>
    <row r="246" spans="2:2">
      <c r="B246" s="5">
        <v>241</v>
      </c>
    </row>
    <row r="247" spans="2:2">
      <c r="B247" s="5">
        <v>242</v>
      </c>
    </row>
    <row r="248" spans="2:2">
      <c r="B248" s="5">
        <v>243</v>
      </c>
    </row>
    <row r="249" spans="2:2">
      <c r="B249" s="5">
        <v>244</v>
      </c>
    </row>
    <row r="250" spans="2:2">
      <c r="B250" s="5">
        <v>245</v>
      </c>
    </row>
    <row r="251" spans="2:2">
      <c r="B251" s="5">
        <v>246</v>
      </c>
    </row>
    <row r="252" spans="2:2">
      <c r="B252" s="5">
        <v>247</v>
      </c>
    </row>
    <row r="253" spans="2:2">
      <c r="B253" s="5">
        <v>248</v>
      </c>
    </row>
    <row r="254" spans="2:2">
      <c r="B254" s="5">
        <v>249</v>
      </c>
    </row>
    <row r="255" spans="2:2">
      <c r="B255" s="5">
        <v>250</v>
      </c>
    </row>
    <row r="256" spans="2:2">
      <c r="B256" s="5">
        <v>251</v>
      </c>
    </row>
    <row r="257" spans="2:2">
      <c r="B257" s="5">
        <v>252</v>
      </c>
    </row>
    <row r="258" spans="2:2">
      <c r="B258" s="5">
        <v>253</v>
      </c>
    </row>
    <row r="259" spans="2:2">
      <c r="B259" s="5">
        <v>254</v>
      </c>
    </row>
    <row r="260" spans="2:2">
      <c r="B260" s="5">
        <v>255</v>
      </c>
    </row>
    <row r="261" spans="2:2">
      <c r="B261" s="5">
        <v>256</v>
      </c>
    </row>
    <row r="262" spans="2:2">
      <c r="B262" s="5">
        <v>257</v>
      </c>
    </row>
    <row r="263" spans="2:2">
      <c r="B263" s="5">
        <v>258</v>
      </c>
    </row>
    <row r="264" spans="2:2">
      <c r="B264" s="5">
        <v>259</v>
      </c>
    </row>
    <row r="265" spans="2:2">
      <c r="B265" s="5">
        <v>260</v>
      </c>
    </row>
    <row r="266" spans="2:2">
      <c r="B266" s="5">
        <v>261</v>
      </c>
    </row>
    <row r="267" spans="2:2">
      <c r="B267" s="5">
        <v>262</v>
      </c>
    </row>
    <row r="268" spans="2:2">
      <c r="B268" s="5">
        <v>263</v>
      </c>
    </row>
    <row r="269" spans="2:2">
      <c r="B269" s="5">
        <v>264</v>
      </c>
    </row>
    <row r="270" spans="2:2">
      <c r="B270" s="5">
        <v>265</v>
      </c>
    </row>
    <row r="271" spans="2:2">
      <c r="B271" s="5">
        <v>266</v>
      </c>
    </row>
    <row r="272" spans="2:2">
      <c r="B272" s="5">
        <v>267</v>
      </c>
    </row>
    <row r="273" spans="2:2">
      <c r="B273" s="5">
        <v>268</v>
      </c>
    </row>
    <row r="274" spans="2:2">
      <c r="B274" s="5">
        <v>269</v>
      </c>
    </row>
    <row r="275" spans="2:2">
      <c r="B275" s="5">
        <v>270</v>
      </c>
    </row>
    <row r="276" spans="2:2">
      <c r="B276" s="5">
        <v>271</v>
      </c>
    </row>
    <row r="277" spans="2:2">
      <c r="B277" s="5">
        <v>272</v>
      </c>
    </row>
    <row r="278" spans="2:2">
      <c r="B278" s="5">
        <v>273</v>
      </c>
    </row>
    <row r="279" spans="2:2">
      <c r="B279" s="5">
        <v>274</v>
      </c>
    </row>
    <row r="280" spans="2:2">
      <c r="B280" s="5">
        <v>275</v>
      </c>
    </row>
    <row r="281" spans="2:2">
      <c r="B281" s="5">
        <v>276</v>
      </c>
    </row>
    <row r="282" spans="2:2">
      <c r="B282" s="5">
        <v>277</v>
      </c>
    </row>
    <row r="283" spans="2:2">
      <c r="B283" s="5">
        <v>278</v>
      </c>
    </row>
    <row r="284" spans="2:2">
      <c r="B284" s="5">
        <v>279</v>
      </c>
    </row>
    <row r="285" spans="2:2">
      <c r="B285" s="5">
        <v>280</v>
      </c>
    </row>
    <row r="286" spans="2:2">
      <c r="B286" s="5">
        <v>281</v>
      </c>
    </row>
    <row r="287" spans="2:2">
      <c r="B287" s="5">
        <v>282</v>
      </c>
    </row>
    <row r="288" spans="2:2">
      <c r="B288" s="5">
        <v>283</v>
      </c>
    </row>
    <row r="289" spans="2:2">
      <c r="B289" s="5">
        <v>284</v>
      </c>
    </row>
    <row r="290" spans="2:2">
      <c r="B290" s="5">
        <v>285</v>
      </c>
    </row>
    <row r="291" spans="2:2">
      <c r="B291" s="5">
        <v>286</v>
      </c>
    </row>
    <row r="292" spans="2:2">
      <c r="B292" s="5">
        <v>287</v>
      </c>
    </row>
    <row r="293" spans="2:2">
      <c r="B293" s="5">
        <v>288</v>
      </c>
    </row>
    <row r="294" spans="2:2">
      <c r="B294" s="5">
        <v>289</v>
      </c>
    </row>
    <row r="295" spans="2:2">
      <c r="B295" s="5">
        <v>290</v>
      </c>
    </row>
    <row r="296" spans="2:2">
      <c r="B296" s="5">
        <v>291</v>
      </c>
    </row>
    <row r="297" spans="2:2">
      <c r="B297" s="5">
        <v>292</v>
      </c>
    </row>
    <row r="298" spans="2:2">
      <c r="B298" s="5">
        <v>293</v>
      </c>
    </row>
    <row r="299" spans="2:2">
      <c r="B299" s="5">
        <v>294</v>
      </c>
    </row>
    <row r="300" spans="2:2">
      <c r="B300" s="5">
        <v>295</v>
      </c>
    </row>
    <row r="301" spans="2:2">
      <c r="B301" s="5">
        <v>296</v>
      </c>
    </row>
    <row r="302" spans="2:2">
      <c r="B302" s="5">
        <v>297</v>
      </c>
    </row>
    <row r="303" spans="2:2">
      <c r="B303" s="5">
        <v>298</v>
      </c>
    </row>
    <row r="304" spans="2:2">
      <c r="B304" s="5">
        <v>299</v>
      </c>
    </row>
    <row r="305" spans="2:2">
      <c r="B305" s="5">
        <v>300</v>
      </c>
    </row>
    <row r="306" spans="2:2">
      <c r="B306" s="5">
        <v>301</v>
      </c>
    </row>
    <row r="307" spans="2:2">
      <c r="B307" s="5">
        <v>302</v>
      </c>
    </row>
    <row r="308" spans="2:2">
      <c r="B308" s="5">
        <v>303</v>
      </c>
    </row>
    <row r="309" spans="2:2">
      <c r="B309" s="5">
        <v>304</v>
      </c>
    </row>
    <row r="310" spans="2:2">
      <c r="B310" s="5">
        <v>305</v>
      </c>
    </row>
    <row r="311" spans="2:2">
      <c r="B311" s="5">
        <v>306</v>
      </c>
    </row>
    <row r="312" spans="2:2">
      <c r="B312" s="5">
        <v>307</v>
      </c>
    </row>
    <row r="313" spans="2:2">
      <c r="B313" s="5">
        <v>308</v>
      </c>
    </row>
    <row r="314" spans="2:2">
      <c r="B314" s="5">
        <v>309</v>
      </c>
    </row>
    <row r="315" spans="2:2">
      <c r="B315" s="5">
        <v>310</v>
      </c>
    </row>
    <row r="316" spans="2:2">
      <c r="B316" s="5">
        <v>311</v>
      </c>
    </row>
    <row r="317" spans="2:2">
      <c r="B317" s="5">
        <v>312</v>
      </c>
    </row>
    <row r="318" spans="2:2">
      <c r="B318" s="5">
        <v>313</v>
      </c>
    </row>
    <row r="319" spans="2:2">
      <c r="B319" s="5">
        <v>314</v>
      </c>
    </row>
    <row r="320" spans="2:2">
      <c r="B320" s="5">
        <v>315</v>
      </c>
    </row>
    <row r="321" spans="2:2">
      <c r="B321" s="5">
        <v>316</v>
      </c>
    </row>
    <row r="322" spans="2:2">
      <c r="B322" s="5">
        <v>317</v>
      </c>
    </row>
    <row r="323" spans="2:2">
      <c r="B323" s="5">
        <v>318</v>
      </c>
    </row>
    <row r="324" spans="2:2">
      <c r="B324" s="5">
        <v>319</v>
      </c>
    </row>
    <row r="325" spans="2:2">
      <c r="B325" s="5">
        <v>320</v>
      </c>
    </row>
    <row r="326" spans="2:2">
      <c r="B326" s="5">
        <v>321</v>
      </c>
    </row>
    <row r="327" spans="2:2">
      <c r="B327" s="5">
        <v>322</v>
      </c>
    </row>
    <row r="328" spans="2:2">
      <c r="B328" s="5">
        <v>323</v>
      </c>
    </row>
    <row r="329" spans="2:2">
      <c r="B329" s="5">
        <v>324</v>
      </c>
    </row>
    <row r="330" spans="2:2">
      <c r="B330" s="5">
        <v>325</v>
      </c>
    </row>
    <row r="331" spans="2:2">
      <c r="B331" s="5">
        <v>326</v>
      </c>
    </row>
    <row r="332" spans="2:2">
      <c r="B332" s="5">
        <v>327</v>
      </c>
    </row>
    <row r="333" spans="2:2">
      <c r="B333" s="5">
        <v>328</v>
      </c>
    </row>
    <row r="334" spans="2:2">
      <c r="B334" s="5">
        <v>329</v>
      </c>
    </row>
    <row r="335" spans="2:2">
      <c r="B335" s="5">
        <v>330</v>
      </c>
    </row>
    <row r="336" spans="2:2">
      <c r="B336" s="5">
        <v>331</v>
      </c>
    </row>
    <row r="337" spans="2:2">
      <c r="B337" s="5">
        <v>332</v>
      </c>
    </row>
    <row r="338" spans="2:2">
      <c r="B338" s="5">
        <v>333</v>
      </c>
    </row>
    <row r="339" spans="2:2">
      <c r="B339" s="5">
        <v>334</v>
      </c>
    </row>
    <row r="340" spans="2:2">
      <c r="B340" s="5">
        <v>335</v>
      </c>
    </row>
    <row r="341" spans="2:2">
      <c r="B341" s="5">
        <v>336</v>
      </c>
    </row>
    <row r="342" spans="2:2">
      <c r="B342" s="5">
        <v>337</v>
      </c>
    </row>
    <row r="343" spans="2:2">
      <c r="B343" s="5">
        <v>338</v>
      </c>
    </row>
    <row r="344" spans="2:2">
      <c r="B344" s="5">
        <v>339</v>
      </c>
    </row>
    <row r="345" spans="2:2">
      <c r="B345" s="5">
        <v>340</v>
      </c>
    </row>
    <row r="346" spans="2:2">
      <c r="B346" s="5">
        <v>341</v>
      </c>
    </row>
    <row r="347" spans="2:2">
      <c r="B347" s="5">
        <v>342</v>
      </c>
    </row>
    <row r="348" spans="2:2">
      <c r="B348" s="5">
        <v>343</v>
      </c>
    </row>
    <row r="349" spans="2:2">
      <c r="B349" s="5">
        <v>344</v>
      </c>
    </row>
    <row r="350" spans="2:2">
      <c r="B350" s="5">
        <v>345</v>
      </c>
    </row>
    <row r="351" spans="2:2">
      <c r="B351" s="5">
        <v>346</v>
      </c>
    </row>
    <row r="352" spans="2:2">
      <c r="B352" s="5">
        <v>347</v>
      </c>
    </row>
    <row r="353" spans="2:2">
      <c r="B353" s="5">
        <v>348</v>
      </c>
    </row>
    <row r="354" spans="2:2">
      <c r="B354" s="5">
        <v>349</v>
      </c>
    </row>
    <row r="355" spans="2:2">
      <c r="B355" s="5">
        <v>350</v>
      </c>
    </row>
    <row r="356" spans="2:2">
      <c r="B356" s="5">
        <v>351</v>
      </c>
    </row>
    <row r="357" spans="2:2">
      <c r="B357" s="5">
        <v>352</v>
      </c>
    </row>
    <row r="358" spans="2:2">
      <c r="B358" s="5">
        <v>353</v>
      </c>
    </row>
    <row r="359" spans="2:2">
      <c r="B359" s="5">
        <v>354</v>
      </c>
    </row>
    <row r="360" spans="2:2">
      <c r="B360" s="5">
        <v>355</v>
      </c>
    </row>
    <row r="361" spans="2:2">
      <c r="B361" s="5">
        <v>356</v>
      </c>
    </row>
    <row r="362" spans="2:2">
      <c r="B362" s="5">
        <v>357</v>
      </c>
    </row>
    <row r="363" spans="2:2">
      <c r="B363" s="5">
        <v>358</v>
      </c>
    </row>
    <row r="364" spans="2:2">
      <c r="B364" s="5">
        <v>359</v>
      </c>
    </row>
    <row r="365" spans="2:2">
      <c r="B365" s="5">
        <v>360</v>
      </c>
    </row>
    <row r="366" spans="2:2">
      <c r="B366" s="5">
        <v>361</v>
      </c>
    </row>
    <row r="367" spans="2:2">
      <c r="B367" s="5">
        <v>362</v>
      </c>
    </row>
    <row r="368" spans="2:2">
      <c r="B368" s="5">
        <v>363</v>
      </c>
    </row>
    <row r="369" spans="2:2">
      <c r="B369" s="5">
        <v>364</v>
      </c>
    </row>
    <row r="370" spans="2:2">
      <c r="B370" s="5">
        <v>365</v>
      </c>
    </row>
    <row r="371" spans="2:2">
      <c r="B371" s="5">
        <v>366</v>
      </c>
    </row>
    <row r="372" spans="2:2">
      <c r="B372" s="5">
        <v>367</v>
      </c>
    </row>
    <row r="373" spans="2:2">
      <c r="B373" s="5">
        <v>368</v>
      </c>
    </row>
    <row r="374" spans="2:2">
      <c r="B374" s="5">
        <v>369</v>
      </c>
    </row>
    <row r="375" spans="2:2">
      <c r="B375" s="5">
        <v>370</v>
      </c>
    </row>
    <row r="376" spans="2:2">
      <c r="B376" s="5">
        <v>371</v>
      </c>
    </row>
    <row r="377" spans="2:2">
      <c r="B377" s="5">
        <v>372</v>
      </c>
    </row>
    <row r="378" spans="2:2">
      <c r="B378" s="5">
        <v>373</v>
      </c>
    </row>
    <row r="379" spans="2:2">
      <c r="B379" s="5">
        <v>374</v>
      </c>
    </row>
    <row r="380" spans="2:2">
      <c r="B380" s="5">
        <v>375</v>
      </c>
    </row>
    <row r="381" spans="2:2">
      <c r="B381" s="5">
        <v>376</v>
      </c>
    </row>
    <row r="382" spans="2:2">
      <c r="B382" s="5">
        <v>377</v>
      </c>
    </row>
    <row r="383" spans="2:2">
      <c r="B383" s="5">
        <v>378</v>
      </c>
    </row>
    <row r="384" spans="2:2">
      <c r="B384" s="5">
        <v>379</v>
      </c>
    </row>
    <row r="385" spans="2:4">
      <c r="B385" s="5">
        <v>380</v>
      </c>
    </row>
    <row r="386" spans="2:4">
      <c r="B386" s="5">
        <v>381</v>
      </c>
    </row>
    <row r="387" spans="2:4">
      <c r="B387" s="5">
        <v>382</v>
      </c>
    </row>
    <row r="388" spans="2:4">
      <c r="B388" s="5">
        <v>383</v>
      </c>
    </row>
    <row r="389" spans="2:4">
      <c r="B389" s="5">
        <v>384</v>
      </c>
    </row>
    <row r="390" spans="2:4">
      <c r="B390" s="5">
        <v>385</v>
      </c>
    </row>
    <row r="391" spans="2:4">
      <c r="B391" s="5">
        <v>386</v>
      </c>
    </row>
    <row r="392" spans="2:4">
      <c r="B392" s="5">
        <v>387</v>
      </c>
    </row>
    <row r="393" spans="2:4">
      <c r="B393" s="5">
        <v>388</v>
      </c>
    </row>
    <row r="394" spans="2:4">
      <c r="B394" s="5">
        <v>389</v>
      </c>
    </row>
    <row r="395" spans="2:4">
      <c r="B395" s="5">
        <v>390</v>
      </c>
    </row>
    <row r="396" spans="2:4">
      <c r="B396" s="5">
        <v>391</v>
      </c>
    </row>
    <row r="397" spans="2:4">
      <c r="B397" s="5">
        <v>392</v>
      </c>
    </row>
    <row r="398" spans="2:4">
      <c r="B398" s="5">
        <v>393</v>
      </c>
    </row>
    <row r="399" spans="2:4">
      <c r="B399" s="5">
        <v>394</v>
      </c>
    </row>
    <row r="400" spans="2:4">
      <c r="B400" s="5">
        <v>395</v>
      </c>
      <c r="D400" s="5" t="s">
        <v>12</v>
      </c>
    </row>
    <row r="401" spans="2:2">
      <c r="B401" s="5">
        <v>396</v>
      </c>
    </row>
    <row r="402" spans="2:2">
      <c r="B402" s="5">
        <v>397</v>
      </c>
    </row>
    <row r="403" spans="2:2">
      <c r="B403" s="5">
        <v>398</v>
      </c>
    </row>
    <row r="404" spans="2:2">
      <c r="B404" s="5">
        <v>399</v>
      </c>
    </row>
    <row r="405" spans="2:2">
      <c r="B405" s="5">
        <v>400</v>
      </c>
    </row>
    <row r="406" spans="2:2">
      <c r="B406" s="5">
        <v>401</v>
      </c>
    </row>
    <row r="407" spans="2:2">
      <c r="B407" s="5">
        <v>402</v>
      </c>
    </row>
    <row r="408" spans="2:2">
      <c r="B408" s="5">
        <v>403</v>
      </c>
    </row>
    <row r="409" spans="2:2">
      <c r="B409" s="5">
        <v>404</v>
      </c>
    </row>
    <row r="410" spans="2:2">
      <c r="B410" s="5">
        <v>405</v>
      </c>
    </row>
    <row r="411" spans="2:2">
      <c r="B411" s="5">
        <v>406</v>
      </c>
    </row>
    <row r="412" spans="2:2">
      <c r="B412" s="5">
        <v>407</v>
      </c>
    </row>
    <row r="413" spans="2:2">
      <c r="B413" s="5">
        <v>408</v>
      </c>
    </row>
    <row r="414" spans="2:2">
      <c r="B414" s="5">
        <v>409</v>
      </c>
    </row>
    <row r="415" spans="2:2">
      <c r="B415" s="5">
        <v>410</v>
      </c>
    </row>
    <row r="416" spans="2:2">
      <c r="B416" s="5">
        <v>411</v>
      </c>
    </row>
    <row r="417" spans="2:2">
      <c r="B417" s="5">
        <v>412</v>
      </c>
    </row>
    <row r="418" spans="2:2">
      <c r="B418" s="5">
        <v>413</v>
      </c>
    </row>
    <row r="419" spans="2:2">
      <c r="B419" s="5">
        <v>414</v>
      </c>
    </row>
    <row r="420" spans="2:2">
      <c r="B420" s="5">
        <v>415</v>
      </c>
    </row>
    <row r="421" spans="2:2">
      <c r="B421" s="5">
        <v>416</v>
      </c>
    </row>
    <row r="422" spans="2:2">
      <c r="B422" s="5">
        <v>417</v>
      </c>
    </row>
    <row r="423" spans="2:2">
      <c r="B423" s="5">
        <v>418</v>
      </c>
    </row>
    <row r="424" spans="2:2">
      <c r="B424" s="5">
        <v>419</v>
      </c>
    </row>
    <row r="425" spans="2:2">
      <c r="B425" s="5">
        <v>420</v>
      </c>
    </row>
    <row r="426" spans="2:2">
      <c r="B426" s="5">
        <v>421</v>
      </c>
    </row>
    <row r="427" spans="2:2">
      <c r="B427" s="5">
        <v>422</v>
      </c>
    </row>
    <row r="428" spans="2:2">
      <c r="B428" s="5">
        <v>423</v>
      </c>
    </row>
    <row r="429" spans="2:2">
      <c r="B429" s="5">
        <v>424</v>
      </c>
    </row>
    <row r="430" spans="2:2">
      <c r="B430" s="5">
        <v>425</v>
      </c>
    </row>
    <row r="431" spans="2:2">
      <c r="B431" s="5">
        <v>426</v>
      </c>
    </row>
    <row r="432" spans="2:2">
      <c r="B432" s="5">
        <v>427</v>
      </c>
    </row>
    <row r="433" spans="2:2">
      <c r="B433" s="5">
        <v>428</v>
      </c>
    </row>
    <row r="434" spans="2:2">
      <c r="B434" s="5">
        <v>429</v>
      </c>
    </row>
    <row r="435" spans="2:2">
      <c r="B435" s="5">
        <v>430</v>
      </c>
    </row>
    <row r="436" spans="2:2">
      <c r="B436" s="5">
        <v>431</v>
      </c>
    </row>
    <row r="437" spans="2:2">
      <c r="B437" s="5">
        <v>432</v>
      </c>
    </row>
    <row r="438" spans="2:2">
      <c r="B438" s="5">
        <v>433</v>
      </c>
    </row>
    <row r="439" spans="2:2">
      <c r="B439" s="5">
        <v>434</v>
      </c>
    </row>
    <row r="440" spans="2:2">
      <c r="B440" s="5">
        <v>435</v>
      </c>
    </row>
    <row r="441" spans="2:2">
      <c r="B441" s="5">
        <v>436</v>
      </c>
    </row>
    <row r="442" spans="2:2">
      <c r="B442" s="5">
        <v>437</v>
      </c>
    </row>
    <row r="443" spans="2:2">
      <c r="B443" s="5">
        <v>438</v>
      </c>
    </row>
    <row r="444" spans="2:2">
      <c r="B444" s="5">
        <v>439</v>
      </c>
    </row>
    <row r="445" spans="2:2">
      <c r="B445" s="5">
        <v>440</v>
      </c>
    </row>
    <row r="446" spans="2:2">
      <c r="B446" s="5">
        <v>441</v>
      </c>
    </row>
    <row r="447" spans="2:2">
      <c r="B447" s="5">
        <v>442</v>
      </c>
    </row>
    <row r="448" spans="2:2">
      <c r="B448" s="5">
        <v>443</v>
      </c>
    </row>
    <row r="449" spans="2:2">
      <c r="B449" s="5">
        <v>444</v>
      </c>
    </row>
    <row r="450" spans="2:2">
      <c r="B450" s="5">
        <v>445</v>
      </c>
    </row>
    <row r="451" spans="2:2">
      <c r="B451" s="5">
        <v>446</v>
      </c>
    </row>
    <row r="452" spans="2:2">
      <c r="B452" s="5">
        <v>447</v>
      </c>
    </row>
    <row r="453" spans="2:2">
      <c r="B453" s="5">
        <v>448</v>
      </c>
    </row>
    <row r="454" spans="2:2">
      <c r="B454" s="5">
        <v>449</v>
      </c>
    </row>
    <row r="455" spans="2:2">
      <c r="B455" s="5">
        <v>450</v>
      </c>
    </row>
    <row r="456" spans="2:2">
      <c r="B456" s="5">
        <v>451</v>
      </c>
    </row>
    <row r="457" spans="2:2">
      <c r="B457" s="5">
        <v>452</v>
      </c>
    </row>
    <row r="458" spans="2:2">
      <c r="B458" s="5">
        <v>453</v>
      </c>
    </row>
    <row r="459" spans="2:2">
      <c r="B459" s="5">
        <v>454</v>
      </c>
    </row>
    <row r="460" spans="2:2">
      <c r="B460" s="5">
        <v>455</v>
      </c>
    </row>
    <row r="461" spans="2:2">
      <c r="B461" s="5">
        <v>456</v>
      </c>
    </row>
    <row r="462" spans="2:2">
      <c r="B462" s="5">
        <v>457</v>
      </c>
    </row>
    <row r="463" spans="2:2">
      <c r="B463" s="5">
        <v>458</v>
      </c>
    </row>
    <row r="464" spans="2:2">
      <c r="B464" s="5">
        <v>459</v>
      </c>
    </row>
    <row r="465" spans="2:2">
      <c r="B465" s="5">
        <v>460</v>
      </c>
    </row>
    <row r="466" spans="2:2">
      <c r="B466" s="5">
        <v>461</v>
      </c>
    </row>
    <row r="467" spans="2:2">
      <c r="B467" s="5">
        <v>462</v>
      </c>
    </row>
    <row r="468" spans="2:2">
      <c r="B468" s="5">
        <v>463</v>
      </c>
    </row>
    <row r="469" spans="2:2">
      <c r="B469" s="5">
        <v>464</v>
      </c>
    </row>
    <row r="470" spans="2:2">
      <c r="B470" s="5">
        <v>465</v>
      </c>
    </row>
    <row r="471" spans="2:2">
      <c r="B471" s="5">
        <v>466</v>
      </c>
    </row>
    <row r="472" spans="2:2">
      <c r="B472" s="5">
        <v>467</v>
      </c>
    </row>
    <row r="473" spans="2:2">
      <c r="B473" s="5">
        <v>468</v>
      </c>
    </row>
    <row r="474" spans="2:2">
      <c r="B474" s="5">
        <v>469</v>
      </c>
    </row>
    <row r="475" spans="2:2">
      <c r="B475" s="5">
        <v>470</v>
      </c>
    </row>
    <row r="476" spans="2:2">
      <c r="B476" s="5">
        <v>471</v>
      </c>
    </row>
    <row r="477" spans="2:2">
      <c r="B477" s="5">
        <v>472</v>
      </c>
    </row>
    <row r="478" spans="2:2">
      <c r="B478" s="5">
        <v>473</v>
      </c>
    </row>
    <row r="479" spans="2:2">
      <c r="B479" s="5">
        <v>474</v>
      </c>
    </row>
    <row r="480" spans="2:2">
      <c r="B480" s="5">
        <v>475</v>
      </c>
    </row>
    <row r="481" spans="2:2">
      <c r="B481" s="5">
        <v>476</v>
      </c>
    </row>
    <row r="482" spans="2:2">
      <c r="B482" s="5">
        <v>477</v>
      </c>
    </row>
    <row r="483" spans="2:2">
      <c r="B483" s="5">
        <v>478</v>
      </c>
    </row>
    <row r="484" spans="2:2">
      <c r="B484" s="5">
        <v>479</v>
      </c>
    </row>
    <row r="485" spans="2:2">
      <c r="B485" s="5">
        <v>480</v>
      </c>
    </row>
    <row r="486" spans="2:2">
      <c r="B486" s="5">
        <v>481</v>
      </c>
    </row>
    <row r="487" spans="2:2">
      <c r="B487" s="5">
        <v>482</v>
      </c>
    </row>
    <row r="488" spans="2:2">
      <c r="B488" s="5">
        <v>483</v>
      </c>
    </row>
    <row r="489" spans="2:2">
      <c r="B489" s="5">
        <v>484</v>
      </c>
    </row>
    <row r="490" spans="2:2">
      <c r="B490" s="5">
        <v>485</v>
      </c>
    </row>
    <row r="491" spans="2:2">
      <c r="B491" s="5">
        <v>486</v>
      </c>
    </row>
    <row r="492" spans="2:2">
      <c r="B492" s="5">
        <v>487</v>
      </c>
    </row>
    <row r="493" spans="2:2">
      <c r="B493" s="5">
        <v>488</v>
      </c>
    </row>
    <row r="494" spans="2:2">
      <c r="B494" s="5">
        <v>489</v>
      </c>
    </row>
    <row r="495" spans="2:2">
      <c r="B495" s="5">
        <v>490</v>
      </c>
    </row>
    <row r="496" spans="2:2">
      <c r="B496" s="5">
        <v>491</v>
      </c>
    </row>
    <row r="497" spans="2:2">
      <c r="B497" s="5">
        <v>492</v>
      </c>
    </row>
    <row r="498" spans="2:2">
      <c r="B498" s="5">
        <v>493</v>
      </c>
    </row>
    <row r="499" spans="2:2">
      <c r="B499" s="5">
        <v>494</v>
      </c>
    </row>
    <row r="500" spans="2:2">
      <c r="B500" s="5">
        <v>495</v>
      </c>
    </row>
    <row r="501" spans="2:2">
      <c r="B501" s="5">
        <v>496</v>
      </c>
    </row>
    <row r="502" spans="2:2">
      <c r="B502" s="5">
        <v>497</v>
      </c>
    </row>
    <row r="503" spans="2:2">
      <c r="B503" s="5">
        <v>498</v>
      </c>
    </row>
    <row r="504" spans="2:2">
      <c r="B504" s="5">
        <v>499</v>
      </c>
    </row>
    <row r="505" spans="2:2">
      <c r="B505" s="5">
        <v>500</v>
      </c>
    </row>
    <row r="506" spans="2:2">
      <c r="B506" s="5">
        <v>501</v>
      </c>
    </row>
    <row r="507" spans="2:2">
      <c r="B507" s="5">
        <v>502</v>
      </c>
    </row>
    <row r="508" spans="2:2">
      <c r="B508" s="5">
        <v>503</v>
      </c>
    </row>
    <row r="509" spans="2:2">
      <c r="B509" s="5">
        <v>504</v>
      </c>
    </row>
    <row r="510" spans="2:2">
      <c r="B510" s="5">
        <v>505</v>
      </c>
    </row>
    <row r="511" spans="2:2">
      <c r="B511" s="5">
        <v>506</v>
      </c>
    </row>
    <row r="512" spans="2:2">
      <c r="B512" s="5">
        <v>507</v>
      </c>
    </row>
    <row r="513" spans="2:2">
      <c r="B513" s="5">
        <v>508</v>
      </c>
    </row>
    <row r="514" spans="2:2">
      <c r="B514" s="5">
        <v>509</v>
      </c>
    </row>
    <row r="515" spans="2:2">
      <c r="B515" s="5">
        <v>510</v>
      </c>
    </row>
    <row r="516" spans="2:2">
      <c r="B516" s="5">
        <v>511</v>
      </c>
    </row>
    <row r="517" spans="2:2">
      <c r="B517" s="5">
        <v>512</v>
      </c>
    </row>
    <row r="518" spans="2:2">
      <c r="B518" s="5">
        <v>513</v>
      </c>
    </row>
    <row r="519" spans="2:2">
      <c r="B519" s="5">
        <v>514</v>
      </c>
    </row>
    <row r="520" spans="2:2">
      <c r="B520" s="5">
        <v>515</v>
      </c>
    </row>
    <row r="521" spans="2:2">
      <c r="B521" s="5">
        <v>516</v>
      </c>
    </row>
    <row r="522" spans="2:2">
      <c r="B522" s="5">
        <v>517</v>
      </c>
    </row>
    <row r="523" spans="2:2">
      <c r="B523" s="5">
        <v>518</v>
      </c>
    </row>
    <row r="524" spans="2:2">
      <c r="B524" s="5">
        <v>519</v>
      </c>
    </row>
    <row r="525" spans="2:2">
      <c r="B525" s="5">
        <v>520</v>
      </c>
    </row>
    <row r="526" spans="2:2">
      <c r="B526" s="5">
        <v>521</v>
      </c>
    </row>
    <row r="527" spans="2:2">
      <c r="B527" s="5">
        <v>522</v>
      </c>
    </row>
    <row r="528" spans="2:2">
      <c r="B528" s="5">
        <v>523</v>
      </c>
    </row>
    <row r="529" spans="2:2">
      <c r="B529" s="5">
        <v>524</v>
      </c>
    </row>
    <row r="530" spans="2:2">
      <c r="B530" s="5">
        <v>525</v>
      </c>
    </row>
    <row r="531" spans="2:2">
      <c r="B531" s="5">
        <v>526</v>
      </c>
    </row>
    <row r="532" spans="2:2">
      <c r="B532" s="5">
        <v>527</v>
      </c>
    </row>
    <row r="533" spans="2:2">
      <c r="B533" s="5">
        <v>528</v>
      </c>
    </row>
    <row r="534" spans="2:2">
      <c r="B534" s="5">
        <v>529</v>
      </c>
    </row>
    <row r="535" spans="2:2">
      <c r="B535" s="5">
        <v>530</v>
      </c>
    </row>
    <row r="536" spans="2:2">
      <c r="B536" s="5">
        <v>531</v>
      </c>
    </row>
    <row r="537" spans="2:2">
      <c r="B537" s="5">
        <v>532</v>
      </c>
    </row>
    <row r="538" spans="2:2">
      <c r="B538" s="5">
        <v>533</v>
      </c>
    </row>
    <row r="539" spans="2:2">
      <c r="B539" s="5">
        <v>534</v>
      </c>
    </row>
    <row r="540" spans="2:2">
      <c r="B540" s="5">
        <v>535</v>
      </c>
    </row>
    <row r="541" spans="2:2">
      <c r="B541" s="5">
        <v>536</v>
      </c>
    </row>
    <row r="542" spans="2:2">
      <c r="B542" s="5">
        <v>537</v>
      </c>
    </row>
    <row r="543" spans="2:2">
      <c r="B543" s="5">
        <v>538</v>
      </c>
    </row>
    <row r="544" spans="2:2">
      <c r="B544" s="5">
        <v>539</v>
      </c>
    </row>
    <row r="545" spans="2:2">
      <c r="B545" s="5">
        <v>540</v>
      </c>
    </row>
    <row r="546" spans="2:2">
      <c r="B546" s="5">
        <v>541</v>
      </c>
    </row>
    <row r="547" spans="2:2">
      <c r="B547" s="5">
        <v>542</v>
      </c>
    </row>
    <row r="548" spans="2:2">
      <c r="B548" s="5">
        <v>543</v>
      </c>
    </row>
    <row r="549" spans="2:2">
      <c r="B549" s="5">
        <v>544</v>
      </c>
    </row>
    <row r="550" spans="2:2">
      <c r="B550" s="5">
        <v>545</v>
      </c>
    </row>
    <row r="551" spans="2:2">
      <c r="B551" s="5">
        <v>546</v>
      </c>
    </row>
    <row r="552" spans="2:2">
      <c r="B552" s="5">
        <v>547</v>
      </c>
    </row>
    <row r="553" spans="2:2">
      <c r="B553" s="5">
        <v>548</v>
      </c>
    </row>
    <row r="554" spans="2:2">
      <c r="B554" s="5">
        <v>549</v>
      </c>
    </row>
    <row r="555" spans="2:2">
      <c r="B555" s="5">
        <v>550</v>
      </c>
    </row>
    <row r="556" spans="2:2">
      <c r="B556" s="5">
        <v>551</v>
      </c>
    </row>
    <row r="557" spans="2:2">
      <c r="B557" s="5">
        <v>552</v>
      </c>
    </row>
    <row r="558" spans="2:2">
      <c r="B558" s="5">
        <v>553</v>
      </c>
    </row>
    <row r="559" spans="2:2">
      <c r="B559" s="5">
        <v>554</v>
      </c>
    </row>
    <row r="560" spans="2:2">
      <c r="B560" s="5">
        <v>555</v>
      </c>
    </row>
    <row r="561" spans="2:2">
      <c r="B561" s="5">
        <v>556</v>
      </c>
    </row>
    <row r="562" spans="2:2">
      <c r="B562" s="5">
        <v>557</v>
      </c>
    </row>
    <row r="563" spans="2:2">
      <c r="B563" s="5">
        <v>558</v>
      </c>
    </row>
    <row r="564" spans="2:2">
      <c r="B564" s="5">
        <v>559</v>
      </c>
    </row>
    <row r="565" spans="2:2">
      <c r="B565" s="5">
        <v>560</v>
      </c>
    </row>
    <row r="566" spans="2:2">
      <c r="B566" s="5">
        <v>561</v>
      </c>
    </row>
    <row r="567" spans="2:2">
      <c r="B567" s="5">
        <v>562</v>
      </c>
    </row>
    <row r="568" spans="2:2">
      <c r="B568" s="5">
        <v>563</v>
      </c>
    </row>
    <row r="569" spans="2:2">
      <c r="B569" s="5">
        <v>564</v>
      </c>
    </row>
    <row r="570" spans="2:2">
      <c r="B570" s="5">
        <v>565</v>
      </c>
    </row>
    <row r="571" spans="2:2">
      <c r="B571" s="5">
        <v>566</v>
      </c>
    </row>
    <row r="572" spans="2:2">
      <c r="B572" s="5">
        <v>567</v>
      </c>
    </row>
    <row r="573" spans="2:2">
      <c r="B573" s="5">
        <v>568</v>
      </c>
    </row>
    <row r="574" spans="2:2">
      <c r="B574" s="5">
        <v>569</v>
      </c>
    </row>
    <row r="575" spans="2:2">
      <c r="B575" s="5">
        <v>570</v>
      </c>
    </row>
    <row r="576" spans="2:2">
      <c r="B576" s="5">
        <v>571</v>
      </c>
    </row>
    <row r="577" spans="2:2">
      <c r="B577" s="5">
        <v>572</v>
      </c>
    </row>
    <row r="578" spans="2:2">
      <c r="B578" s="5">
        <v>573</v>
      </c>
    </row>
    <row r="579" spans="2:2">
      <c r="B579" s="5">
        <v>574</v>
      </c>
    </row>
    <row r="580" spans="2:2">
      <c r="B580" s="5">
        <v>575</v>
      </c>
    </row>
    <row r="581" spans="2:2">
      <c r="B581" s="5">
        <v>576</v>
      </c>
    </row>
    <row r="582" spans="2:2">
      <c r="B582" s="5">
        <v>577</v>
      </c>
    </row>
    <row r="583" spans="2:2">
      <c r="B583" s="5">
        <v>578</v>
      </c>
    </row>
    <row r="584" spans="2:2">
      <c r="B584" s="5">
        <v>579</v>
      </c>
    </row>
    <row r="585" spans="2:2">
      <c r="B585" s="5">
        <v>580</v>
      </c>
    </row>
    <row r="586" spans="2:2">
      <c r="B586" s="5">
        <v>581</v>
      </c>
    </row>
    <row r="587" spans="2:2">
      <c r="B587" s="5">
        <v>582</v>
      </c>
    </row>
    <row r="588" spans="2:2">
      <c r="B588" s="5">
        <v>583</v>
      </c>
    </row>
    <row r="589" spans="2:2">
      <c r="B589" s="5">
        <v>584</v>
      </c>
    </row>
    <row r="590" spans="2:2">
      <c r="B590" s="5">
        <v>585</v>
      </c>
    </row>
    <row r="591" spans="2:2">
      <c r="B591" s="5">
        <v>586</v>
      </c>
    </row>
    <row r="592" spans="2:2">
      <c r="B592" s="5">
        <v>587</v>
      </c>
    </row>
    <row r="593" spans="2:2">
      <c r="B593" s="5">
        <v>588</v>
      </c>
    </row>
    <row r="594" spans="2:2">
      <c r="B594" s="5">
        <v>589</v>
      </c>
    </row>
    <row r="595" spans="2:2">
      <c r="B595" s="5">
        <v>590</v>
      </c>
    </row>
    <row r="596" spans="2:2">
      <c r="B596" s="5">
        <v>591</v>
      </c>
    </row>
    <row r="597" spans="2:2">
      <c r="B597" s="5">
        <v>592</v>
      </c>
    </row>
    <row r="598" spans="2:2">
      <c r="B598" s="5">
        <v>593</v>
      </c>
    </row>
    <row r="599" spans="2:2">
      <c r="B599" s="5">
        <v>594</v>
      </c>
    </row>
    <row r="600" spans="2:2">
      <c r="B600" s="5">
        <v>595</v>
      </c>
    </row>
    <row r="601" spans="2:2">
      <c r="B601" s="5">
        <v>596</v>
      </c>
    </row>
    <row r="602" spans="2:2">
      <c r="B602" s="5">
        <v>597</v>
      </c>
    </row>
    <row r="603" spans="2:2">
      <c r="B603" s="5">
        <v>598</v>
      </c>
    </row>
    <row r="604" spans="2:2">
      <c r="B604" s="5">
        <v>599</v>
      </c>
    </row>
    <row r="605" spans="2:2">
      <c r="B605" s="5">
        <v>600</v>
      </c>
    </row>
    <row r="606" spans="2:2">
      <c r="B606" s="5">
        <v>601</v>
      </c>
    </row>
    <row r="607" spans="2:2">
      <c r="B607" s="5">
        <v>602</v>
      </c>
    </row>
    <row r="608" spans="2:2">
      <c r="B608" s="5">
        <v>603</v>
      </c>
    </row>
    <row r="609" spans="2:2">
      <c r="B609" s="5">
        <v>604</v>
      </c>
    </row>
    <row r="610" spans="2:2">
      <c r="B610" s="5">
        <v>605</v>
      </c>
    </row>
    <row r="611" spans="2:2">
      <c r="B611" s="5">
        <v>606</v>
      </c>
    </row>
    <row r="612" spans="2:2">
      <c r="B612" s="5">
        <v>607</v>
      </c>
    </row>
    <row r="613" spans="2:2">
      <c r="B613" s="5">
        <v>608</v>
      </c>
    </row>
    <row r="614" spans="2:2">
      <c r="B614" s="5">
        <v>609</v>
      </c>
    </row>
    <row r="615" spans="2:2">
      <c r="B615" s="5">
        <v>610</v>
      </c>
    </row>
    <row r="616" spans="2:2">
      <c r="B616" s="5">
        <v>611</v>
      </c>
    </row>
    <row r="617" spans="2:2">
      <c r="B617" s="5">
        <v>612</v>
      </c>
    </row>
    <row r="618" spans="2:2">
      <c r="B618" s="5">
        <v>613</v>
      </c>
    </row>
    <row r="619" spans="2:2">
      <c r="B619" s="5">
        <v>614</v>
      </c>
    </row>
    <row r="620" spans="2:2">
      <c r="B620" s="5">
        <v>615</v>
      </c>
    </row>
    <row r="621" spans="2:2">
      <c r="B621" s="5">
        <v>616</v>
      </c>
    </row>
    <row r="622" spans="2:2">
      <c r="B622" s="5">
        <v>617</v>
      </c>
    </row>
    <row r="623" spans="2:2">
      <c r="B623" s="5">
        <v>618</v>
      </c>
    </row>
    <row r="624" spans="2:2">
      <c r="B624" s="5">
        <v>619</v>
      </c>
    </row>
    <row r="625" spans="2:2">
      <c r="B625" s="5">
        <v>620</v>
      </c>
    </row>
    <row r="626" spans="2:2">
      <c r="B626" s="5">
        <v>621</v>
      </c>
    </row>
    <row r="627" spans="2:2">
      <c r="B627" s="5">
        <v>622</v>
      </c>
    </row>
    <row r="628" spans="2:2">
      <c r="B628" s="5">
        <v>623</v>
      </c>
    </row>
    <row r="629" spans="2:2">
      <c r="B629" s="5">
        <v>624</v>
      </c>
    </row>
    <row r="630" spans="2:2">
      <c r="B630" s="5">
        <v>625</v>
      </c>
    </row>
    <row r="631" spans="2:2">
      <c r="B631" s="5">
        <v>626</v>
      </c>
    </row>
    <row r="632" spans="2:2">
      <c r="B632" s="5">
        <v>627</v>
      </c>
    </row>
    <row r="633" spans="2:2">
      <c r="B633" s="5">
        <v>628</v>
      </c>
    </row>
    <row r="634" spans="2:2">
      <c r="B634" s="5">
        <v>629</v>
      </c>
    </row>
    <row r="635" spans="2:2">
      <c r="B635" s="5">
        <v>630</v>
      </c>
    </row>
    <row r="636" spans="2:2">
      <c r="B636" s="5">
        <v>631</v>
      </c>
    </row>
    <row r="637" spans="2:2">
      <c r="B637" s="5">
        <v>632</v>
      </c>
    </row>
    <row r="638" spans="2:2">
      <c r="B638" s="5">
        <v>633</v>
      </c>
    </row>
    <row r="639" spans="2:2">
      <c r="B639" s="5">
        <v>634</v>
      </c>
    </row>
    <row r="640" spans="2:2">
      <c r="B640" s="5">
        <v>635</v>
      </c>
    </row>
    <row r="641" spans="2:2">
      <c r="B641" s="5">
        <v>636</v>
      </c>
    </row>
    <row r="642" spans="2:2">
      <c r="B642" s="5">
        <v>637</v>
      </c>
    </row>
    <row r="643" spans="2:2">
      <c r="B643" s="5">
        <v>638</v>
      </c>
    </row>
    <row r="644" spans="2:2">
      <c r="B644" s="5">
        <v>639</v>
      </c>
    </row>
    <row r="645" spans="2:2">
      <c r="B645" s="5">
        <v>640</v>
      </c>
    </row>
    <row r="646" spans="2:2">
      <c r="B646" s="5">
        <v>641</v>
      </c>
    </row>
    <row r="647" spans="2:2">
      <c r="B647" s="5">
        <v>642</v>
      </c>
    </row>
    <row r="648" spans="2:2">
      <c r="B648" s="5">
        <v>643</v>
      </c>
    </row>
    <row r="649" spans="2:2">
      <c r="B649" s="5">
        <v>644</v>
      </c>
    </row>
    <row r="650" spans="2:2">
      <c r="B650" s="5">
        <v>645</v>
      </c>
    </row>
    <row r="651" spans="2:2">
      <c r="B651" s="5">
        <v>646</v>
      </c>
    </row>
    <row r="652" spans="2:2">
      <c r="B652" s="5">
        <v>647</v>
      </c>
    </row>
    <row r="653" spans="2:2">
      <c r="B653" s="5">
        <v>648</v>
      </c>
    </row>
    <row r="654" spans="2:2">
      <c r="B654" s="5">
        <v>649</v>
      </c>
    </row>
    <row r="655" spans="2:2">
      <c r="B655" s="5">
        <v>650</v>
      </c>
    </row>
    <row r="656" spans="2:2">
      <c r="B656" s="5">
        <v>651</v>
      </c>
    </row>
    <row r="657" spans="2:2">
      <c r="B657" s="5">
        <v>652</v>
      </c>
    </row>
    <row r="658" spans="2:2">
      <c r="B658" s="5">
        <v>653</v>
      </c>
    </row>
    <row r="659" spans="2:2">
      <c r="B659" s="5">
        <v>654</v>
      </c>
    </row>
    <row r="660" spans="2:2">
      <c r="B660" s="5">
        <v>655</v>
      </c>
    </row>
    <row r="661" spans="2:2">
      <c r="B661" s="5">
        <v>656</v>
      </c>
    </row>
    <row r="662" spans="2:2">
      <c r="B662" s="5">
        <v>657</v>
      </c>
    </row>
    <row r="663" spans="2:2">
      <c r="B663" s="5">
        <v>658</v>
      </c>
    </row>
    <row r="664" spans="2:2">
      <c r="B664" s="5">
        <v>659</v>
      </c>
    </row>
    <row r="665" spans="2:2">
      <c r="B665" s="5">
        <v>660</v>
      </c>
    </row>
    <row r="666" spans="2:2">
      <c r="B666" s="5">
        <v>661</v>
      </c>
    </row>
    <row r="667" spans="2:2">
      <c r="B667" s="5">
        <v>662</v>
      </c>
    </row>
    <row r="668" spans="2:2">
      <c r="B668" s="5">
        <v>663</v>
      </c>
    </row>
    <row r="669" spans="2:2">
      <c r="B669" s="5">
        <v>664</v>
      </c>
    </row>
    <row r="670" spans="2:2">
      <c r="B670" s="5">
        <v>665</v>
      </c>
    </row>
    <row r="671" spans="2:2">
      <c r="B671" s="5">
        <v>666</v>
      </c>
    </row>
    <row r="672" spans="2:2">
      <c r="B672" s="5">
        <v>667</v>
      </c>
    </row>
    <row r="673" spans="2:2">
      <c r="B673" s="5">
        <v>668</v>
      </c>
    </row>
    <row r="674" spans="2:2">
      <c r="B674" s="5">
        <v>669</v>
      </c>
    </row>
    <row r="675" spans="2:2">
      <c r="B675" s="5">
        <v>670</v>
      </c>
    </row>
    <row r="676" spans="2:2">
      <c r="B676" s="5">
        <v>671</v>
      </c>
    </row>
    <row r="677" spans="2:2">
      <c r="B677" s="5">
        <v>672</v>
      </c>
    </row>
    <row r="678" spans="2:2">
      <c r="B678" s="5">
        <v>673</v>
      </c>
    </row>
    <row r="679" spans="2:2">
      <c r="B679" s="5">
        <v>674</v>
      </c>
    </row>
    <row r="680" spans="2:2">
      <c r="B680" s="5">
        <v>675</v>
      </c>
    </row>
    <row r="681" spans="2:2">
      <c r="B681" s="5">
        <v>676</v>
      </c>
    </row>
    <row r="682" spans="2:2">
      <c r="B682" s="5">
        <v>677</v>
      </c>
    </row>
    <row r="683" spans="2:2">
      <c r="B683" s="5">
        <v>678</v>
      </c>
    </row>
    <row r="684" spans="2:2">
      <c r="B684" s="5">
        <v>679</v>
      </c>
    </row>
    <row r="685" spans="2:2">
      <c r="B685" s="5">
        <v>680</v>
      </c>
    </row>
    <row r="686" spans="2:2">
      <c r="B686" s="5">
        <v>681</v>
      </c>
    </row>
    <row r="687" spans="2:2">
      <c r="B687" s="5">
        <v>682</v>
      </c>
    </row>
    <row r="688" spans="2:2">
      <c r="B688" s="5">
        <v>683</v>
      </c>
    </row>
    <row r="689" spans="2:2">
      <c r="B689" s="5">
        <v>684</v>
      </c>
    </row>
    <row r="690" spans="2:2">
      <c r="B690" s="5">
        <v>685</v>
      </c>
    </row>
    <row r="691" spans="2:2">
      <c r="B691" s="5">
        <v>686</v>
      </c>
    </row>
    <row r="692" spans="2:2">
      <c r="B692" s="5">
        <v>687</v>
      </c>
    </row>
    <row r="693" spans="2:2">
      <c r="B693" s="5">
        <v>688</v>
      </c>
    </row>
    <row r="694" spans="2:2">
      <c r="B694" s="5">
        <v>689</v>
      </c>
    </row>
    <row r="695" spans="2:2">
      <c r="B695" s="5">
        <v>690</v>
      </c>
    </row>
    <row r="696" spans="2:2">
      <c r="B696" s="5">
        <v>691</v>
      </c>
    </row>
    <row r="697" spans="2:2">
      <c r="B697" s="5">
        <v>692</v>
      </c>
    </row>
    <row r="698" spans="2:2">
      <c r="B698" s="5">
        <v>693</v>
      </c>
    </row>
    <row r="699" spans="2:2">
      <c r="B699" s="5">
        <v>694</v>
      </c>
    </row>
    <row r="700" spans="2:2">
      <c r="B700" s="5">
        <v>695</v>
      </c>
    </row>
    <row r="701" spans="2:2">
      <c r="B701" s="5">
        <v>696</v>
      </c>
    </row>
    <row r="702" spans="2:2">
      <c r="B702" s="5">
        <v>697</v>
      </c>
    </row>
    <row r="703" spans="2:2">
      <c r="B703" s="5">
        <v>698</v>
      </c>
    </row>
    <row r="704" spans="2:2">
      <c r="B704" s="5">
        <v>699</v>
      </c>
    </row>
    <row r="705" spans="2:2">
      <c r="B705" s="5">
        <v>700</v>
      </c>
    </row>
    <row r="706" spans="2:2">
      <c r="B706" s="5">
        <v>701</v>
      </c>
    </row>
    <row r="707" spans="2:2">
      <c r="B707" s="5">
        <v>702</v>
      </c>
    </row>
    <row r="708" spans="2:2">
      <c r="B708" s="5">
        <v>703</v>
      </c>
    </row>
    <row r="709" spans="2:2">
      <c r="B709" s="5">
        <v>704</v>
      </c>
    </row>
    <row r="710" spans="2:2">
      <c r="B710" s="5">
        <v>705</v>
      </c>
    </row>
    <row r="711" spans="2:2">
      <c r="B711" s="5">
        <v>706</v>
      </c>
    </row>
    <row r="712" spans="2:2">
      <c r="B712" s="5">
        <v>707</v>
      </c>
    </row>
    <row r="713" spans="2:2">
      <c r="B713" s="5">
        <v>708</v>
      </c>
    </row>
    <row r="714" spans="2:2">
      <c r="B714" s="5">
        <v>709</v>
      </c>
    </row>
    <row r="715" spans="2:2">
      <c r="B715" s="5">
        <v>710</v>
      </c>
    </row>
    <row r="716" spans="2:2">
      <c r="B716" s="5">
        <v>711</v>
      </c>
    </row>
    <row r="717" spans="2:2">
      <c r="B717" s="5">
        <v>712</v>
      </c>
    </row>
    <row r="718" spans="2:2">
      <c r="B718" s="5">
        <v>713</v>
      </c>
    </row>
    <row r="719" spans="2:2">
      <c r="B719" s="5">
        <v>714</v>
      </c>
    </row>
    <row r="720" spans="2:2">
      <c r="B720" s="5">
        <v>715</v>
      </c>
    </row>
    <row r="721" spans="2:2">
      <c r="B721" s="5">
        <v>716</v>
      </c>
    </row>
    <row r="722" spans="2:2">
      <c r="B722" s="5">
        <v>717</v>
      </c>
    </row>
    <row r="723" spans="2:2">
      <c r="B723" s="5">
        <v>718</v>
      </c>
    </row>
    <row r="724" spans="2:2">
      <c r="B724" s="5">
        <v>719</v>
      </c>
    </row>
    <row r="725" spans="2:2">
      <c r="B725" s="5">
        <v>720</v>
      </c>
    </row>
    <row r="726" spans="2:2">
      <c r="B726" s="5">
        <v>721</v>
      </c>
    </row>
    <row r="727" spans="2:2">
      <c r="B727" s="5">
        <v>722</v>
      </c>
    </row>
    <row r="728" spans="2:2">
      <c r="B728" s="5">
        <v>723</v>
      </c>
    </row>
    <row r="729" spans="2:2">
      <c r="B729" s="5">
        <v>724</v>
      </c>
    </row>
    <row r="730" spans="2:2">
      <c r="B730" s="5">
        <v>725</v>
      </c>
    </row>
    <row r="731" spans="2:2">
      <c r="B731" s="5">
        <v>726</v>
      </c>
    </row>
    <row r="732" spans="2:2">
      <c r="B732" s="5">
        <v>727</v>
      </c>
    </row>
    <row r="733" spans="2:2">
      <c r="B733" s="5">
        <v>728</v>
      </c>
    </row>
    <row r="734" spans="2:2">
      <c r="B734" s="5">
        <v>729</v>
      </c>
    </row>
    <row r="735" spans="2:2">
      <c r="B735" s="5">
        <v>730</v>
      </c>
    </row>
    <row r="736" spans="2:2">
      <c r="B736" s="5">
        <v>731</v>
      </c>
    </row>
    <row r="737" spans="2:2">
      <c r="B737" s="5">
        <v>732</v>
      </c>
    </row>
    <row r="738" spans="2:2">
      <c r="B738" s="5">
        <v>733</v>
      </c>
    </row>
    <row r="739" spans="2:2">
      <c r="B739" s="5">
        <v>734</v>
      </c>
    </row>
    <row r="740" spans="2:2">
      <c r="B740" s="5">
        <v>735</v>
      </c>
    </row>
    <row r="741" spans="2:2">
      <c r="B741" s="5">
        <v>736</v>
      </c>
    </row>
    <row r="742" spans="2:2">
      <c r="B742" s="5">
        <v>737</v>
      </c>
    </row>
    <row r="743" spans="2:2">
      <c r="B743" s="5">
        <v>738</v>
      </c>
    </row>
    <row r="744" spans="2:2">
      <c r="B744" s="5">
        <v>739</v>
      </c>
    </row>
    <row r="745" spans="2:2">
      <c r="B745" s="5">
        <v>740</v>
      </c>
    </row>
    <row r="746" spans="2:2">
      <c r="B746" s="5">
        <v>741</v>
      </c>
    </row>
    <row r="747" spans="2:2">
      <c r="B747" s="5">
        <v>742</v>
      </c>
    </row>
    <row r="748" spans="2:2">
      <c r="B748" s="5">
        <v>743</v>
      </c>
    </row>
    <row r="749" spans="2:2">
      <c r="B749" s="5">
        <v>744</v>
      </c>
    </row>
    <row r="750" spans="2:2">
      <c r="B750" s="5">
        <v>745</v>
      </c>
    </row>
    <row r="751" spans="2:2">
      <c r="B751" s="5">
        <v>746</v>
      </c>
    </row>
    <row r="752" spans="2:2">
      <c r="B752" s="5">
        <v>747</v>
      </c>
    </row>
    <row r="753" spans="2:2">
      <c r="B753" s="5">
        <v>748</v>
      </c>
    </row>
    <row r="754" spans="2:2">
      <c r="B754" s="5">
        <v>749</v>
      </c>
    </row>
    <row r="755" spans="2:2">
      <c r="B755" s="5">
        <v>750</v>
      </c>
    </row>
    <row r="756" spans="2:2">
      <c r="B756" s="5">
        <v>751</v>
      </c>
    </row>
    <row r="757" spans="2:2">
      <c r="B757" s="5">
        <v>752</v>
      </c>
    </row>
    <row r="758" spans="2:2">
      <c r="B758" s="5">
        <v>753</v>
      </c>
    </row>
    <row r="759" spans="2:2">
      <c r="B759" s="5">
        <v>754</v>
      </c>
    </row>
    <row r="760" spans="2:2">
      <c r="B760" s="5">
        <v>755</v>
      </c>
    </row>
    <row r="761" spans="2:2">
      <c r="B761" s="5">
        <v>756</v>
      </c>
    </row>
    <row r="762" spans="2:2">
      <c r="B762" s="5">
        <v>757</v>
      </c>
    </row>
    <row r="763" spans="2:2">
      <c r="B763" s="5">
        <v>758</v>
      </c>
    </row>
    <row r="764" spans="2:2">
      <c r="B764" s="5">
        <v>759</v>
      </c>
    </row>
    <row r="765" spans="2:2">
      <c r="B765" s="5">
        <v>760</v>
      </c>
    </row>
    <row r="766" spans="2:2">
      <c r="B766" s="5">
        <v>761</v>
      </c>
    </row>
    <row r="767" spans="2:2">
      <c r="B767" s="5">
        <v>762</v>
      </c>
    </row>
    <row r="768" spans="2:2">
      <c r="B768" s="5">
        <v>763</v>
      </c>
    </row>
    <row r="769" spans="2:2">
      <c r="B769" s="5">
        <v>764</v>
      </c>
    </row>
    <row r="770" spans="2:2">
      <c r="B770" s="5">
        <v>765</v>
      </c>
    </row>
    <row r="771" spans="2:2">
      <c r="B771" s="5">
        <v>766</v>
      </c>
    </row>
    <row r="772" spans="2:2">
      <c r="B772" s="5">
        <v>767</v>
      </c>
    </row>
    <row r="773" spans="2:2">
      <c r="B773" s="5">
        <v>768</v>
      </c>
    </row>
    <row r="774" spans="2:2">
      <c r="B774" s="5">
        <v>769</v>
      </c>
    </row>
    <row r="775" spans="2:2">
      <c r="B775" s="5">
        <v>770</v>
      </c>
    </row>
    <row r="776" spans="2:2">
      <c r="B776" s="5">
        <v>771</v>
      </c>
    </row>
    <row r="777" spans="2:2">
      <c r="B777" s="5">
        <v>772</v>
      </c>
    </row>
    <row r="778" spans="2:2">
      <c r="B778" s="5">
        <v>773</v>
      </c>
    </row>
    <row r="779" spans="2:2">
      <c r="B779" s="5">
        <v>774</v>
      </c>
    </row>
    <row r="780" spans="2:2">
      <c r="B780" s="5">
        <v>775</v>
      </c>
    </row>
    <row r="781" spans="2:2">
      <c r="B781" s="5">
        <v>776</v>
      </c>
    </row>
    <row r="782" spans="2:2">
      <c r="B782" s="5">
        <v>777</v>
      </c>
    </row>
    <row r="783" spans="2:2">
      <c r="B783" s="5">
        <v>778</v>
      </c>
    </row>
    <row r="784" spans="2:2">
      <c r="B784" s="5">
        <v>779</v>
      </c>
    </row>
    <row r="785" spans="2:2">
      <c r="B785" s="5">
        <v>780</v>
      </c>
    </row>
    <row r="786" spans="2:2">
      <c r="B786" s="5">
        <v>781</v>
      </c>
    </row>
    <row r="787" spans="2:2">
      <c r="B787" s="5">
        <v>782</v>
      </c>
    </row>
    <row r="788" spans="2:2">
      <c r="B788" s="5">
        <v>783</v>
      </c>
    </row>
    <row r="789" spans="2:2">
      <c r="B789" s="5">
        <v>784</v>
      </c>
    </row>
    <row r="790" spans="2:2">
      <c r="B790" s="5">
        <v>785</v>
      </c>
    </row>
    <row r="791" spans="2:2">
      <c r="B791" s="5">
        <v>786</v>
      </c>
    </row>
    <row r="792" spans="2:2">
      <c r="B792" s="5">
        <v>787</v>
      </c>
    </row>
    <row r="793" spans="2:2">
      <c r="B793" s="5">
        <v>788</v>
      </c>
    </row>
    <row r="794" spans="2:2">
      <c r="B794" s="5">
        <v>789</v>
      </c>
    </row>
    <row r="795" spans="2:2">
      <c r="B795" s="5">
        <v>790</v>
      </c>
    </row>
    <row r="796" spans="2:2">
      <c r="B796" s="5">
        <v>791</v>
      </c>
    </row>
    <row r="797" spans="2:2">
      <c r="B797" s="5">
        <v>792</v>
      </c>
    </row>
    <row r="798" spans="2:2">
      <c r="B798" s="5">
        <v>793</v>
      </c>
    </row>
    <row r="799" spans="2:2">
      <c r="B799" s="5">
        <v>794</v>
      </c>
    </row>
    <row r="800" spans="2:2">
      <c r="B800" s="5">
        <v>795</v>
      </c>
    </row>
    <row r="801" spans="2:2">
      <c r="B801" s="5">
        <v>796</v>
      </c>
    </row>
    <row r="802" spans="2:2">
      <c r="B802" s="5">
        <v>797</v>
      </c>
    </row>
    <row r="803" spans="2:2">
      <c r="B803" s="5">
        <v>798</v>
      </c>
    </row>
    <row r="804" spans="2:2">
      <c r="B804" s="5">
        <v>799</v>
      </c>
    </row>
    <row r="805" spans="2:2">
      <c r="B805" s="5">
        <v>800</v>
      </c>
    </row>
    <row r="806" spans="2:2">
      <c r="B806" s="5">
        <v>801</v>
      </c>
    </row>
    <row r="807" spans="2:2">
      <c r="B807" s="5">
        <v>802</v>
      </c>
    </row>
    <row r="808" spans="2:2">
      <c r="B808" s="5">
        <v>803</v>
      </c>
    </row>
    <row r="809" spans="2:2">
      <c r="B809" s="5">
        <v>804</v>
      </c>
    </row>
    <row r="810" spans="2:2">
      <c r="B810" s="5">
        <v>805</v>
      </c>
    </row>
    <row r="811" spans="2:2">
      <c r="B811" s="5">
        <v>806</v>
      </c>
    </row>
    <row r="812" spans="2:2">
      <c r="B812" s="5">
        <v>807</v>
      </c>
    </row>
    <row r="813" spans="2:2">
      <c r="B813" s="5">
        <v>808</v>
      </c>
    </row>
    <row r="814" spans="2:2">
      <c r="B814" s="5">
        <v>809</v>
      </c>
    </row>
    <row r="815" spans="2:2">
      <c r="B815" s="5">
        <v>810</v>
      </c>
    </row>
    <row r="816" spans="2:2">
      <c r="B816" s="5">
        <v>811</v>
      </c>
    </row>
    <row r="817" spans="2:2">
      <c r="B817" s="5">
        <v>812</v>
      </c>
    </row>
    <row r="818" spans="2:2">
      <c r="B818" s="5">
        <v>813</v>
      </c>
    </row>
    <row r="819" spans="2:2">
      <c r="B819" s="5">
        <v>814</v>
      </c>
    </row>
    <row r="820" spans="2:2">
      <c r="B820" s="5">
        <v>815</v>
      </c>
    </row>
    <row r="821" spans="2:2">
      <c r="B821" s="5">
        <v>816</v>
      </c>
    </row>
    <row r="822" spans="2:2">
      <c r="B822" s="5">
        <v>817</v>
      </c>
    </row>
    <row r="823" spans="2:2">
      <c r="B823" s="5">
        <v>818</v>
      </c>
    </row>
    <row r="824" spans="2:2">
      <c r="B824" s="5">
        <v>819</v>
      </c>
    </row>
    <row r="825" spans="2:2">
      <c r="B825" s="5">
        <v>820</v>
      </c>
    </row>
    <row r="826" spans="2:2">
      <c r="B826" s="5">
        <v>821</v>
      </c>
    </row>
    <row r="827" spans="2:2">
      <c r="B827" s="5">
        <v>822</v>
      </c>
    </row>
    <row r="828" spans="2:2">
      <c r="B828" s="5">
        <v>823</v>
      </c>
    </row>
    <row r="829" spans="2:2">
      <c r="B829" s="5">
        <v>824</v>
      </c>
    </row>
    <row r="830" spans="2:2">
      <c r="B830" s="5">
        <v>825</v>
      </c>
    </row>
    <row r="831" spans="2:2">
      <c r="B831" s="5">
        <v>826</v>
      </c>
    </row>
    <row r="832" spans="2:2">
      <c r="B832" s="5">
        <v>827</v>
      </c>
    </row>
    <row r="833" spans="2:2">
      <c r="B833" s="5">
        <v>828</v>
      </c>
    </row>
    <row r="834" spans="2:2">
      <c r="B834" s="5">
        <v>829</v>
      </c>
    </row>
    <row r="835" spans="2:2">
      <c r="B835" s="5">
        <v>830</v>
      </c>
    </row>
    <row r="836" spans="2:2">
      <c r="B836" s="5">
        <v>831</v>
      </c>
    </row>
    <row r="837" spans="2:2">
      <c r="B837" s="5">
        <v>832</v>
      </c>
    </row>
    <row r="838" spans="2:2">
      <c r="B838" s="5">
        <v>833</v>
      </c>
    </row>
    <row r="839" spans="2:2">
      <c r="B839" s="5">
        <v>834</v>
      </c>
    </row>
    <row r="840" spans="2:2">
      <c r="B840" s="5">
        <v>835</v>
      </c>
    </row>
    <row r="841" spans="2:2">
      <c r="B841" s="5">
        <v>836</v>
      </c>
    </row>
    <row r="842" spans="2:2">
      <c r="B842" s="5">
        <v>837</v>
      </c>
    </row>
    <row r="843" spans="2:2">
      <c r="B843" s="5">
        <v>838</v>
      </c>
    </row>
    <row r="844" spans="2:2">
      <c r="B844" s="5">
        <v>839</v>
      </c>
    </row>
    <row r="845" spans="2:2">
      <c r="B845" s="5">
        <v>840</v>
      </c>
    </row>
    <row r="846" spans="2:2">
      <c r="B846" s="5">
        <v>841</v>
      </c>
    </row>
    <row r="847" spans="2:2">
      <c r="B847" s="5">
        <v>842</v>
      </c>
    </row>
    <row r="848" spans="2:2">
      <c r="B848" s="5">
        <v>843</v>
      </c>
    </row>
    <row r="849" spans="2:2">
      <c r="B849" s="5">
        <v>844</v>
      </c>
    </row>
    <row r="850" spans="2:2">
      <c r="B850" s="5">
        <v>845</v>
      </c>
    </row>
    <row r="851" spans="2:2">
      <c r="B851" s="5">
        <v>846</v>
      </c>
    </row>
    <row r="852" spans="2:2">
      <c r="B852" s="5">
        <v>847</v>
      </c>
    </row>
    <row r="853" spans="2:2">
      <c r="B853" s="5">
        <v>848</v>
      </c>
    </row>
    <row r="854" spans="2:2">
      <c r="B854" s="5">
        <v>849</v>
      </c>
    </row>
    <row r="855" spans="2:2">
      <c r="B855" s="5">
        <v>850</v>
      </c>
    </row>
    <row r="856" spans="2:2">
      <c r="B856" s="5">
        <v>851</v>
      </c>
    </row>
    <row r="857" spans="2:2">
      <c r="B857" s="5">
        <v>852</v>
      </c>
    </row>
    <row r="858" spans="2:2">
      <c r="B858" s="5">
        <v>853</v>
      </c>
    </row>
    <row r="859" spans="2:2">
      <c r="B859" s="5">
        <v>854</v>
      </c>
    </row>
    <row r="860" spans="2:2">
      <c r="B860" s="5">
        <v>855</v>
      </c>
    </row>
    <row r="861" spans="2:2">
      <c r="B861" s="5">
        <v>856</v>
      </c>
    </row>
    <row r="862" spans="2:2">
      <c r="B862" s="5">
        <v>857</v>
      </c>
    </row>
    <row r="863" spans="2:2">
      <c r="B863" s="5">
        <v>858</v>
      </c>
    </row>
    <row r="864" spans="2:2">
      <c r="B864" s="5">
        <v>859</v>
      </c>
    </row>
    <row r="865" spans="2:2">
      <c r="B865" s="5">
        <v>860</v>
      </c>
    </row>
    <row r="866" spans="2:2">
      <c r="B866" s="5">
        <v>861</v>
      </c>
    </row>
    <row r="867" spans="2:2">
      <c r="B867" s="5">
        <v>862</v>
      </c>
    </row>
    <row r="868" spans="2:2">
      <c r="B868" s="5">
        <v>863</v>
      </c>
    </row>
    <row r="869" spans="2:2">
      <c r="B869" s="5">
        <v>864</v>
      </c>
    </row>
    <row r="870" spans="2:2">
      <c r="B870" s="5">
        <v>865</v>
      </c>
    </row>
    <row r="871" spans="2:2">
      <c r="B871" s="5">
        <v>866</v>
      </c>
    </row>
    <row r="872" spans="2:2">
      <c r="B872" s="5">
        <v>867</v>
      </c>
    </row>
    <row r="873" spans="2:2">
      <c r="B873" s="5">
        <v>868</v>
      </c>
    </row>
    <row r="874" spans="2:2">
      <c r="B874" s="5">
        <v>869</v>
      </c>
    </row>
    <row r="875" spans="2:2">
      <c r="B875" s="5">
        <v>870</v>
      </c>
    </row>
    <row r="876" spans="2:2">
      <c r="B876" s="5">
        <v>871</v>
      </c>
    </row>
    <row r="877" spans="2:2">
      <c r="B877" s="5">
        <v>872</v>
      </c>
    </row>
    <row r="878" spans="2:2">
      <c r="B878" s="5">
        <v>873</v>
      </c>
    </row>
    <row r="879" spans="2:2">
      <c r="B879" s="5">
        <v>874</v>
      </c>
    </row>
    <row r="880" spans="2:2">
      <c r="B880" s="5">
        <v>875</v>
      </c>
    </row>
    <row r="881" spans="2:2">
      <c r="B881" s="5">
        <v>876</v>
      </c>
    </row>
    <row r="882" spans="2:2">
      <c r="B882" s="5">
        <v>877</v>
      </c>
    </row>
    <row r="883" spans="2:2">
      <c r="B883" s="5">
        <v>878</v>
      </c>
    </row>
    <row r="884" spans="2:2">
      <c r="B884" s="5">
        <v>879</v>
      </c>
    </row>
    <row r="885" spans="2:2">
      <c r="B885" s="5">
        <v>880</v>
      </c>
    </row>
    <row r="886" spans="2:2">
      <c r="B886" s="5">
        <v>881</v>
      </c>
    </row>
    <row r="887" spans="2:2">
      <c r="B887" s="5">
        <v>882</v>
      </c>
    </row>
    <row r="888" spans="2:2">
      <c r="B888" s="5">
        <v>883</v>
      </c>
    </row>
    <row r="889" spans="2:2">
      <c r="B889" s="5">
        <v>884</v>
      </c>
    </row>
    <row r="890" spans="2:2">
      <c r="B890" s="5">
        <v>885</v>
      </c>
    </row>
    <row r="891" spans="2:2">
      <c r="B891" s="5">
        <v>886</v>
      </c>
    </row>
    <row r="892" spans="2:2">
      <c r="B892" s="5">
        <v>887</v>
      </c>
    </row>
    <row r="893" spans="2:2">
      <c r="B893" s="5">
        <v>888</v>
      </c>
    </row>
    <row r="894" spans="2:2">
      <c r="B894" s="5">
        <v>889</v>
      </c>
    </row>
    <row r="895" spans="2:2">
      <c r="B895" s="5">
        <v>890</v>
      </c>
    </row>
    <row r="896" spans="2:2">
      <c r="B896" s="5">
        <v>891</v>
      </c>
    </row>
    <row r="897" spans="2:2">
      <c r="B897" s="5">
        <v>892</v>
      </c>
    </row>
    <row r="898" spans="2:2">
      <c r="B898" s="5">
        <v>893</v>
      </c>
    </row>
    <row r="899" spans="2:2">
      <c r="B899" s="5">
        <v>894</v>
      </c>
    </row>
    <row r="900" spans="2:2">
      <c r="B900" s="5">
        <v>895</v>
      </c>
    </row>
    <row r="901" spans="2:2">
      <c r="B901" s="5">
        <v>896</v>
      </c>
    </row>
    <row r="902" spans="2:2">
      <c r="B902" s="5">
        <v>897</v>
      </c>
    </row>
    <row r="903" spans="2:2">
      <c r="B903" s="5">
        <v>898</v>
      </c>
    </row>
    <row r="904" spans="2:2">
      <c r="B904" s="5">
        <v>899</v>
      </c>
    </row>
    <row r="905" spans="2:2">
      <c r="B905" s="5">
        <v>900</v>
      </c>
    </row>
    <row r="906" spans="2:2">
      <c r="B906" s="5">
        <v>901</v>
      </c>
    </row>
    <row r="907" spans="2:2">
      <c r="B907" s="5">
        <v>902</v>
      </c>
    </row>
    <row r="908" spans="2:2">
      <c r="B908" s="5">
        <v>903</v>
      </c>
    </row>
    <row r="909" spans="2:2">
      <c r="B909" s="5">
        <v>904</v>
      </c>
    </row>
    <row r="910" spans="2:2">
      <c r="B910" s="5">
        <v>905</v>
      </c>
    </row>
    <row r="911" spans="2:2">
      <c r="B911" s="5">
        <v>906</v>
      </c>
    </row>
    <row r="912" spans="2:2">
      <c r="B912" s="5">
        <v>907</v>
      </c>
    </row>
    <row r="913" spans="2:2">
      <c r="B913" s="5">
        <v>908</v>
      </c>
    </row>
    <row r="914" spans="2:2">
      <c r="B914" s="5">
        <v>909</v>
      </c>
    </row>
    <row r="915" spans="2:2">
      <c r="B915" s="5">
        <v>910</v>
      </c>
    </row>
    <row r="916" spans="2:2">
      <c r="B916" s="5">
        <v>911</v>
      </c>
    </row>
    <row r="917" spans="2:2">
      <c r="B917" s="5">
        <v>912</v>
      </c>
    </row>
    <row r="918" spans="2:2">
      <c r="B918" s="5">
        <v>913</v>
      </c>
    </row>
    <row r="919" spans="2:2">
      <c r="B919" s="5">
        <v>914</v>
      </c>
    </row>
    <row r="920" spans="2:2">
      <c r="B920" s="5">
        <v>915</v>
      </c>
    </row>
    <row r="921" spans="2:2">
      <c r="B921" s="5">
        <v>916</v>
      </c>
    </row>
    <row r="922" spans="2:2">
      <c r="B922" s="5">
        <v>917</v>
      </c>
    </row>
    <row r="923" spans="2:2">
      <c r="B923" s="5">
        <v>918</v>
      </c>
    </row>
    <row r="924" spans="2:2">
      <c r="B924" s="5">
        <v>919</v>
      </c>
    </row>
    <row r="925" spans="2:2">
      <c r="B925" s="5">
        <v>920</v>
      </c>
    </row>
    <row r="926" spans="2:2">
      <c r="B926" s="5">
        <v>921</v>
      </c>
    </row>
    <row r="927" spans="2:2">
      <c r="B927" s="5">
        <v>922</v>
      </c>
    </row>
    <row r="928" spans="2:2">
      <c r="B928" s="5">
        <v>923</v>
      </c>
    </row>
    <row r="929" spans="2:2">
      <c r="B929" s="5">
        <v>924</v>
      </c>
    </row>
    <row r="930" spans="2:2">
      <c r="B930" s="5">
        <v>925</v>
      </c>
    </row>
    <row r="931" spans="2:2">
      <c r="B931" s="5">
        <v>926</v>
      </c>
    </row>
    <row r="932" spans="2:2">
      <c r="B932" s="5">
        <v>927</v>
      </c>
    </row>
    <row r="933" spans="2:2">
      <c r="B933" s="5">
        <v>928</v>
      </c>
    </row>
    <row r="934" spans="2:2">
      <c r="B934" s="5">
        <v>929</v>
      </c>
    </row>
    <row r="935" spans="2:2">
      <c r="B935" s="5">
        <v>930</v>
      </c>
    </row>
    <row r="936" spans="2:2">
      <c r="B936" s="5">
        <v>931</v>
      </c>
    </row>
    <row r="937" spans="2:2">
      <c r="B937" s="5">
        <v>932</v>
      </c>
    </row>
    <row r="938" spans="2:2">
      <c r="B938" s="5">
        <v>933</v>
      </c>
    </row>
    <row r="939" spans="2:2">
      <c r="B939" s="5">
        <v>934</v>
      </c>
    </row>
    <row r="940" spans="2:2">
      <c r="B940" s="5">
        <v>935</v>
      </c>
    </row>
    <row r="941" spans="2:2">
      <c r="B941" s="5">
        <v>936</v>
      </c>
    </row>
    <row r="942" spans="2:2">
      <c r="B942" s="5">
        <v>937</v>
      </c>
    </row>
    <row r="943" spans="2:2">
      <c r="B943" s="5">
        <v>938</v>
      </c>
    </row>
    <row r="944" spans="2:2">
      <c r="B944" s="5">
        <v>939</v>
      </c>
    </row>
    <row r="945" spans="2:2">
      <c r="B945" s="5">
        <v>940</v>
      </c>
    </row>
    <row r="946" spans="2:2">
      <c r="B946" s="5">
        <v>941</v>
      </c>
    </row>
    <row r="947" spans="2:2">
      <c r="B947" s="5">
        <v>942</v>
      </c>
    </row>
    <row r="948" spans="2:2">
      <c r="B948" s="5">
        <v>943</v>
      </c>
    </row>
    <row r="949" spans="2:2">
      <c r="B949" s="5">
        <v>944</v>
      </c>
    </row>
    <row r="950" spans="2:2">
      <c r="B950" s="5">
        <v>945</v>
      </c>
    </row>
    <row r="951" spans="2:2">
      <c r="B951" s="5">
        <v>946</v>
      </c>
    </row>
    <row r="952" spans="2:2">
      <c r="B952" s="5">
        <v>947</v>
      </c>
    </row>
    <row r="953" spans="2:2">
      <c r="B953" s="5">
        <v>948</v>
      </c>
    </row>
    <row r="954" spans="2:2">
      <c r="B954" s="5">
        <v>949</v>
      </c>
    </row>
    <row r="955" spans="2:2">
      <c r="B955" s="5">
        <v>950</v>
      </c>
    </row>
    <row r="956" spans="2:2">
      <c r="B956" s="5">
        <v>951</v>
      </c>
    </row>
    <row r="957" spans="2:2">
      <c r="B957" s="5">
        <v>952</v>
      </c>
    </row>
    <row r="958" spans="2:2">
      <c r="B958" s="5">
        <v>953</v>
      </c>
    </row>
    <row r="959" spans="2:2">
      <c r="B959" s="5">
        <v>954</v>
      </c>
    </row>
    <row r="960" spans="2:2">
      <c r="B960" s="5">
        <v>955</v>
      </c>
    </row>
    <row r="961" spans="2:2">
      <c r="B961" s="5">
        <v>956</v>
      </c>
    </row>
    <row r="962" spans="2:2">
      <c r="B962" s="5">
        <v>957</v>
      </c>
    </row>
    <row r="963" spans="2:2">
      <c r="B963" s="5">
        <v>958</v>
      </c>
    </row>
    <row r="964" spans="2:2">
      <c r="B964" s="5">
        <v>959</v>
      </c>
    </row>
    <row r="965" spans="2:2">
      <c r="B965" s="5">
        <v>960</v>
      </c>
    </row>
    <row r="966" spans="2:2">
      <c r="B966" s="5">
        <v>961</v>
      </c>
    </row>
    <row r="967" spans="2:2">
      <c r="B967" s="5">
        <v>962</v>
      </c>
    </row>
    <row r="968" spans="2:2">
      <c r="B968" s="5">
        <v>963</v>
      </c>
    </row>
    <row r="969" spans="2:2">
      <c r="B969" s="5">
        <v>964</v>
      </c>
    </row>
    <row r="970" spans="2:2">
      <c r="B970" s="5">
        <v>965</v>
      </c>
    </row>
    <row r="971" spans="2:2">
      <c r="B971" s="5">
        <v>966</v>
      </c>
    </row>
    <row r="972" spans="2:2">
      <c r="B972" s="5">
        <v>967</v>
      </c>
    </row>
    <row r="973" spans="2:2">
      <c r="B973" s="5">
        <v>968</v>
      </c>
    </row>
    <row r="974" spans="2:2">
      <c r="B974" s="5">
        <v>969</v>
      </c>
    </row>
    <row r="975" spans="2:2">
      <c r="B975" s="5">
        <v>970</v>
      </c>
    </row>
    <row r="976" spans="2:2">
      <c r="B976" s="5">
        <v>971</v>
      </c>
    </row>
    <row r="977" spans="2:2">
      <c r="B977" s="5">
        <v>972</v>
      </c>
    </row>
    <row r="978" spans="2:2">
      <c r="B978" s="5">
        <v>973</v>
      </c>
    </row>
    <row r="979" spans="2:2">
      <c r="B979" s="5">
        <v>974</v>
      </c>
    </row>
    <row r="980" spans="2:2">
      <c r="B980" s="5">
        <v>975</v>
      </c>
    </row>
    <row r="981" spans="2:2">
      <c r="B981" s="5">
        <v>976</v>
      </c>
    </row>
    <row r="982" spans="2:2">
      <c r="B982" s="5">
        <v>977</v>
      </c>
    </row>
    <row r="983" spans="2:2">
      <c r="B983" s="5">
        <v>978</v>
      </c>
    </row>
    <row r="984" spans="2:2">
      <c r="B984" s="5">
        <v>979</v>
      </c>
    </row>
    <row r="985" spans="2:2">
      <c r="B985" s="5">
        <v>980</v>
      </c>
    </row>
    <row r="986" spans="2:2">
      <c r="B986" s="5">
        <v>981</v>
      </c>
    </row>
    <row r="987" spans="2:2">
      <c r="B987" s="5">
        <v>982</v>
      </c>
    </row>
    <row r="988" spans="2:2">
      <c r="B988" s="5">
        <v>983</v>
      </c>
    </row>
    <row r="989" spans="2:2">
      <c r="B989" s="5">
        <v>984</v>
      </c>
    </row>
    <row r="990" spans="2:2">
      <c r="B990" s="5">
        <v>985</v>
      </c>
    </row>
    <row r="991" spans="2:2">
      <c r="B991" s="5">
        <v>986</v>
      </c>
    </row>
    <row r="992" spans="2:2">
      <c r="B992" s="5">
        <v>987</v>
      </c>
    </row>
    <row r="993" spans="2:2">
      <c r="B993" s="5">
        <v>988</v>
      </c>
    </row>
    <row r="994" spans="2:2">
      <c r="B994" s="5">
        <v>989</v>
      </c>
    </row>
    <row r="995" spans="2:2">
      <c r="B995" s="5">
        <v>990</v>
      </c>
    </row>
    <row r="996" spans="2:2">
      <c r="B996" s="5">
        <v>991</v>
      </c>
    </row>
    <row r="997" spans="2:2">
      <c r="B997" s="5">
        <v>992</v>
      </c>
    </row>
    <row r="998" spans="2:2">
      <c r="B998" s="5">
        <v>993</v>
      </c>
    </row>
    <row r="999" spans="2:2">
      <c r="B999" s="5">
        <v>994</v>
      </c>
    </row>
    <row r="1000" spans="2:2">
      <c r="B1000" s="5">
        <v>995</v>
      </c>
    </row>
    <row r="1001" spans="2:2">
      <c r="B1001" s="5">
        <v>996</v>
      </c>
    </row>
    <row r="1002" spans="2:2">
      <c r="B1002" s="5">
        <v>997</v>
      </c>
    </row>
    <row r="1003" spans="2:2">
      <c r="B1003" s="5">
        <v>998</v>
      </c>
    </row>
    <row r="1004" spans="2:2">
      <c r="B1004" s="5">
        <v>999</v>
      </c>
    </row>
    <row r="1005" spans="2:2">
      <c r="B1005" s="5">
        <v>1000</v>
      </c>
    </row>
    <row r="1006" spans="2:2">
      <c r="B1006" s="5">
        <v>1001</v>
      </c>
    </row>
    <row r="1007" spans="2:2">
      <c r="B1007" s="5">
        <v>1002</v>
      </c>
    </row>
    <row r="1008" spans="2:2">
      <c r="B1008" s="5">
        <v>1003</v>
      </c>
    </row>
    <row r="1009" spans="2:2">
      <c r="B1009" s="5">
        <v>1004</v>
      </c>
    </row>
    <row r="1010" spans="2:2">
      <c r="B1010" s="5">
        <v>1005</v>
      </c>
    </row>
    <row r="1011" spans="2:2">
      <c r="B1011" s="5">
        <v>1006</v>
      </c>
    </row>
    <row r="1012" spans="2:2">
      <c r="B1012" s="5">
        <v>1007</v>
      </c>
    </row>
    <row r="1013" spans="2:2">
      <c r="B1013" s="5">
        <v>1008</v>
      </c>
    </row>
    <row r="1014" spans="2:2">
      <c r="B1014" s="5">
        <v>1009</v>
      </c>
    </row>
    <row r="1015" spans="2:2">
      <c r="B1015" s="5">
        <v>1010</v>
      </c>
    </row>
    <row r="1016" spans="2:2">
      <c r="B1016" s="5">
        <v>1011</v>
      </c>
    </row>
    <row r="1017" spans="2:2">
      <c r="B1017" s="5">
        <v>1012</v>
      </c>
    </row>
    <row r="1018" spans="2:2">
      <c r="B1018" s="5">
        <v>1013</v>
      </c>
    </row>
    <row r="1019" spans="2:2">
      <c r="B1019" s="5">
        <v>1014</v>
      </c>
    </row>
    <row r="1020" spans="2:2">
      <c r="B1020" s="5">
        <v>1015</v>
      </c>
    </row>
    <row r="1021" spans="2:2">
      <c r="B1021" s="5">
        <v>1016</v>
      </c>
    </row>
    <row r="1022" spans="2:2">
      <c r="B1022" s="5">
        <v>1017</v>
      </c>
    </row>
    <row r="1023" spans="2:2">
      <c r="B1023" s="5">
        <v>1018</v>
      </c>
    </row>
    <row r="1024" spans="2:2">
      <c r="B1024" s="5">
        <v>1019</v>
      </c>
    </row>
    <row r="1025" spans="2:2">
      <c r="B1025" s="5">
        <v>1020</v>
      </c>
    </row>
    <row r="1026" spans="2:2">
      <c r="B1026" s="5">
        <v>1021</v>
      </c>
    </row>
    <row r="1027" spans="2:2">
      <c r="B1027" s="5">
        <v>1022</v>
      </c>
    </row>
    <row r="1028" spans="2:2">
      <c r="B1028" s="5">
        <v>1023</v>
      </c>
    </row>
    <row r="1029" spans="2:2">
      <c r="B1029" s="5">
        <v>1024</v>
      </c>
    </row>
    <row r="1030" spans="2:2">
      <c r="B1030" s="5">
        <v>1025</v>
      </c>
    </row>
    <row r="1031" spans="2:2">
      <c r="B1031" s="5">
        <v>1026</v>
      </c>
    </row>
    <row r="1032" spans="2:2">
      <c r="B1032" s="5">
        <v>1027</v>
      </c>
    </row>
    <row r="1033" spans="2:2">
      <c r="B1033" s="5">
        <v>1028</v>
      </c>
    </row>
    <row r="1034" spans="2:2">
      <c r="B1034" s="5">
        <v>1029</v>
      </c>
    </row>
    <row r="1035" spans="2:2">
      <c r="B1035" s="5">
        <v>1030</v>
      </c>
    </row>
    <row r="1036" spans="2:2">
      <c r="B1036" s="5">
        <v>1031</v>
      </c>
    </row>
    <row r="1037" spans="2:2">
      <c r="B1037" s="5">
        <v>1032</v>
      </c>
    </row>
    <row r="1038" spans="2:2">
      <c r="B1038" s="5">
        <v>1033</v>
      </c>
    </row>
    <row r="1039" spans="2:2">
      <c r="B1039" s="5">
        <v>1034</v>
      </c>
    </row>
    <row r="1040" spans="2:2">
      <c r="B1040" s="5">
        <v>1035</v>
      </c>
    </row>
    <row r="1041" spans="2:2">
      <c r="B1041" s="5">
        <v>1036</v>
      </c>
    </row>
    <row r="1042" spans="2:2">
      <c r="B1042" s="5">
        <v>1037</v>
      </c>
    </row>
    <row r="1043" spans="2:2">
      <c r="B1043" s="5">
        <v>1038</v>
      </c>
    </row>
    <row r="1044" spans="2:2">
      <c r="B1044" s="5">
        <v>1039</v>
      </c>
    </row>
    <row r="1045" spans="2:2">
      <c r="B1045" s="5">
        <v>1040</v>
      </c>
    </row>
    <row r="1046" spans="2:2">
      <c r="B1046" s="5">
        <v>1041</v>
      </c>
    </row>
    <row r="1047" spans="2:2">
      <c r="B1047" s="5">
        <v>1042</v>
      </c>
    </row>
    <row r="1048" spans="2:2">
      <c r="B1048" s="5">
        <v>1043</v>
      </c>
    </row>
    <row r="1049" spans="2:2">
      <c r="B1049" s="5">
        <v>1044</v>
      </c>
    </row>
    <row r="1050" spans="2:2">
      <c r="B1050" s="5">
        <v>1045</v>
      </c>
    </row>
    <row r="1051" spans="2:2">
      <c r="B1051" s="5">
        <v>1046</v>
      </c>
    </row>
    <row r="1052" spans="2:2">
      <c r="B1052" s="5">
        <v>1047</v>
      </c>
    </row>
    <row r="1053" spans="2:2">
      <c r="B1053" s="5">
        <v>1048</v>
      </c>
    </row>
    <row r="1054" spans="2:2">
      <c r="B1054" s="5">
        <v>1049</v>
      </c>
    </row>
    <row r="1055" spans="2:2">
      <c r="B1055" s="5">
        <v>1050</v>
      </c>
    </row>
    <row r="1056" spans="2:2">
      <c r="B1056" s="5">
        <v>1051</v>
      </c>
    </row>
    <row r="1057" spans="2:2">
      <c r="B1057" s="5">
        <v>1052</v>
      </c>
    </row>
    <row r="1058" spans="2:2">
      <c r="B1058" s="5">
        <v>1053</v>
      </c>
    </row>
    <row r="1059" spans="2:2">
      <c r="B1059" s="5">
        <v>1054</v>
      </c>
    </row>
    <row r="1060" spans="2:2">
      <c r="B1060" s="5">
        <v>1055</v>
      </c>
    </row>
    <row r="1061" spans="2:2">
      <c r="B1061" s="5">
        <v>1056</v>
      </c>
    </row>
    <row r="1062" spans="2:2">
      <c r="B1062" s="5">
        <v>1057</v>
      </c>
    </row>
    <row r="1063" spans="2:2">
      <c r="B1063" s="5">
        <v>1058</v>
      </c>
    </row>
    <row r="1064" spans="2:2">
      <c r="B1064" s="5">
        <v>1059</v>
      </c>
    </row>
    <row r="1065" spans="2:2">
      <c r="B1065" s="5">
        <v>1060</v>
      </c>
    </row>
    <row r="1066" spans="2:2">
      <c r="B1066" s="5">
        <v>1061</v>
      </c>
    </row>
    <row r="1067" spans="2:2">
      <c r="B1067" s="5">
        <v>1062</v>
      </c>
    </row>
    <row r="1068" spans="2:2">
      <c r="B1068" s="5">
        <v>1063</v>
      </c>
    </row>
    <row r="1069" spans="2:2">
      <c r="B1069" s="5">
        <v>1064</v>
      </c>
    </row>
    <row r="1070" spans="2:2">
      <c r="B1070" s="5">
        <v>1065</v>
      </c>
    </row>
    <row r="1071" spans="2:2">
      <c r="B1071" s="5">
        <v>1066</v>
      </c>
    </row>
    <row r="1072" spans="2:2">
      <c r="B1072" s="5">
        <v>1067</v>
      </c>
    </row>
    <row r="1073" spans="2:2">
      <c r="B1073" s="5">
        <v>1068</v>
      </c>
    </row>
    <row r="1074" spans="2:2">
      <c r="B1074" s="5">
        <v>1069</v>
      </c>
    </row>
    <row r="1075" spans="2:2">
      <c r="B1075" s="5">
        <v>1070</v>
      </c>
    </row>
    <row r="1076" spans="2:2">
      <c r="B1076" s="5">
        <v>1071</v>
      </c>
    </row>
    <row r="1077" spans="2:2">
      <c r="B1077" s="5">
        <v>1072</v>
      </c>
    </row>
    <row r="1078" spans="2:2">
      <c r="B1078" s="5">
        <v>1073</v>
      </c>
    </row>
    <row r="1079" spans="2:2">
      <c r="B1079" s="5">
        <v>1074</v>
      </c>
    </row>
    <row r="1080" spans="2:2">
      <c r="B1080" s="5">
        <v>1075</v>
      </c>
    </row>
    <row r="1081" spans="2:2">
      <c r="B1081" s="5">
        <v>1076</v>
      </c>
    </row>
    <row r="1082" spans="2:2">
      <c r="B1082" s="5">
        <v>1077</v>
      </c>
    </row>
    <row r="1083" spans="2:2">
      <c r="B1083" s="5">
        <v>1078</v>
      </c>
    </row>
    <row r="1084" spans="2:2">
      <c r="B1084" s="5">
        <v>1079</v>
      </c>
    </row>
    <row r="1085" spans="2:2">
      <c r="B1085" s="5">
        <v>1080</v>
      </c>
    </row>
    <row r="1086" spans="2:2">
      <c r="B1086" s="5">
        <v>1081</v>
      </c>
    </row>
    <row r="1087" spans="2:2">
      <c r="B1087" s="5">
        <v>1082</v>
      </c>
    </row>
    <row r="1088" spans="2:2">
      <c r="B1088" s="5">
        <v>1083</v>
      </c>
    </row>
    <row r="1089" spans="2:2">
      <c r="B1089" s="5">
        <v>1084</v>
      </c>
    </row>
    <row r="1090" spans="2:2">
      <c r="B1090" s="5">
        <v>1085</v>
      </c>
    </row>
    <row r="1091" spans="2:2">
      <c r="B1091" s="5">
        <v>1086</v>
      </c>
    </row>
    <row r="1092" spans="2:2">
      <c r="B1092" s="5">
        <v>1087</v>
      </c>
    </row>
    <row r="1093" spans="2:2">
      <c r="B1093" s="5">
        <v>1088</v>
      </c>
    </row>
    <row r="1094" spans="2:2">
      <c r="B1094" s="5">
        <v>1089</v>
      </c>
    </row>
    <row r="1095" spans="2:2">
      <c r="B1095" s="5">
        <v>1090</v>
      </c>
    </row>
    <row r="1096" spans="2:2">
      <c r="B1096" s="5">
        <v>1091</v>
      </c>
    </row>
    <row r="1097" spans="2:2">
      <c r="B1097" s="5">
        <v>1092</v>
      </c>
    </row>
    <row r="1098" spans="2:2">
      <c r="B1098" s="5">
        <v>1093</v>
      </c>
    </row>
    <row r="1099" spans="2:2">
      <c r="B1099" s="5">
        <v>1094</v>
      </c>
    </row>
    <row r="1100" spans="2:2">
      <c r="B1100" s="5">
        <v>1095</v>
      </c>
    </row>
    <row r="1101" spans="2:2">
      <c r="B1101" s="5">
        <v>1096</v>
      </c>
    </row>
    <row r="1102" spans="2:2">
      <c r="B1102" s="5">
        <v>1097</v>
      </c>
    </row>
    <row r="1103" spans="2:2">
      <c r="B1103" s="5">
        <v>1098</v>
      </c>
    </row>
    <row r="1104" spans="2:2">
      <c r="B1104" s="5">
        <v>1099</v>
      </c>
    </row>
    <row r="1105" spans="2:2">
      <c r="B1105" s="5">
        <v>1100</v>
      </c>
    </row>
    <row r="1106" spans="2:2">
      <c r="B1106" s="5">
        <v>1101</v>
      </c>
    </row>
    <row r="1107" spans="2:2">
      <c r="B1107" s="5">
        <v>1102</v>
      </c>
    </row>
    <row r="1108" spans="2:2">
      <c r="B1108" s="5">
        <v>1103</v>
      </c>
    </row>
    <row r="1109" spans="2:2">
      <c r="B1109" s="5">
        <v>1104</v>
      </c>
    </row>
    <row r="1110" spans="2:2">
      <c r="B1110" s="5">
        <v>1105</v>
      </c>
    </row>
    <row r="1111" spans="2:2">
      <c r="B1111" s="5">
        <v>1106</v>
      </c>
    </row>
    <row r="1112" spans="2:2">
      <c r="B1112" s="5">
        <v>1107</v>
      </c>
    </row>
    <row r="1113" spans="2:2">
      <c r="B1113" s="5">
        <v>1108</v>
      </c>
    </row>
    <row r="1114" spans="2:2">
      <c r="B1114" s="5">
        <v>1109</v>
      </c>
    </row>
    <row r="1115" spans="2:2">
      <c r="B1115" s="5">
        <v>1110</v>
      </c>
    </row>
    <row r="1116" spans="2:2">
      <c r="B1116" s="5">
        <v>1111</v>
      </c>
    </row>
    <row r="1117" spans="2:2">
      <c r="B1117" s="5">
        <v>1112</v>
      </c>
    </row>
    <row r="1118" spans="2:2">
      <c r="B1118" s="5">
        <v>1113</v>
      </c>
    </row>
    <row r="1119" spans="2:2">
      <c r="B1119" s="5">
        <v>1114</v>
      </c>
    </row>
    <row r="1120" spans="2:2">
      <c r="B1120" s="5">
        <v>1115</v>
      </c>
    </row>
    <row r="1121" spans="2:2">
      <c r="B1121" s="5">
        <v>1116</v>
      </c>
    </row>
    <row r="1122" spans="2:2">
      <c r="B1122" s="5">
        <v>1117</v>
      </c>
    </row>
    <row r="1123" spans="2:2">
      <c r="B1123" s="5">
        <v>1118</v>
      </c>
    </row>
    <row r="1124" spans="2:2">
      <c r="B1124" s="5">
        <v>1119</v>
      </c>
    </row>
    <row r="1125" spans="2:2">
      <c r="B1125" s="5">
        <v>1120</v>
      </c>
    </row>
    <row r="1126" spans="2:2">
      <c r="B1126" s="5">
        <v>1121</v>
      </c>
    </row>
    <row r="1127" spans="2:2">
      <c r="B1127" s="5">
        <v>1122</v>
      </c>
    </row>
    <row r="1128" spans="2:2">
      <c r="B1128" s="5">
        <v>1123</v>
      </c>
    </row>
    <row r="1129" spans="2:2">
      <c r="B1129" s="5">
        <v>1124</v>
      </c>
    </row>
    <row r="1130" spans="2:2">
      <c r="B1130" s="5">
        <v>1125</v>
      </c>
    </row>
    <row r="1131" spans="2:2">
      <c r="B1131" s="5">
        <v>1126</v>
      </c>
    </row>
    <row r="1132" spans="2:2">
      <c r="B1132" s="5">
        <v>1127</v>
      </c>
    </row>
    <row r="1133" spans="2:2">
      <c r="B1133" s="5">
        <v>1128</v>
      </c>
    </row>
    <row r="1134" spans="2:2">
      <c r="B1134" s="5">
        <v>1129</v>
      </c>
    </row>
    <row r="1135" spans="2:2">
      <c r="B1135" s="5">
        <v>1130</v>
      </c>
    </row>
    <row r="1136" spans="2:2">
      <c r="B1136" s="5">
        <v>1131</v>
      </c>
    </row>
    <row r="1137" spans="2:2">
      <c r="B1137" s="5">
        <v>1132</v>
      </c>
    </row>
    <row r="1138" spans="2:2">
      <c r="B1138" s="5">
        <v>1133</v>
      </c>
    </row>
    <row r="1139" spans="2:2">
      <c r="B1139" s="5">
        <v>1134</v>
      </c>
    </row>
    <row r="1140" spans="2:2">
      <c r="B1140" s="5">
        <v>1135</v>
      </c>
    </row>
    <row r="1141" spans="2:2">
      <c r="B1141" s="5">
        <v>1136</v>
      </c>
    </row>
    <row r="1142" spans="2:2">
      <c r="B1142" s="5">
        <v>1137</v>
      </c>
    </row>
    <row r="1143" spans="2:2">
      <c r="B1143" s="5">
        <v>1138</v>
      </c>
    </row>
    <row r="1144" spans="2:2">
      <c r="B1144" s="5">
        <v>1139</v>
      </c>
    </row>
    <row r="1145" spans="2:2">
      <c r="B1145" s="5">
        <v>1140</v>
      </c>
    </row>
    <row r="1146" spans="2:2">
      <c r="B1146" s="5">
        <v>1141</v>
      </c>
    </row>
    <row r="1147" spans="2:2">
      <c r="B1147" s="5">
        <v>1142</v>
      </c>
    </row>
    <row r="1148" spans="2:2">
      <c r="B1148" s="5">
        <v>1143</v>
      </c>
    </row>
    <row r="1149" spans="2:2">
      <c r="B1149" s="5">
        <v>1144</v>
      </c>
    </row>
    <row r="1150" spans="2:2">
      <c r="B1150" s="5">
        <v>1145</v>
      </c>
    </row>
    <row r="1151" spans="2:2">
      <c r="B1151" s="5">
        <v>1146</v>
      </c>
    </row>
    <row r="1152" spans="2:2">
      <c r="B1152" s="5">
        <v>1147</v>
      </c>
    </row>
    <row r="1153" spans="2:2">
      <c r="B1153" s="5">
        <v>1148</v>
      </c>
    </row>
    <row r="1154" spans="2:2">
      <c r="B1154" s="5">
        <v>1149</v>
      </c>
    </row>
    <row r="1155" spans="2:2">
      <c r="B1155" s="5">
        <v>1150</v>
      </c>
    </row>
    <row r="1156" spans="2:2">
      <c r="B1156" s="5">
        <v>1151</v>
      </c>
    </row>
    <row r="1157" spans="2:2">
      <c r="B1157" s="5">
        <v>1152</v>
      </c>
    </row>
    <row r="1158" spans="2:2">
      <c r="B1158" s="5">
        <v>1153</v>
      </c>
    </row>
    <row r="1159" spans="2:2">
      <c r="B1159" s="5">
        <v>1154</v>
      </c>
    </row>
    <row r="1160" spans="2:2">
      <c r="B1160" s="5">
        <v>1155</v>
      </c>
    </row>
    <row r="1161" spans="2:2">
      <c r="B1161" s="5">
        <v>1156</v>
      </c>
    </row>
    <row r="1162" spans="2:2">
      <c r="B1162" s="5">
        <v>1157</v>
      </c>
    </row>
    <row r="1163" spans="2:2">
      <c r="B1163" s="5">
        <v>1158</v>
      </c>
    </row>
    <row r="1164" spans="2:2">
      <c r="B1164" s="5">
        <v>1159</v>
      </c>
    </row>
    <row r="1165" spans="2:2">
      <c r="B1165" s="5">
        <v>1160</v>
      </c>
    </row>
    <row r="1166" spans="2:2">
      <c r="B1166" s="5">
        <v>1161</v>
      </c>
    </row>
    <row r="1167" spans="2:2">
      <c r="B1167" s="5">
        <v>1162</v>
      </c>
    </row>
    <row r="1168" spans="2:2">
      <c r="B1168" s="5">
        <v>1163</v>
      </c>
    </row>
    <row r="1169" spans="2:2">
      <c r="B1169" s="5">
        <v>1164</v>
      </c>
    </row>
    <row r="1170" spans="2:2">
      <c r="B1170" s="5">
        <v>1165</v>
      </c>
    </row>
    <row r="1171" spans="2:2">
      <c r="B1171" s="5">
        <v>1166</v>
      </c>
    </row>
    <row r="1172" spans="2:2">
      <c r="B1172" s="5">
        <v>1167</v>
      </c>
    </row>
    <row r="1173" spans="2:2">
      <c r="B1173" s="5">
        <v>1168</v>
      </c>
    </row>
    <row r="1174" spans="2:2">
      <c r="B1174" s="5">
        <v>1169</v>
      </c>
    </row>
    <row r="1175" spans="2:2">
      <c r="B1175" s="5">
        <v>1170</v>
      </c>
    </row>
    <row r="1176" spans="2:2">
      <c r="B1176" s="5">
        <v>1171</v>
      </c>
    </row>
    <row r="1177" spans="2:2">
      <c r="B1177" s="5">
        <v>1172</v>
      </c>
    </row>
    <row r="1178" spans="2:2">
      <c r="B1178" s="5">
        <v>1173</v>
      </c>
    </row>
    <row r="1179" spans="2:2">
      <c r="B1179" s="5">
        <v>1174</v>
      </c>
    </row>
    <row r="1180" spans="2:2">
      <c r="B1180" s="5">
        <v>1175</v>
      </c>
    </row>
    <row r="1181" spans="2:2">
      <c r="B1181" s="5">
        <v>1176</v>
      </c>
    </row>
    <row r="1182" spans="2:2">
      <c r="B1182" s="5">
        <v>1177</v>
      </c>
    </row>
    <row r="1183" spans="2:2">
      <c r="B1183" s="5">
        <v>1178</v>
      </c>
    </row>
    <row r="1184" spans="2:2">
      <c r="B1184" s="5">
        <v>1179</v>
      </c>
    </row>
    <row r="1185" spans="2:2">
      <c r="B1185" s="5">
        <v>1180</v>
      </c>
    </row>
    <row r="1186" spans="2:2">
      <c r="B1186" s="5">
        <v>1181</v>
      </c>
    </row>
    <row r="1187" spans="2:2">
      <c r="B1187" s="5">
        <v>1182</v>
      </c>
    </row>
    <row r="1188" spans="2:2">
      <c r="B1188" s="5">
        <v>1183</v>
      </c>
    </row>
    <row r="1189" spans="2:2">
      <c r="B1189" s="5">
        <v>1184</v>
      </c>
    </row>
    <row r="1190" spans="2:2">
      <c r="B1190" s="5">
        <v>1185</v>
      </c>
    </row>
    <row r="1191" spans="2:2">
      <c r="B1191" s="5">
        <v>1186</v>
      </c>
    </row>
    <row r="1192" spans="2:2">
      <c r="B1192" s="5">
        <v>1187</v>
      </c>
    </row>
    <row r="1193" spans="2:2">
      <c r="B1193" s="5">
        <v>1188</v>
      </c>
    </row>
    <row r="1194" spans="2:2">
      <c r="B1194" s="5">
        <v>1189</v>
      </c>
    </row>
    <row r="1195" spans="2:2">
      <c r="B1195" s="5">
        <v>1190</v>
      </c>
    </row>
    <row r="1196" spans="2:2">
      <c r="B1196" s="5">
        <v>1191</v>
      </c>
    </row>
    <row r="1197" spans="2:2">
      <c r="B1197" s="5">
        <v>1192</v>
      </c>
    </row>
    <row r="1198" spans="2:2">
      <c r="B1198" s="5">
        <v>1193</v>
      </c>
    </row>
    <row r="1199" spans="2:2">
      <c r="B1199" s="5">
        <v>1194</v>
      </c>
    </row>
    <row r="1200" spans="2:2">
      <c r="B1200" s="5">
        <v>1195</v>
      </c>
    </row>
    <row r="1201" spans="2:2">
      <c r="B1201" s="5">
        <v>1196</v>
      </c>
    </row>
    <row r="1202" spans="2:2">
      <c r="B1202" s="5">
        <v>1197</v>
      </c>
    </row>
    <row r="1203" spans="2:2">
      <c r="B1203" s="5">
        <v>1198</v>
      </c>
    </row>
    <row r="1204" spans="2:2">
      <c r="B1204" s="5">
        <v>1199</v>
      </c>
    </row>
    <row r="1205" spans="2:2">
      <c r="B1205" s="5">
        <v>1200</v>
      </c>
    </row>
    <row r="1206" spans="2:2">
      <c r="B1206" s="5">
        <v>1201</v>
      </c>
    </row>
    <row r="1207" spans="2:2">
      <c r="B1207" s="5">
        <v>1202</v>
      </c>
    </row>
    <row r="1208" spans="2:2">
      <c r="B1208" s="5">
        <v>1203</v>
      </c>
    </row>
    <row r="1209" spans="2:2">
      <c r="B1209" s="5">
        <v>1204</v>
      </c>
    </row>
    <row r="1210" spans="2:2">
      <c r="B1210" s="5">
        <v>1205</v>
      </c>
    </row>
    <row r="1211" spans="2:2">
      <c r="B1211" s="5">
        <v>1206</v>
      </c>
    </row>
    <row r="1212" spans="2:2">
      <c r="B1212" s="5">
        <v>1207</v>
      </c>
    </row>
    <row r="1213" spans="2:2">
      <c r="B1213" s="5">
        <v>1208</v>
      </c>
    </row>
    <row r="1214" spans="2:2">
      <c r="B1214" s="5">
        <v>1209</v>
      </c>
    </row>
    <row r="1215" spans="2:2">
      <c r="B1215" s="5">
        <v>1210</v>
      </c>
    </row>
    <row r="1216" spans="2:2">
      <c r="B1216" s="5">
        <v>1211</v>
      </c>
    </row>
    <row r="1217" spans="2:2">
      <c r="B1217" s="5">
        <v>1212</v>
      </c>
    </row>
    <row r="1218" spans="2:2">
      <c r="B1218" s="5">
        <v>1213</v>
      </c>
    </row>
    <row r="1219" spans="2:2">
      <c r="B1219" s="5">
        <v>1214</v>
      </c>
    </row>
    <row r="1220" spans="2:2">
      <c r="B1220" s="5">
        <v>1215</v>
      </c>
    </row>
    <row r="1221" spans="2:2">
      <c r="B1221" s="5">
        <v>1216</v>
      </c>
    </row>
    <row r="1222" spans="2:2">
      <c r="B1222" s="5">
        <v>1217</v>
      </c>
    </row>
    <row r="1223" spans="2:2">
      <c r="B1223" s="5">
        <v>1218</v>
      </c>
    </row>
    <row r="1224" spans="2:2">
      <c r="B1224" s="5">
        <v>1219</v>
      </c>
    </row>
    <row r="1225" spans="2:2">
      <c r="B1225" s="5">
        <v>1220</v>
      </c>
    </row>
    <row r="1226" spans="2:2">
      <c r="B1226" s="5">
        <v>1221</v>
      </c>
    </row>
    <row r="1227" spans="2:2">
      <c r="B1227" s="5">
        <v>1222</v>
      </c>
    </row>
    <row r="1228" spans="2:2">
      <c r="B1228" s="5">
        <v>1223</v>
      </c>
    </row>
    <row r="1229" spans="2:2">
      <c r="B1229" s="5">
        <v>1224</v>
      </c>
    </row>
    <row r="1230" spans="2:2">
      <c r="B1230" s="5">
        <v>1225</v>
      </c>
    </row>
    <row r="1231" spans="2:2">
      <c r="B1231" s="5">
        <v>1226</v>
      </c>
    </row>
    <row r="1232" spans="2:2">
      <c r="B1232" s="5">
        <v>1227</v>
      </c>
    </row>
    <row r="1233" spans="2:2">
      <c r="B1233" s="5">
        <v>1228</v>
      </c>
    </row>
    <row r="1234" spans="2:2">
      <c r="B1234" s="5">
        <v>1229</v>
      </c>
    </row>
    <row r="1235" spans="2:2">
      <c r="B1235" s="5">
        <v>1230</v>
      </c>
    </row>
    <row r="1236" spans="2:2">
      <c r="B1236" s="5">
        <v>1231</v>
      </c>
    </row>
    <row r="1237" spans="2:2">
      <c r="B1237" s="5">
        <v>1232</v>
      </c>
    </row>
    <row r="1238" spans="2:2">
      <c r="B1238" s="5">
        <v>1233</v>
      </c>
    </row>
    <row r="1239" spans="2:2">
      <c r="B1239" s="5">
        <v>1234</v>
      </c>
    </row>
    <row r="1240" spans="2:2">
      <c r="B1240" s="5">
        <v>1235</v>
      </c>
    </row>
    <row r="1241" spans="2:2">
      <c r="B1241" s="5">
        <v>1236</v>
      </c>
    </row>
    <row r="1242" spans="2:2">
      <c r="B1242" s="5">
        <v>1237</v>
      </c>
    </row>
    <row r="1243" spans="2:2">
      <c r="B1243" s="5">
        <v>1238</v>
      </c>
    </row>
    <row r="1244" spans="2:2">
      <c r="B1244" s="5">
        <v>1239</v>
      </c>
    </row>
    <row r="1245" spans="2:2">
      <c r="B1245" s="5">
        <v>1240</v>
      </c>
    </row>
    <row r="1246" spans="2:2">
      <c r="B1246" s="5">
        <v>1241</v>
      </c>
    </row>
    <row r="1247" spans="2:2">
      <c r="B1247" s="5">
        <v>1242</v>
      </c>
    </row>
    <row r="1248" spans="2:2">
      <c r="B1248" s="5">
        <v>1243</v>
      </c>
    </row>
    <row r="1249" spans="2:2">
      <c r="B1249" s="5">
        <v>1244</v>
      </c>
    </row>
    <row r="1250" spans="2:2">
      <c r="B1250" s="5">
        <v>1245</v>
      </c>
    </row>
    <row r="1251" spans="2:2">
      <c r="B1251" s="5">
        <v>1246</v>
      </c>
    </row>
    <row r="1252" spans="2:2">
      <c r="B1252" s="5">
        <v>1247</v>
      </c>
    </row>
    <row r="1253" spans="2:2">
      <c r="B1253" s="5">
        <v>1248</v>
      </c>
    </row>
    <row r="1254" spans="2:2">
      <c r="B1254" s="5">
        <v>1249</v>
      </c>
    </row>
    <row r="1255" spans="2:2">
      <c r="B1255" s="5">
        <v>1250</v>
      </c>
    </row>
    <row r="1256" spans="2:2">
      <c r="B1256" s="5">
        <v>1251</v>
      </c>
    </row>
    <row r="1257" spans="2:2">
      <c r="B1257" s="5">
        <v>1252</v>
      </c>
    </row>
    <row r="1258" spans="2:2">
      <c r="B1258" s="5">
        <v>1253</v>
      </c>
    </row>
    <row r="1259" spans="2:2">
      <c r="B1259" s="5">
        <v>1254</v>
      </c>
    </row>
    <row r="1260" spans="2:2">
      <c r="B1260" s="5">
        <v>1255</v>
      </c>
    </row>
    <row r="1261" spans="2:2">
      <c r="B1261" s="5">
        <v>1256</v>
      </c>
    </row>
    <row r="1262" spans="2:2">
      <c r="B1262" s="5">
        <v>1257</v>
      </c>
    </row>
    <row r="1263" spans="2:2">
      <c r="B1263" s="5">
        <v>1258</v>
      </c>
    </row>
    <row r="1264" spans="2:2">
      <c r="B1264" s="5">
        <v>1259</v>
      </c>
    </row>
    <row r="1265" spans="2:2">
      <c r="B1265" s="5">
        <v>1260</v>
      </c>
    </row>
    <row r="1266" spans="2:2">
      <c r="B1266" s="5">
        <v>1261</v>
      </c>
    </row>
    <row r="1267" spans="2:2">
      <c r="B1267" s="5">
        <v>1262</v>
      </c>
    </row>
    <row r="1268" spans="2:2">
      <c r="B1268" s="5">
        <v>1263</v>
      </c>
    </row>
    <row r="1269" spans="2:2">
      <c r="B1269" s="5">
        <v>1264</v>
      </c>
    </row>
    <row r="1270" spans="2:2">
      <c r="B1270" s="5">
        <v>1265</v>
      </c>
    </row>
    <row r="1271" spans="2:2">
      <c r="B1271" s="5">
        <v>1266</v>
      </c>
    </row>
    <row r="1272" spans="2:2">
      <c r="B1272" s="5">
        <v>1267</v>
      </c>
    </row>
    <row r="1273" spans="2:2">
      <c r="B1273" s="5">
        <v>1268</v>
      </c>
    </row>
    <row r="1274" spans="2:2">
      <c r="B1274" s="5">
        <v>1269</v>
      </c>
    </row>
    <row r="1275" spans="2:2">
      <c r="B1275" s="5">
        <v>1270</v>
      </c>
    </row>
    <row r="1276" spans="2:2">
      <c r="B1276" s="5">
        <v>1271</v>
      </c>
    </row>
    <row r="1277" spans="2:2">
      <c r="B1277" s="5">
        <v>1272</v>
      </c>
    </row>
    <row r="1278" spans="2:2">
      <c r="B1278" s="5">
        <v>1273</v>
      </c>
    </row>
    <row r="1279" spans="2:2">
      <c r="B1279" s="5">
        <v>1274</v>
      </c>
    </row>
    <row r="1280" spans="2:2">
      <c r="B1280" s="5">
        <v>1275</v>
      </c>
    </row>
    <row r="1281" spans="2:2">
      <c r="B1281" s="5">
        <v>1276</v>
      </c>
    </row>
    <row r="1282" spans="2:2">
      <c r="B1282" s="5">
        <v>1277</v>
      </c>
    </row>
    <row r="1283" spans="2:2">
      <c r="B1283" s="5">
        <v>1278</v>
      </c>
    </row>
    <row r="1284" spans="2:2">
      <c r="B1284" s="5">
        <v>1279</v>
      </c>
    </row>
    <row r="1285" spans="2:2">
      <c r="B1285" s="5">
        <v>1280</v>
      </c>
    </row>
    <row r="1286" spans="2:2">
      <c r="B1286" s="5">
        <v>1281</v>
      </c>
    </row>
    <row r="1287" spans="2:2">
      <c r="B1287" s="5">
        <v>1282</v>
      </c>
    </row>
    <row r="1288" spans="2:2">
      <c r="B1288" s="5">
        <v>1283</v>
      </c>
    </row>
    <row r="1289" spans="2:2">
      <c r="B1289" s="5">
        <v>1284</v>
      </c>
    </row>
    <row r="1290" spans="2:2">
      <c r="B1290" s="5">
        <v>1285</v>
      </c>
    </row>
    <row r="1291" spans="2:2">
      <c r="B1291" s="5">
        <v>1286</v>
      </c>
    </row>
    <row r="1292" spans="2:2">
      <c r="B1292" s="5">
        <v>1287</v>
      </c>
    </row>
    <row r="1293" spans="2:2">
      <c r="B1293" s="5">
        <v>1288</v>
      </c>
    </row>
    <row r="1294" spans="2:2">
      <c r="B1294" s="5">
        <v>1289</v>
      </c>
    </row>
    <row r="1295" spans="2:2">
      <c r="B1295" s="5">
        <v>1290</v>
      </c>
    </row>
    <row r="1296" spans="2:2">
      <c r="B1296" s="5">
        <v>1291</v>
      </c>
    </row>
    <row r="1297" spans="2:2">
      <c r="B1297" s="5">
        <v>1292</v>
      </c>
    </row>
    <row r="1298" spans="2:2">
      <c r="B1298" s="5">
        <v>1293</v>
      </c>
    </row>
    <row r="1299" spans="2:2">
      <c r="B1299" s="5">
        <v>1294</v>
      </c>
    </row>
    <row r="1300" spans="2:2">
      <c r="B1300" s="5">
        <v>1295</v>
      </c>
    </row>
    <row r="1301" spans="2:2">
      <c r="B1301" s="5">
        <v>1296</v>
      </c>
    </row>
    <row r="1302" spans="2:2">
      <c r="B1302" s="5">
        <v>1297</v>
      </c>
    </row>
    <row r="1303" spans="2:2">
      <c r="B1303" s="5">
        <v>1298</v>
      </c>
    </row>
    <row r="1304" spans="2:2">
      <c r="B1304" s="5">
        <v>1299</v>
      </c>
    </row>
    <row r="1305" spans="2:2">
      <c r="B1305" s="5">
        <v>1300</v>
      </c>
    </row>
    <row r="1306" spans="2:2">
      <c r="B1306" s="5">
        <v>1301</v>
      </c>
    </row>
    <row r="1307" spans="2:2">
      <c r="B1307" s="5">
        <v>1302</v>
      </c>
    </row>
    <row r="1308" spans="2:2">
      <c r="B1308" s="5">
        <v>1303</v>
      </c>
    </row>
    <row r="1309" spans="2:2">
      <c r="B1309" s="5">
        <v>1304</v>
      </c>
    </row>
    <row r="1310" spans="2:2">
      <c r="B1310" s="5">
        <v>1305</v>
      </c>
    </row>
    <row r="1311" spans="2:2">
      <c r="B1311" s="5">
        <v>1306</v>
      </c>
    </row>
    <row r="1312" spans="2:2">
      <c r="B1312" s="5">
        <v>1307</v>
      </c>
    </row>
    <row r="1313" spans="2:2">
      <c r="B1313" s="5">
        <v>1308</v>
      </c>
    </row>
    <row r="1314" spans="2:2">
      <c r="B1314" s="5">
        <v>1309</v>
      </c>
    </row>
    <row r="1315" spans="2:2">
      <c r="B1315" s="5">
        <v>1310</v>
      </c>
    </row>
    <row r="1316" spans="2:2">
      <c r="B1316" s="5">
        <v>1311</v>
      </c>
    </row>
    <row r="1317" spans="2:2">
      <c r="B1317" s="5">
        <v>1312</v>
      </c>
    </row>
    <row r="1318" spans="2:2">
      <c r="B1318" s="5">
        <v>1313</v>
      </c>
    </row>
    <row r="1319" spans="2:2">
      <c r="B1319" s="5">
        <v>1314</v>
      </c>
    </row>
    <row r="1320" spans="2:2">
      <c r="B1320" s="5">
        <v>1315</v>
      </c>
    </row>
    <row r="1321" spans="2:2">
      <c r="B1321" s="5">
        <v>1316</v>
      </c>
    </row>
    <row r="1322" spans="2:2">
      <c r="B1322" s="5">
        <v>1317</v>
      </c>
    </row>
    <row r="1323" spans="2:2">
      <c r="B1323" s="5">
        <v>1318</v>
      </c>
    </row>
    <row r="1324" spans="2:2">
      <c r="B1324" s="5">
        <v>1319</v>
      </c>
    </row>
    <row r="1325" spans="2:2">
      <c r="B1325" s="5">
        <v>1320</v>
      </c>
    </row>
    <row r="1326" spans="2:2">
      <c r="B1326" s="5">
        <v>1321</v>
      </c>
    </row>
    <row r="1327" spans="2:2">
      <c r="B1327" s="5">
        <v>1322</v>
      </c>
    </row>
    <row r="1328" spans="2:2">
      <c r="B1328" s="5">
        <v>1323</v>
      </c>
    </row>
    <row r="1329" spans="2:2">
      <c r="B1329" s="5">
        <v>1324</v>
      </c>
    </row>
    <row r="1330" spans="2:2">
      <c r="B1330" s="5">
        <v>1325</v>
      </c>
    </row>
    <row r="1331" spans="2:2">
      <c r="B1331" s="5">
        <v>1326</v>
      </c>
    </row>
    <row r="1332" spans="2:2">
      <c r="B1332" s="5">
        <v>1327</v>
      </c>
    </row>
    <row r="1333" spans="2:2">
      <c r="B1333" s="5">
        <v>1328</v>
      </c>
    </row>
    <row r="1334" spans="2:2">
      <c r="B1334" s="5">
        <v>1329</v>
      </c>
    </row>
    <row r="1335" spans="2:2">
      <c r="B1335" s="5">
        <v>1330</v>
      </c>
    </row>
    <row r="1336" spans="2:2">
      <c r="B1336" s="5">
        <v>1331</v>
      </c>
    </row>
    <row r="1337" spans="2:2">
      <c r="B1337" s="5">
        <v>1332</v>
      </c>
    </row>
    <row r="1338" spans="2:2">
      <c r="B1338" s="5">
        <v>1333</v>
      </c>
    </row>
    <row r="1339" spans="2:2">
      <c r="B1339" s="5">
        <v>1334</v>
      </c>
    </row>
    <row r="1340" spans="2:2">
      <c r="B1340" s="5">
        <v>1335</v>
      </c>
    </row>
    <row r="1341" spans="2:2">
      <c r="B1341" s="5">
        <v>1336</v>
      </c>
    </row>
    <row r="1342" spans="2:2">
      <c r="B1342" s="5">
        <v>1337</v>
      </c>
    </row>
    <row r="1343" spans="2:2">
      <c r="B1343" s="5">
        <v>1338</v>
      </c>
    </row>
    <row r="1344" spans="2:2">
      <c r="B1344" s="5">
        <v>1339</v>
      </c>
    </row>
    <row r="1345" spans="2:2">
      <c r="B1345" s="5">
        <v>1340</v>
      </c>
    </row>
    <row r="1346" spans="2:2">
      <c r="B1346" s="5">
        <v>1341</v>
      </c>
    </row>
    <row r="1347" spans="2:2">
      <c r="B1347" s="5">
        <v>1342</v>
      </c>
    </row>
    <row r="1348" spans="2:2">
      <c r="B1348" s="5">
        <v>1343</v>
      </c>
    </row>
    <row r="1349" spans="2:2">
      <c r="B1349" s="5">
        <v>1344</v>
      </c>
    </row>
    <row r="1350" spans="2:2">
      <c r="B1350" s="5">
        <v>1345</v>
      </c>
    </row>
    <row r="1351" spans="2:2">
      <c r="B1351" s="5">
        <v>1346</v>
      </c>
    </row>
    <row r="1352" spans="2:2">
      <c r="B1352" s="5">
        <v>1347</v>
      </c>
    </row>
    <row r="1353" spans="2:2">
      <c r="B1353" s="5">
        <v>1348</v>
      </c>
    </row>
    <row r="1354" spans="2:2">
      <c r="B1354" s="5">
        <v>1349</v>
      </c>
    </row>
    <row r="1355" spans="2:2">
      <c r="B1355" s="5">
        <v>1350</v>
      </c>
    </row>
    <row r="1356" spans="2:2">
      <c r="B1356" s="5">
        <v>1351</v>
      </c>
    </row>
    <row r="1357" spans="2:2">
      <c r="B1357" s="5">
        <v>1352</v>
      </c>
    </row>
    <row r="1358" spans="2:2">
      <c r="B1358" s="5">
        <v>1353</v>
      </c>
    </row>
    <row r="1359" spans="2:2">
      <c r="B1359" s="5">
        <v>1354</v>
      </c>
    </row>
    <row r="1360" spans="2:2">
      <c r="B1360" s="5">
        <v>1355</v>
      </c>
    </row>
    <row r="1361" spans="2:2">
      <c r="B1361" s="5">
        <v>1356</v>
      </c>
    </row>
    <row r="1362" spans="2:2">
      <c r="B1362" s="5">
        <v>1357</v>
      </c>
    </row>
    <row r="1363" spans="2:2">
      <c r="B1363" s="5">
        <v>1358</v>
      </c>
    </row>
    <row r="1364" spans="2:2">
      <c r="B1364" s="5">
        <v>1359</v>
      </c>
    </row>
    <row r="1365" spans="2:2">
      <c r="B1365" s="5">
        <v>1360</v>
      </c>
    </row>
    <row r="1366" spans="2:2">
      <c r="B1366" s="5">
        <v>1361</v>
      </c>
    </row>
    <row r="1367" spans="2:2">
      <c r="B1367" s="5">
        <v>1362</v>
      </c>
    </row>
    <row r="1368" spans="2:2">
      <c r="B1368" s="5">
        <v>1363</v>
      </c>
    </row>
    <row r="1369" spans="2:2">
      <c r="B1369" s="5">
        <v>1364</v>
      </c>
    </row>
    <row r="1370" spans="2:2">
      <c r="B1370" s="5">
        <v>1365</v>
      </c>
    </row>
    <row r="1371" spans="2:2">
      <c r="B1371" s="5">
        <v>1366</v>
      </c>
    </row>
    <row r="1372" spans="2:2">
      <c r="B1372" s="5">
        <v>1367</v>
      </c>
    </row>
    <row r="1373" spans="2:2">
      <c r="B1373" s="5">
        <v>1368</v>
      </c>
    </row>
    <row r="1374" spans="2:2">
      <c r="B1374" s="5">
        <v>1369</v>
      </c>
    </row>
    <row r="1375" spans="2:2">
      <c r="B1375" s="5">
        <v>1370</v>
      </c>
    </row>
    <row r="1376" spans="2:2">
      <c r="B1376" s="5">
        <v>1371</v>
      </c>
    </row>
    <row r="1377" spans="2:2">
      <c r="B1377" s="5">
        <v>1372</v>
      </c>
    </row>
    <row r="1378" spans="2:2">
      <c r="B1378" s="5">
        <v>1373</v>
      </c>
    </row>
    <row r="1379" spans="2:2">
      <c r="B1379" s="5">
        <v>1374</v>
      </c>
    </row>
    <row r="1380" spans="2:2">
      <c r="B1380" s="5">
        <v>1375</v>
      </c>
    </row>
    <row r="1381" spans="2:2">
      <c r="B1381" s="5">
        <v>1376</v>
      </c>
    </row>
    <row r="1382" spans="2:2">
      <c r="B1382" s="5">
        <v>1377</v>
      </c>
    </row>
    <row r="1383" spans="2:2">
      <c r="B1383" s="5">
        <v>1378</v>
      </c>
    </row>
    <row r="1384" spans="2:2">
      <c r="B1384" s="5">
        <v>1379</v>
      </c>
    </row>
    <row r="1385" spans="2:2">
      <c r="B1385" s="5">
        <v>1380</v>
      </c>
    </row>
    <row r="1386" spans="2:2">
      <c r="B1386" s="5">
        <v>1381</v>
      </c>
    </row>
    <row r="1387" spans="2:2">
      <c r="B1387" s="5">
        <v>1382</v>
      </c>
    </row>
    <row r="1388" spans="2:2">
      <c r="B1388" s="5">
        <v>1383</v>
      </c>
    </row>
    <row r="1389" spans="2:2">
      <c r="B1389" s="5">
        <v>1384</v>
      </c>
    </row>
    <row r="1390" spans="2:2">
      <c r="B1390" s="5">
        <v>1385</v>
      </c>
    </row>
    <row r="1391" spans="2:2">
      <c r="B1391" s="5">
        <v>1386</v>
      </c>
    </row>
    <row r="1392" spans="2:2">
      <c r="B1392" s="5">
        <v>1387</v>
      </c>
    </row>
    <row r="1393" spans="2:2">
      <c r="B1393" s="5">
        <v>1388</v>
      </c>
    </row>
    <row r="1394" spans="2:2">
      <c r="B1394" s="5">
        <v>1389</v>
      </c>
    </row>
    <row r="1395" spans="2:2">
      <c r="B1395" s="5">
        <v>1390</v>
      </c>
    </row>
    <row r="1396" spans="2:2">
      <c r="B1396" s="5">
        <v>1391</v>
      </c>
    </row>
    <row r="1397" spans="2:2">
      <c r="B1397" s="5">
        <v>1392</v>
      </c>
    </row>
    <row r="1398" spans="2:2">
      <c r="B1398" s="5">
        <v>1393</v>
      </c>
    </row>
    <row r="1399" spans="2:2">
      <c r="B1399" s="5">
        <v>1394</v>
      </c>
    </row>
    <row r="1400" spans="2:2">
      <c r="B1400" s="5">
        <v>1395</v>
      </c>
    </row>
    <row r="1401" spans="2:2">
      <c r="B1401" s="5">
        <v>1396</v>
      </c>
    </row>
    <row r="1402" spans="2:2">
      <c r="B1402" s="5">
        <v>1397</v>
      </c>
    </row>
    <row r="1403" spans="2:2">
      <c r="B1403" s="5">
        <v>1398</v>
      </c>
    </row>
    <row r="1404" spans="2:2">
      <c r="B1404" s="5">
        <v>1399</v>
      </c>
    </row>
    <row r="1405" spans="2:2">
      <c r="B1405" s="5">
        <v>1400</v>
      </c>
    </row>
    <row r="1406" spans="2:2">
      <c r="B1406" s="5">
        <v>1401</v>
      </c>
    </row>
    <row r="1407" spans="2:2">
      <c r="B1407" s="5">
        <v>1402</v>
      </c>
    </row>
    <row r="1408" spans="2:2">
      <c r="B1408" s="5">
        <v>1403</v>
      </c>
    </row>
    <row r="1409" spans="2:2">
      <c r="B1409" s="5">
        <v>1404</v>
      </c>
    </row>
    <row r="1410" spans="2:2">
      <c r="B1410" s="5">
        <v>1405</v>
      </c>
    </row>
    <row r="1411" spans="2:2">
      <c r="B1411" s="5">
        <v>1406</v>
      </c>
    </row>
    <row r="1412" spans="2:2">
      <c r="B1412" s="5">
        <v>1407</v>
      </c>
    </row>
    <row r="1413" spans="2:2">
      <c r="B1413" s="5">
        <v>1408</v>
      </c>
    </row>
    <row r="1414" spans="2:2">
      <c r="B1414" s="5">
        <v>1409</v>
      </c>
    </row>
    <row r="1415" spans="2:2">
      <c r="B1415" s="5">
        <v>1410</v>
      </c>
    </row>
    <row r="1416" spans="2:2">
      <c r="B1416" s="5">
        <v>1411</v>
      </c>
    </row>
    <row r="1417" spans="2:2">
      <c r="B1417" s="5">
        <v>1412</v>
      </c>
    </row>
    <row r="1418" spans="2:2">
      <c r="B1418" s="5">
        <v>1413</v>
      </c>
    </row>
    <row r="1419" spans="2:2">
      <c r="B1419" s="5">
        <v>1414</v>
      </c>
    </row>
    <row r="1420" spans="2:2">
      <c r="B1420" s="5">
        <v>1415</v>
      </c>
    </row>
    <row r="1421" spans="2:2">
      <c r="B1421" s="5">
        <v>1416</v>
      </c>
    </row>
    <row r="1422" spans="2:2">
      <c r="B1422" s="5">
        <v>1417</v>
      </c>
    </row>
    <row r="1423" spans="2:2">
      <c r="B1423" s="5">
        <v>1418</v>
      </c>
    </row>
    <row r="1424" spans="2:2">
      <c r="B1424" s="5">
        <v>1419</v>
      </c>
    </row>
    <row r="1425" spans="2:2">
      <c r="B1425" s="5">
        <v>1420</v>
      </c>
    </row>
    <row r="1426" spans="2:2">
      <c r="B1426" s="5">
        <v>1421</v>
      </c>
    </row>
    <row r="1427" spans="2:2">
      <c r="B1427" s="5">
        <v>1422</v>
      </c>
    </row>
    <row r="1428" spans="2:2">
      <c r="B1428" s="5">
        <v>1423</v>
      </c>
    </row>
    <row r="1429" spans="2:2">
      <c r="B1429" s="5">
        <v>1424</v>
      </c>
    </row>
    <row r="1430" spans="2:2">
      <c r="B1430" s="5">
        <v>1425</v>
      </c>
    </row>
    <row r="1431" spans="2:2">
      <c r="B1431" s="5">
        <v>1426</v>
      </c>
    </row>
    <row r="1432" spans="2:2">
      <c r="B1432" s="5">
        <v>1427</v>
      </c>
    </row>
    <row r="1433" spans="2:2">
      <c r="B1433" s="5">
        <v>1428</v>
      </c>
    </row>
    <row r="1434" spans="2:2">
      <c r="B1434" s="5">
        <v>1429</v>
      </c>
    </row>
    <row r="1435" spans="2:2">
      <c r="B1435" s="5">
        <v>1430</v>
      </c>
    </row>
    <row r="1436" spans="2:2">
      <c r="B1436" s="5">
        <v>1431</v>
      </c>
    </row>
    <row r="1437" spans="2:2">
      <c r="B1437" s="5">
        <v>1432</v>
      </c>
    </row>
    <row r="1438" spans="2:2">
      <c r="B1438" s="5">
        <v>1433</v>
      </c>
    </row>
    <row r="1439" spans="2:2">
      <c r="B1439" s="5">
        <v>1434</v>
      </c>
    </row>
    <row r="1440" spans="2:2">
      <c r="B1440" s="5">
        <v>1435</v>
      </c>
    </row>
    <row r="1441" spans="2:2">
      <c r="B1441" s="5">
        <v>1436</v>
      </c>
    </row>
    <row r="1442" spans="2:2">
      <c r="B1442" s="5">
        <v>1437</v>
      </c>
    </row>
    <row r="1443" spans="2:2">
      <c r="B1443" s="5">
        <v>1438</v>
      </c>
    </row>
    <row r="1444" spans="2:2">
      <c r="B1444" s="5">
        <v>1439</v>
      </c>
    </row>
    <row r="1445" spans="2:2">
      <c r="B1445" s="5">
        <v>1440</v>
      </c>
    </row>
    <row r="1446" spans="2:2">
      <c r="B1446" s="5">
        <v>1441</v>
      </c>
    </row>
    <row r="1447" spans="2:2">
      <c r="B1447" s="5">
        <v>1442</v>
      </c>
    </row>
    <row r="1448" spans="2:2">
      <c r="B1448" s="5">
        <v>1443</v>
      </c>
    </row>
    <row r="1449" spans="2:2">
      <c r="B1449" s="5">
        <v>1444</v>
      </c>
    </row>
    <row r="1450" spans="2:2">
      <c r="B1450" s="5">
        <v>1445</v>
      </c>
    </row>
    <row r="1451" spans="2:2">
      <c r="B1451" s="5">
        <v>1446</v>
      </c>
    </row>
    <row r="1452" spans="2:2">
      <c r="B1452" s="5">
        <v>1447</v>
      </c>
    </row>
    <row r="1453" spans="2:2">
      <c r="B1453" s="5">
        <v>1448</v>
      </c>
    </row>
    <row r="1454" spans="2:2">
      <c r="B1454" s="5">
        <v>1449</v>
      </c>
    </row>
    <row r="1455" spans="2:2">
      <c r="B1455" s="5">
        <v>1450</v>
      </c>
    </row>
    <row r="1456" spans="2:2">
      <c r="B1456" s="5">
        <v>1451</v>
      </c>
    </row>
    <row r="1457" spans="2:2">
      <c r="B1457" s="5">
        <v>1452</v>
      </c>
    </row>
    <row r="1458" spans="2:2">
      <c r="B1458" s="5">
        <v>1453</v>
      </c>
    </row>
    <row r="1459" spans="2:2">
      <c r="B1459" s="5">
        <v>1454</v>
      </c>
    </row>
    <row r="1460" spans="2:2">
      <c r="B1460" s="5">
        <v>1455</v>
      </c>
    </row>
    <row r="1461" spans="2:2">
      <c r="B1461" s="5">
        <v>1456</v>
      </c>
    </row>
    <row r="1462" spans="2:2">
      <c r="B1462" s="5">
        <v>1457</v>
      </c>
    </row>
    <row r="1463" spans="2:2">
      <c r="B1463" s="5">
        <v>1458</v>
      </c>
    </row>
    <row r="1464" spans="2:2">
      <c r="B1464" s="5">
        <v>1459</v>
      </c>
    </row>
    <row r="1465" spans="2:2">
      <c r="B1465" s="5">
        <v>1460</v>
      </c>
    </row>
    <row r="1466" spans="2:2">
      <c r="B1466" s="5">
        <v>1461</v>
      </c>
    </row>
    <row r="1467" spans="2:2">
      <c r="B1467" s="5">
        <v>1462</v>
      </c>
    </row>
    <row r="1468" spans="2:2">
      <c r="B1468" s="5">
        <v>1463</v>
      </c>
    </row>
    <row r="1469" spans="2:2">
      <c r="B1469" s="5">
        <v>1464</v>
      </c>
    </row>
    <row r="1470" spans="2:2">
      <c r="B1470" s="5">
        <v>1465</v>
      </c>
    </row>
    <row r="1471" spans="2:2">
      <c r="B1471" s="5">
        <v>1466</v>
      </c>
    </row>
    <row r="1472" spans="2:2">
      <c r="B1472" s="5">
        <v>1467</v>
      </c>
    </row>
    <row r="1473" spans="2:2">
      <c r="B1473" s="5">
        <v>1468</v>
      </c>
    </row>
    <row r="1474" spans="2:2">
      <c r="B1474" s="5">
        <v>1469</v>
      </c>
    </row>
    <row r="1475" spans="2:2">
      <c r="B1475" s="5">
        <v>1470</v>
      </c>
    </row>
    <row r="1476" spans="2:2">
      <c r="B1476" s="5">
        <v>1471</v>
      </c>
    </row>
    <row r="1477" spans="2:2">
      <c r="B1477" s="5">
        <v>1472</v>
      </c>
    </row>
    <row r="1478" spans="2:2">
      <c r="B1478" s="5">
        <v>1473</v>
      </c>
    </row>
    <row r="1479" spans="2:2">
      <c r="B1479" s="5">
        <v>1474</v>
      </c>
    </row>
    <row r="1480" spans="2:2">
      <c r="B1480" s="5">
        <v>1475</v>
      </c>
    </row>
    <row r="1481" spans="2:2">
      <c r="B1481" s="5">
        <v>1476</v>
      </c>
    </row>
    <row r="1482" spans="2:2">
      <c r="B1482" s="5">
        <v>1477</v>
      </c>
    </row>
    <row r="1483" spans="2:2">
      <c r="B1483" s="5">
        <v>1478</v>
      </c>
    </row>
    <row r="1484" spans="2:2">
      <c r="B1484" s="5">
        <v>1479</v>
      </c>
    </row>
    <row r="1485" spans="2:2">
      <c r="B1485" s="5">
        <v>1480</v>
      </c>
    </row>
    <row r="1486" spans="2:2">
      <c r="B1486" s="5">
        <v>1481</v>
      </c>
    </row>
    <row r="1487" spans="2:2">
      <c r="B1487" s="5">
        <v>1482</v>
      </c>
    </row>
    <row r="1488" spans="2:2">
      <c r="B1488" s="5">
        <v>1483</v>
      </c>
    </row>
    <row r="1489" spans="2:2">
      <c r="B1489" s="5">
        <v>1484</v>
      </c>
    </row>
    <row r="1490" spans="2:2">
      <c r="B1490" s="5">
        <v>1485</v>
      </c>
    </row>
    <row r="1491" spans="2:2">
      <c r="B1491" s="5">
        <v>1486</v>
      </c>
    </row>
    <row r="1492" spans="2:2">
      <c r="B1492" s="5">
        <v>1487</v>
      </c>
    </row>
    <row r="1493" spans="2:2">
      <c r="B1493" s="5">
        <v>1488</v>
      </c>
    </row>
    <row r="1494" spans="2:2">
      <c r="B1494" s="5">
        <v>1489</v>
      </c>
    </row>
    <row r="1495" spans="2:2">
      <c r="B1495" s="5">
        <v>1490</v>
      </c>
    </row>
    <row r="1496" spans="2:2">
      <c r="B1496" s="5">
        <v>1491</v>
      </c>
    </row>
    <row r="1497" spans="2:2">
      <c r="B1497" s="5">
        <v>1492</v>
      </c>
    </row>
    <row r="1498" spans="2:2">
      <c r="B1498" s="5">
        <v>1493</v>
      </c>
    </row>
    <row r="1499" spans="2:2">
      <c r="B1499" s="5">
        <v>1494</v>
      </c>
    </row>
    <row r="1500" spans="2:2">
      <c r="B1500" s="5">
        <v>1495</v>
      </c>
    </row>
    <row r="1501" spans="2:2">
      <c r="B1501" s="5">
        <v>1496</v>
      </c>
    </row>
    <row r="1502" spans="2:2">
      <c r="B1502" s="5">
        <v>1497</v>
      </c>
    </row>
    <row r="1503" spans="2:2">
      <c r="B1503" s="5">
        <v>1498</v>
      </c>
    </row>
    <row r="1504" spans="2:2">
      <c r="B1504" s="5">
        <v>1499</v>
      </c>
    </row>
    <row r="1505" spans="2:2">
      <c r="B1505" s="5">
        <v>1500</v>
      </c>
    </row>
    <row r="1506" spans="2:2">
      <c r="B1506" s="5">
        <v>1501</v>
      </c>
    </row>
    <row r="1507" spans="2:2">
      <c r="B1507" s="5">
        <v>1502</v>
      </c>
    </row>
    <row r="1508" spans="2:2">
      <c r="B1508" s="5">
        <v>1503</v>
      </c>
    </row>
    <row r="1509" spans="2:2">
      <c r="B1509" s="5">
        <v>1504</v>
      </c>
    </row>
    <row r="1510" spans="2:2">
      <c r="B1510" s="5">
        <v>1505</v>
      </c>
    </row>
    <row r="1511" spans="2:2">
      <c r="B1511" s="5">
        <v>1506</v>
      </c>
    </row>
    <row r="1512" spans="2:2">
      <c r="B1512" s="5">
        <v>1507</v>
      </c>
    </row>
    <row r="1513" spans="2:2">
      <c r="B1513" s="5">
        <v>1508</v>
      </c>
    </row>
    <row r="1514" spans="2:2">
      <c r="B1514" s="5">
        <v>1509</v>
      </c>
    </row>
    <row r="1515" spans="2:2">
      <c r="B1515" s="5">
        <v>1510</v>
      </c>
    </row>
    <row r="1516" spans="2:2">
      <c r="B1516" s="5">
        <v>1511</v>
      </c>
    </row>
    <row r="1517" spans="2:2">
      <c r="B1517" s="5">
        <v>1512</v>
      </c>
    </row>
    <row r="1518" spans="2:2">
      <c r="B1518" s="5">
        <v>1513</v>
      </c>
    </row>
    <row r="1519" spans="2:2">
      <c r="B1519" s="5">
        <v>1514</v>
      </c>
    </row>
    <row r="1520" spans="2:2">
      <c r="B1520" s="5">
        <v>1515</v>
      </c>
    </row>
    <row r="1521" spans="2:2">
      <c r="B1521" s="5">
        <v>1516</v>
      </c>
    </row>
    <row r="1522" spans="2:2">
      <c r="B1522" s="5">
        <v>1517</v>
      </c>
    </row>
    <row r="1523" spans="2:2">
      <c r="B1523" s="5">
        <v>1518</v>
      </c>
    </row>
    <row r="1524" spans="2:2">
      <c r="B1524" s="5">
        <v>1519</v>
      </c>
    </row>
    <row r="1525" spans="2:2">
      <c r="B1525" s="5">
        <v>1520</v>
      </c>
    </row>
    <row r="1526" spans="2:2">
      <c r="B1526" s="5">
        <v>1521</v>
      </c>
    </row>
    <row r="1527" spans="2:2">
      <c r="B1527" s="5">
        <v>1522</v>
      </c>
    </row>
    <row r="1528" spans="2:2">
      <c r="B1528" s="5">
        <v>1523</v>
      </c>
    </row>
    <row r="1529" spans="2:2">
      <c r="B1529" s="5">
        <v>1524</v>
      </c>
    </row>
    <row r="1530" spans="2:2">
      <c r="B1530" s="5">
        <v>1525</v>
      </c>
    </row>
    <row r="1531" spans="2:2">
      <c r="B1531" s="5">
        <v>1526</v>
      </c>
    </row>
    <row r="1532" spans="2:2">
      <c r="B1532" s="5">
        <v>1527</v>
      </c>
    </row>
    <row r="1533" spans="2:2">
      <c r="B1533" s="5">
        <v>1528</v>
      </c>
    </row>
    <row r="1534" spans="2:2">
      <c r="B1534" s="5">
        <v>1529</v>
      </c>
    </row>
    <row r="1535" spans="2:2">
      <c r="B1535" s="5">
        <v>1530</v>
      </c>
    </row>
    <row r="1536" spans="2:2">
      <c r="B1536" s="5">
        <v>1531</v>
      </c>
    </row>
    <row r="1537" spans="2:2">
      <c r="B1537" s="5">
        <v>1532</v>
      </c>
    </row>
    <row r="1538" spans="2:2">
      <c r="B1538" s="5">
        <v>1533</v>
      </c>
    </row>
    <row r="1539" spans="2:2">
      <c r="B1539" s="5">
        <v>1534</v>
      </c>
    </row>
    <row r="1540" spans="2:2">
      <c r="B1540" s="5">
        <v>1535</v>
      </c>
    </row>
    <row r="1541" spans="2:2">
      <c r="B1541" s="5">
        <v>1536</v>
      </c>
    </row>
    <row r="1542" spans="2:2">
      <c r="B1542" s="5">
        <v>1537</v>
      </c>
    </row>
    <row r="1543" spans="2:2">
      <c r="B1543" s="5">
        <v>1538</v>
      </c>
    </row>
    <row r="1544" spans="2:2">
      <c r="B1544" s="5">
        <v>1539</v>
      </c>
    </row>
    <row r="1545" spans="2:2">
      <c r="B1545" s="5">
        <v>1540</v>
      </c>
    </row>
    <row r="1546" spans="2:2">
      <c r="B1546" s="5">
        <v>1541</v>
      </c>
    </row>
    <row r="1547" spans="2:2">
      <c r="B1547" s="5">
        <v>1542</v>
      </c>
    </row>
    <row r="1548" spans="2:2">
      <c r="B1548" s="5">
        <v>1543</v>
      </c>
    </row>
    <row r="1549" spans="2:2">
      <c r="B1549" s="5">
        <v>1544</v>
      </c>
    </row>
    <row r="1550" spans="2:2">
      <c r="B1550" s="5">
        <v>1545</v>
      </c>
    </row>
    <row r="1551" spans="2:2">
      <c r="B1551" s="5">
        <v>1546</v>
      </c>
    </row>
    <row r="1552" spans="2:2">
      <c r="B1552" s="5">
        <v>1547</v>
      </c>
    </row>
    <row r="1553" spans="2:2">
      <c r="B1553" s="5">
        <v>1548</v>
      </c>
    </row>
    <row r="1554" spans="2:2">
      <c r="B1554" s="5">
        <v>1549</v>
      </c>
    </row>
    <row r="1555" spans="2:2">
      <c r="B1555" s="5">
        <v>1550</v>
      </c>
    </row>
    <row r="1556" spans="2:2">
      <c r="B1556" s="5">
        <v>1551</v>
      </c>
    </row>
    <row r="1557" spans="2:2">
      <c r="B1557" s="5">
        <v>1552</v>
      </c>
    </row>
    <row r="1558" spans="2:2">
      <c r="B1558" s="5">
        <v>1553</v>
      </c>
    </row>
    <row r="1559" spans="2:2">
      <c r="B1559" s="5">
        <v>1554</v>
      </c>
    </row>
    <row r="1560" spans="2:2">
      <c r="B1560" s="5">
        <v>1555</v>
      </c>
    </row>
    <row r="1561" spans="2:2">
      <c r="B1561" s="5">
        <v>1556</v>
      </c>
    </row>
    <row r="1562" spans="2:2">
      <c r="B1562" s="5">
        <v>1557</v>
      </c>
    </row>
    <row r="1563" spans="2:2">
      <c r="B1563" s="5">
        <v>1558</v>
      </c>
    </row>
    <row r="1564" spans="2:2">
      <c r="B1564" s="5">
        <v>1559</v>
      </c>
    </row>
    <row r="1565" spans="2:2">
      <c r="B1565" s="5">
        <v>1560</v>
      </c>
    </row>
    <row r="1566" spans="2:2">
      <c r="B1566" s="5">
        <v>1561</v>
      </c>
    </row>
    <row r="1567" spans="2:2">
      <c r="B1567" s="5">
        <v>1562</v>
      </c>
    </row>
    <row r="1568" spans="2:2">
      <c r="B1568" s="5">
        <v>1563</v>
      </c>
    </row>
    <row r="1569" spans="2:2">
      <c r="B1569" s="5">
        <v>1564</v>
      </c>
    </row>
    <row r="1570" spans="2:2">
      <c r="B1570" s="5">
        <v>1565</v>
      </c>
    </row>
    <row r="1571" spans="2:2">
      <c r="B1571" s="5">
        <v>1566</v>
      </c>
    </row>
    <row r="1572" spans="2:2">
      <c r="B1572" s="5">
        <v>1567</v>
      </c>
    </row>
    <row r="1573" spans="2:2">
      <c r="B1573" s="5">
        <v>1568</v>
      </c>
    </row>
    <row r="1574" spans="2:2">
      <c r="B1574" s="5">
        <v>1569</v>
      </c>
    </row>
    <row r="1575" spans="2:2">
      <c r="B1575" s="5">
        <v>1570</v>
      </c>
    </row>
    <row r="1576" spans="2:2">
      <c r="B1576" s="5">
        <v>1571</v>
      </c>
    </row>
    <row r="1577" spans="2:2">
      <c r="B1577" s="5">
        <v>1572</v>
      </c>
    </row>
    <row r="1578" spans="2:2">
      <c r="B1578" s="5">
        <v>1573</v>
      </c>
    </row>
    <row r="1579" spans="2:2">
      <c r="B1579" s="5">
        <v>1574</v>
      </c>
    </row>
    <row r="1580" spans="2:2">
      <c r="B1580" s="5">
        <v>1575</v>
      </c>
    </row>
    <row r="1581" spans="2:2">
      <c r="B1581" s="5">
        <v>1576</v>
      </c>
    </row>
    <row r="1582" spans="2:2">
      <c r="B1582" s="5">
        <v>1577</v>
      </c>
    </row>
    <row r="1583" spans="2:2">
      <c r="B1583" s="5">
        <v>1578</v>
      </c>
    </row>
    <row r="1584" spans="2:2">
      <c r="B1584" s="5">
        <v>1579</v>
      </c>
    </row>
    <row r="1585" spans="2:2">
      <c r="B1585" s="5">
        <v>1580</v>
      </c>
    </row>
    <row r="1586" spans="2:2">
      <c r="B1586" s="5">
        <v>1581</v>
      </c>
    </row>
    <row r="1587" spans="2:2">
      <c r="B1587" s="5">
        <v>1582</v>
      </c>
    </row>
    <row r="1588" spans="2:2">
      <c r="B1588" s="5">
        <v>1583</v>
      </c>
    </row>
    <row r="1589" spans="2:2">
      <c r="B1589" s="5">
        <v>1584</v>
      </c>
    </row>
    <row r="1590" spans="2:2">
      <c r="B1590" s="5">
        <v>1585</v>
      </c>
    </row>
    <row r="1591" spans="2:2">
      <c r="B1591" s="5">
        <v>1586</v>
      </c>
    </row>
    <row r="1592" spans="2:2">
      <c r="B1592" s="5">
        <v>1587</v>
      </c>
    </row>
    <row r="1593" spans="2:2">
      <c r="B1593" s="5">
        <v>1588</v>
      </c>
    </row>
    <row r="1594" spans="2:2">
      <c r="B1594" s="5">
        <v>1589</v>
      </c>
    </row>
    <row r="1595" spans="2:2">
      <c r="B1595" s="5">
        <v>1590</v>
      </c>
    </row>
    <row r="1596" spans="2:2">
      <c r="B1596" s="5">
        <v>1591</v>
      </c>
    </row>
    <row r="1597" spans="2:2">
      <c r="B1597" s="5">
        <v>1592</v>
      </c>
    </row>
    <row r="1598" spans="2:2">
      <c r="B1598" s="5">
        <v>1593</v>
      </c>
    </row>
    <row r="1599" spans="2:2">
      <c r="B1599" s="5">
        <v>1594</v>
      </c>
    </row>
    <row r="1600" spans="2:2">
      <c r="B1600" s="5">
        <v>1595</v>
      </c>
    </row>
    <row r="1601" spans="2:2">
      <c r="B1601" s="5">
        <v>1596</v>
      </c>
    </row>
    <row r="1602" spans="2:2">
      <c r="B1602" s="5">
        <v>1597</v>
      </c>
    </row>
    <row r="1603" spans="2:2">
      <c r="B1603" s="5">
        <v>1598</v>
      </c>
    </row>
    <row r="1604" spans="2:2">
      <c r="B1604" s="5">
        <v>1599</v>
      </c>
    </row>
    <row r="1605" spans="2:2">
      <c r="B1605" s="5">
        <v>1600</v>
      </c>
    </row>
    <row r="1606" spans="2:2">
      <c r="B1606" s="5">
        <v>1601</v>
      </c>
    </row>
    <row r="1607" spans="2:2">
      <c r="B1607" s="5">
        <v>1602</v>
      </c>
    </row>
    <row r="1608" spans="2:2">
      <c r="B1608" s="5">
        <v>1603</v>
      </c>
    </row>
    <row r="1609" spans="2:2">
      <c r="B1609" s="5">
        <v>1604</v>
      </c>
    </row>
    <row r="1610" spans="2:2">
      <c r="B1610" s="5">
        <v>1605</v>
      </c>
    </row>
    <row r="1611" spans="2:2">
      <c r="B1611" s="5">
        <v>1606</v>
      </c>
    </row>
    <row r="1612" spans="2:2">
      <c r="B1612" s="5">
        <v>1607</v>
      </c>
    </row>
    <row r="1613" spans="2:2">
      <c r="B1613" s="5">
        <v>1608</v>
      </c>
    </row>
    <row r="1614" spans="2:2">
      <c r="B1614" s="5">
        <v>1609</v>
      </c>
    </row>
    <row r="1615" spans="2:2">
      <c r="B1615" s="5">
        <v>1610</v>
      </c>
    </row>
    <row r="1616" spans="2:2">
      <c r="B1616" s="5">
        <v>1611</v>
      </c>
    </row>
    <row r="1617" spans="2:2">
      <c r="B1617" s="5">
        <v>1612</v>
      </c>
    </row>
    <row r="1618" spans="2:2">
      <c r="B1618" s="5">
        <v>1613</v>
      </c>
    </row>
    <row r="1619" spans="2:2">
      <c r="B1619" s="5">
        <v>1614</v>
      </c>
    </row>
    <row r="1620" spans="2:2">
      <c r="B1620" s="5">
        <v>1615</v>
      </c>
    </row>
    <row r="1621" spans="2:2">
      <c r="B1621" s="5">
        <v>1616</v>
      </c>
    </row>
    <row r="1622" spans="2:2">
      <c r="B1622" s="5">
        <v>1617</v>
      </c>
    </row>
    <row r="1623" spans="2:2">
      <c r="B1623" s="5">
        <v>1618</v>
      </c>
    </row>
    <row r="1624" spans="2:2">
      <c r="B1624" s="5">
        <v>1619</v>
      </c>
    </row>
    <row r="1625" spans="2:2">
      <c r="B1625" s="5">
        <v>1620</v>
      </c>
    </row>
    <row r="1626" spans="2:2">
      <c r="B1626" s="5">
        <v>1621</v>
      </c>
    </row>
    <row r="1627" spans="2:2">
      <c r="B1627" s="5">
        <v>1622</v>
      </c>
    </row>
    <row r="1628" spans="2:2">
      <c r="B1628" s="5">
        <v>1623</v>
      </c>
    </row>
    <row r="1629" spans="2:2">
      <c r="B1629" s="5">
        <v>1624</v>
      </c>
    </row>
    <row r="1630" spans="2:2">
      <c r="B1630" s="5">
        <v>1625</v>
      </c>
    </row>
    <row r="1631" spans="2:2">
      <c r="B1631" s="5">
        <v>1626</v>
      </c>
    </row>
    <row r="1632" spans="2:2">
      <c r="B1632" s="5">
        <v>1627</v>
      </c>
    </row>
    <row r="1633" spans="2:2">
      <c r="B1633" s="5">
        <v>1628</v>
      </c>
    </row>
    <row r="1634" spans="2:2">
      <c r="B1634" s="5">
        <v>1629</v>
      </c>
    </row>
    <row r="1635" spans="2:2">
      <c r="B1635" s="5">
        <v>1630</v>
      </c>
    </row>
    <row r="1636" spans="2:2">
      <c r="B1636" s="5">
        <v>1631</v>
      </c>
    </row>
    <row r="1637" spans="2:2">
      <c r="B1637" s="5">
        <v>1632</v>
      </c>
    </row>
    <row r="1638" spans="2:2">
      <c r="B1638" s="5">
        <v>1633</v>
      </c>
    </row>
    <row r="1639" spans="2:2">
      <c r="B1639" s="5">
        <v>1634</v>
      </c>
    </row>
    <row r="1640" spans="2:2">
      <c r="B1640" s="5">
        <v>1635</v>
      </c>
    </row>
    <row r="1641" spans="2:2">
      <c r="B1641" s="5">
        <v>1636</v>
      </c>
    </row>
    <row r="1642" spans="2:2">
      <c r="B1642" s="5">
        <v>1637</v>
      </c>
    </row>
    <row r="1643" spans="2:2">
      <c r="B1643" s="5">
        <v>1638</v>
      </c>
    </row>
    <row r="1644" spans="2:2">
      <c r="B1644" s="5">
        <v>1639</v>
      </c>
    </row>
    <row r="1645" spans="2:2">
      <c r="B1645" s="5">
        <v>1640</v>
      </c>
    </row>
    <row r="1646" spans="2:2">
      <c r="B1646" s="5">
        <v>1641</v>
      </c>
    </row>
    <row r="1647" spans="2:2">
      <c r="B1647" s="5">
        <v>1642</v>
      </c>
    </row>
    <row r="1648" spans="2:2">
      <c r="B1648" s="5">
        <v>1643</v>
      </c>
    </row>
    <row r="1649" spans="2:2">
      <c r="B1649" s="5">
        <v>1644</v>
      </c>
    </row>
    <row r="1650" spans="2:2">
      <c r="B1650" s="5">
        <v>1645</v>
      </c>
    </row>
    <row r="1651" spans="2:2">
      <c r="B1651" s="5">
        <v>1646</v>
      </c>
    </row>
    <row r="1652" spans="2:2">
      <c r="B1652" s="5">
        <v>1647</v>
      </c>
    </row>
    <row r="1653" spans="2:2">
      <c r="B1653" s="5">
        <v>1648</v>
      </c>
    </row>
    <row r="1654" spans="2:2">
      <c r="B1654" s="5">
        <v>1649</v>
      </c>
    </row>
    <row r="1655" spans="2:2">
      <c r="B1655" s="5">
        <v>1650</v>
      </c>
    </row>
    <row r="1656" spans="2:2">
      <c r="B1656" s="5">
        <v>1651</v>
      </c>
    </row>
    <row r="1657" spans="2:2">
      <c r="B1657" s="5">
        <v>1652</v>
      </c>
    </row>
    <row r="1658" spans="2:2">
      <c r="B1658" s="5">
        <v>1653</v>
      </c>
    </row>
    <row r="1659" spans="2:2">
      <c r="B1659" s="5">
        <v>1654</v>
      </c>
    </row>
    <row r="1660" spans="2:2">
      <c r="B1660" s="5">
        <v>1655</v>
      </c>
    </row>
    <row r="1661" spans="2:2">
      <c r="B1661" s="5">
        <v>1656</v>
      </c>
    </row>
    <row r="1662" spans="2:2">
      <c r="B1662" s="5">
        <v>1657</v>
      </c>
    </row>
    <row r="1663" spans="2:2">
      <c r="B1663" s="5">
        <v>1658</v>
      </c>
    </row>
    <row r="1664" spans="2:2">
      <c r="B1664" s="5">
        <v>1659</v>
      </c>
    </row>
    <row r="1665" spans="2:2">
      <c r="B1665" s="5">
        <v>1660</v>
      </c>
    </row>
    <row r="1666" spans="2:2">
      <c r="B1666" s="5">
        <v>1661</v>
      </c>
    </row>
    <row r="1667" spans="2:2">
      <c r="B1667" s="5">
        <v>1662</v>
      </c>
    </row>
    <row r="1668" spans="2:2">
      <c r="B1668" s="5">
        <v>1663</v>
      </c>
    </row>
    <row r="1669" spans="2:2">
      <c r="B1669" s="5">
        <v>1664</v>
      </c>
    </row>
    <row r="1670" spans="2:2">
      <c r="B1670" s="5">
        <v>1665</v>
      </c>
    </row>
    <row r="1671" spans="2:2">
      <c r="B1671" s="5">
        <v>1666</v>
      </c>
    </row>
    <row r="1672" spans="2:2">
      <c r="B1672" s="5">
        <v>1667</v>
      </c>
    </row>
    <row r="1673" spans="2:2">
      <c r="B1673" s="5">
        <v>1668</v>
      </c>
    </row>
    <row r="1674" spans="2:2">
      <c r="B1674" s="5">
        <v>1669</v>
      </c>
    </row>
    <row r="1675" spans="2:2">
      <c r="B1675" s="5">
        <v>1670</v>
      </c>
    </row>
    <row r="1676" spans="2:2">
      <c r="B1676" s="5">
        <v>1671</v>
      </c>
    </row>
    <row r="1677" spans="2:2">
      <c r="B1677" s="5">
        <v>1672</v>
      </c>
    </row>
    <row r="1678" spans="2:2">
      <c r="B1678" s="5">
        <v>1673</v>
      </c>
    </row>
    <row r="1679" spans="2:2">
      <c r="B1679" s="5">
        <v>1674</v>
      </c>
    </row>
    <row r="1680" spans="2:2">
      <c r="B1680" s="5">
        <v>1675</v>
      </c>
    </row>
    <row r="1681" spans="2:2">
      <c r="B1681" s="5">
        <v>1676</v>
      </c>
    </row>
    <row r="1682" spans="2:2">
      <c r="B1682" s="5">
        <v>1677</v>
      </c>
    </row>
    <row r="1683" spans="2:2">
      <c r="B1683" s="5">
        <v>1678</v>
      </c>
    </row>
    <row r="1684" spans="2:2">
      <c r="B1684" s="5">
        <v>1679</v>
      </c>
    </row>
    <row r="1685" spans="2:2">
      <c r="B1685" s="5">
        <v>1680</v>
      </c>
    </row>
    <row r="1686" spans="2:2">
      <c r="B1686" s="5">
        <v>1681</v>
      </c>
    </row>
    <row r="1687" spans="2:2">
      <c r="B1687" s="5">
        <v>1682</v>
      </c>
    </row>
    <row r="1688" spans="2:2">
      <c r="B1688" s="5">
        <v>1683</v>
      </c>
    </row>
    <row r="1689" spans="2:2">
      <c r="B1689" s="5">
        <v>1684</v>
      </c>
    </row>
    <row r="1690" spans="2:2">
      <c r="B1690" s="5">
        <v>1685</v>
      </c>
    </row>
    <row r="1691" spans="2:2">
      <c r="B1691" s="5">
        <v>1686</v>
      </c>
    </row>
    <row r="1692" spans="2:2">
      <c r="B1692" s="5">
        <v>1687</v>
      </c>
    </row>
    <row r="1693" spans="2:2">
      <c r="B1693" s="5">
        <v>1688</v>
      </c>
    </row>
    <row r="1694" spans="2:2">
      <c r="B1694" s="5">
        <v>1689</v>
      </c>
    </row>
    <row r="1695" spans="2:2">
      <c r="B1695" s="5">
        <v>1690</v>
      </c>
    </row>
    <row r="1696" spans="2:2">
      <c r="B1696" s="5">
        <v>1691</v>
      </c>
    </row>
    <row r="1697" spans="2:2">
      <c r="B1697" s="5">
        <v>1692</v>
      </c>
    </row>
    <row r="1698" spans="2:2">
      <c r="B1698" s="5">
        <v>1693</v>
      </c>
    </row>
    <row r="1699" spans="2:2">
      <c r="B1699" s="5">
        <v>1694</v>
      </c>
    </row>
    <row r="1700" spans="2:2">
      <c r="B1700" s="5">
        <v>1695</v>
      </c>
    </row>
    <row r="1701" spans="2:2">
      <c r="B1701" s="5">
        <v>1696</v>
      </c>
    </row>
    <row r="1702" spans="2:2">
      <c r="B1702" s="5">
        <v>1697</v>
      </c>
    </row>
    <row r="1703" spans="2:2">
      <c r="B1703" s="5">
        <v>1698</v>
      </c>
    </row>
    <row r="1704" spans="2:2">
      <c r="B1704" s="5">
        <v>1699</v>
      </c>
    </row>
    <row r="1705" spans="2:2">
      <c r="B1705" s="5">
        <v>1700</v>
      </c>
    </row>
    <row r="1706" spans="2:2">
      <c r="B1706" s="5">
        <v>1701</v>
      </c>
    </row>
    <row r="1707" spans="2:2">
      <c r="B1707" s="5">
        <v>1702</v>
      </c>
    </row>
    <row r="1708" spans="2:2">
      <c r="B1708" s="5">
        <v>1703</v>
      </c>
    </row>
    <row r="1709" spans="2:2">
      <c r="B1709" s="5">
        <v>1704</v>
      </c>
    </row>
    <row r="1710" spans="2:2">
      <c r="B1710" s="5">
        <v>1705</v>
      </c>
    </row>
    <row r="1711" spans="2:2">
      <c r="B1711" s="5">
        <v>1706</v>
      </c>
    </row>
    <row r="1712" spans="2:2">
      <c r="B1712" s="5">
        <v>1707</v>
      </c>
    </row>
    <row r="1713" spans="2:2">
      <c r="B1713" s="5">
        <v>1708</v>
      </c>
    </row>
    <row r="1714" spans="2:2">
      <c r="B1714" s="5">
        <v>1709</v>
      </c>
    </row>
    <row r="1715" spans="2:2">
      <c r="B1715" s="5">
        <v>1710</v>
      </c>
    </row>
    <row r="1716" spans="2:2">
      <c r="B1716" s="5">
        <v>1711</v>
      </c>
    </row>
    <row r="1717" spans="2:2">
      <c r="B1717" s="5">
        <v>1712</v>
      </c>
    </row>
    <row r="1718" spans="2:2">
      <c r="B1718" s="5">
        <v>1713</v>
      </c>
    </row>
    <row r="1719" spans="2:2">
      <c r="B1719" s="5">
        <v>1714</v>
      </c>
    </row>
    <row r="1720" spans="2:2">
      <c r="B1720" s="5">
        <v>1715</v>
      </c>
    </row>
    <row r="1721" spans="2:2">
      <c r="B1721" s="5">
        <v>1716</v>
      </c>
    </row>
    <row r="1722" spans="2:2">
      <c r="B1722" s="5">
        <v>1717</v>
      </c>
    </row>
    <row r="1723" spans="2:2">
      <c r="B1723" s="5">
        <v>1718</v>
      </c>
    </row>
    <row r="1724" spans="2:2">
      <c r="B1724" s="5">
        <v>1719</v>
      </c>
    </row>
    <row r="1725" spans="2:2">
      <c r="B1725" s="5">
        <v>1720</v>
      </c>
    </row>
    <row r="1726" spans="2:2">
      <c r="B1726" s="5">
        <v>1721</v>
      </c>
    </row>
    <row r="1727" spans="2:2">
      <c r="B1727" s="5">
        <v>1722</v>
      </c>
    </row>
    <row r="1728" spans="2:2">
      <c r="B1728" s="5">
        <v>1723</v>
      </c>
    </row>
    <row r="1729" spans="2:2">
      <c r="B1729" s="5">
        <v>1724</v>
      </c>
    </row>
    <row r="1730" spans="2:2">
      <c r="B1730" s="5">
        <v>1725</v>
      </c>
    </row>
    <row r="1731" spans="2:2">
      <c r="B1731" s="5">
        <v>1726</v>
      </c>
    </row>
    <row r="1732" spans="2:2">
      <c r="B1732" s="5">
        <v>1727</v>
      </c>
    </row>
    <row r="1733" spans="2:2">
      <c r="B1733" s="5">
        <v>1728</v>
      </c>
    </row>
    <row r="1734" spans="2:2">
      <c r="B1734" s="5">
        <v>1729</v>
      </c>
    </row>
    <row r="1735" spans="2:2">
      <c r="B1735" s="5">
        <v>1730</v>
      </c>
    </row>
    <row r="1736" spans="2:2">
      <c r="B1736" s="5">
        <v>1731</v>
      </c>
    </row>
    <row r="1737" spans="2:2">
      <c r="B1737" s="5">
        <v>1732</v>
      </c>
    </row>
    <row r="1738" spans="2:2">
      <c r="B1738" s="5">
        <v>1733</v>
      </c>
    </row>
    <row r="1739" spans="2:2">
      <c r="B1739" s="5">
        <v>1734</v>
      </c>
    </row>
    <row r="1740" spans="2:2">
      <c r="B1740" s="5">
        <v>1735</v>
      </c>
    </row>
    <row r="1741" spans="2:2">
      <c r="B1741" s="5">
        <v>1736</v>
      </c>
    </row>
    <row r="1742" spans="2:2">
      <c r="B1742" s="5">
        <v>1737</v>
      </c>
    </row>
    <row r="1743" spans="2:2">
      <c r="B1743" s="5">
        <v>1738</v>
      </c>
    </row>
    <row r="1744" spans="2:2">
      <c r="B1744" s="5">
        <v>1739</v>
      </c>
    </row>
    <row r="1745" spans="2:2">
      <c r="B1745" s="5">
        <v>1740</v>
      </c>
    </row>
    <row r="1746" spans="2:2">
      <c r="B1746" s="5">
        <v>1741</v>
      </c>
    </row>
    <row r="1747" spans="2:2">
      <c r="B1747" s="5">
        <v>1742</v>
      </c>
    </row>
    <row r="1748" spans="2:2">
      <c r="B1748" s="5">
        <v>1743</v>
      </c>
    </row>
    <row r="1749" spans="2:2">
      <c r="B1749" s="5">
        <v>1744</v>
      </c>
    </row>
    <row r="1750" spans="2:2">
      <c r="B1750" s="5">
        <v>1745</v>
      </c>
    </row>
    <row r="1751" spans="2:2">
      <c r="B1751" s="5">
        <v>1746</v>
      </c>
    </row>
    <row r="1752" spans="2:2">
      <c r="B1752" s="5">
        <v>1747</v>
      </c>
    </row>
    <row r="1753" spans="2:2">
      <c r="B1753" s="5">
        <v>1748</v>
      </c>
    </row>
    <row r="1754" spans="2:2">
      <c r="B1754" s="5">
        <v>1749</v>
      </c>
    </row>
    <row r="1755" spans="2:2">
      <c r="B1755" s="5">
        <v>1750</v>
      </c>
    </row>
    <row r="1756" spans="2:2">
      <c r="B1756" s="5">
        <v>1751</v>
      </c>
    </row>
    <row r="1757" spans="2:2">
      <c r="B1757" s="5">
        <v>1752</v>
      </c>
    </row>
    <row r="1758" spans="2:2">
      <c r="B1758" s="5">
        <v>1753</v>
      </c>
    </row>
    <row r="1759" spans="2:2">
      <c r="B1759" s="5">
        <v>1754</v>
      </c>
    </row>
    <row r="1760" spans="2:2">
      <c r="B1760" s="5">
        <v>1755</v>
      </c>
    </row>
    <row r="1761" spans="2:2">
      <c r="B1761" s="5">
        <v>1756</v>
      </c>
    </row>
    <row r="1762" spans="2:2">
      <c r="B1762" s="5">
        <v>1757</v>
      </c>
    </row>
    <row r="1763" spans="2:2">
      <c r="B1763" s="5">
        <v>1758</v>
      </c>
    </row>
    <row r="1764" spans="2:2">
      <c r="B1764" s="5">
        <v>1759</v>
      </c>
    </row>
    <row r="1765" spans="2:2">
      <c r="B1765" s="5">
        <v>1760</v>
      </c>
    </row>
    <row r="1766" spans="2:2">
      <c r="B1766" s="5">
        <v>1761</v>
      </c>
    </row>
    <row r="1767" spans="2:2">
      <c r="B1767" s="5">
        <v>1762</v>
      </c>
    </row>
    <row r="1768" spans="2:2">
      <c r="B1768" s="5">
        <v>1763</v>
      </c>
    </row>
    <row r="1769" spans="2:2">
      <c r="B1769" s="5">
        <v>1764</v>
      </c>
    </row>
    <row r="1770" spans="2:2">
      <c r="B1770" s="5">
        <v>1765</v>
      </c>
    </row>
    <row r="1771" spans="2:2">
      <c r="B1771" s="5">
        <v>1766</v>
      </c>
    </row>
    <row r="1772" spans="2:2">
      <c r="B1772" s="5">
        <v>1767</v>
      </c>
    </row>
    <row r="1773" spans="2:2">
      <c r="B1773" s="5">
        <v>1768</v>
      </c>
    </row>
    <row r="1774" spans="2:2">
      <c r="B1774" s="5">
        <v>1769</v>
      </c>
    </row>
    <row r="1775" spans="2:2">
      <c r="B1775" s="5">
        <v>1770</v>
      </c>
    </row>
    <row r="1776" spans="2:2">
      <c r="B1776" s="5">
        <v>1771</v>
      </c>
    </row>
    <row r="1777" spans="2:2">
      <c r="B1777" s="5">
        <v>1772</v>
      </c>
    </row>
    <row r="1778" spans="2:2">
      <c r="B1778" s="5">
        <v>1773</v>
      </c>
    </row>
    <row r="1779" spans="2:2">
      <c r="B1779" s="5">
        <v>1774</v>
      </c>
    </row>
    <row r="1780" spans="2:2">
      <c r="B1780" s="5">
        <v>1775</v>
      </c>
    </row>
    <row r="1781" spans="2:2">
      <c r="B1781" s="5">
        <v>1776</v>
      </c>
    </row>
    <row r="1782" spans="2:2">
      <c r="B1782" s="5">
        <v>1777</v>
      </c>
    </row>
    <row r="1783" spans="2:2">
      <c r="B1783" s="5">
        <v>1778</v>
      </c>
    </row>
    <row r="1784" spans="2:2">
      <c r="B1784" s="5">
        <v>1779</v>
      </c>
    </row>
    <row r="1785" spans="2:2">
      <c r="B1785" s="5">
        <v>1780</v>
      </c>
    </row>
    <row r="1786" spans="2:2">
      <c r="B1786" s="5">
        <v>1781</v>
      </c>
    </row>
    <row r="1787" spans="2:2">
      <c r="B1787" s="5">
        <v>1782</v>
      </c>
    </row>
    <row r="1788" spans="2:2">
      <c r="B1788" s="5">
        <v>1783</v>
      </c>
    </row>
    <row r="1789" spans="2:2">
      <c r="B1789" s="5">
        <v>1784</v>
      </c>
    </row>
    <row r="1790" spans="2:2">
      <c r="B1790" s="5">
        <v>1785</v>
      </c>
    </row>
    <row r="1791" spans="2:2">
      <c r="B1791" s="5">
        <v>1786</v>
      </c>
    </row>
    <row r="1792" spans="2:2">
      <c r="B1792" s="5">
        <v>1787</v>
      </c>
    </row>
    <row r="1793" spans="2:16">
      <c r="B1793" s="5">
        <v>1788</v>
      </c>
    </row>
    <row r="1794" spans="2:16">
      <c r="B1794" s="5">
        <v>1789</v>
      </c>
    </row>
    <row r="1795" spans="2:16">
      <c r="B1795" s="5">
        <v>1790</v>
      </c>
    </row>
    <row r="1796" spans="2:16">
      <c r="B1796" s="5">
        <v>1791</v>
      </c>
    </row>
    <row r="1797" spans="2:16">
      <c r="B1797" s="5">
        <v>1792</v>
      </c>
    </row>
    <row r="1798" spans="2:16">
      <c r="B1798" s="5">
        <v>1793</v>
      </c>
    </row>
    <row r="1799" spans="2:16">
      <c r="B1799" s="5">
        <v>1794</v>
      </c>
    </row>
    <row r="1800" spans="2:16">
      <c r="B1800" s="5">
        <v>1795</v>
      </c>
    </row>
    <row r="1801" spans="2:16">
      <c r="B1801" s="5">
        <v>1796</v>
      </c>
    </row>
    <row r="1802" spans="2:16">
      <c r="B1802" s="5">
        <v>1797</v>
      </c>
    </row>
    <row r="1803" spans="2:16">
      <c r="B1803" s="5">
        <v>1798</v>
      </c>
    </row>
    <row r="1804" spans="2:16">
      <c r="B1804" s="5">
        <v>1799</v>
      </c>
    </row>
    <row r="1805" spans="2:16">
      <c r="B1805" s="5" t="s">
        <v>10</v>
      </c>
      <c r="P1805" s="5" t="s">
        <v>17</v>
      </c>
    </row>
  </sheetData>
  <hyperlinks>
    <hyperlink ref="D3" location="'S1-1 Warp Zones'!A1" display="◀ Back to S1-1 Warp Zones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172</v>
      </c>
      <c r="B1" s="2"/>
      <c r="C1" s="2"/>
      <c r="D1" s="2"/>
      <c r="E1" s="2"/>
      <c r="F1" s="2"/>
      <c r="G1" s="2"/>
    </row>
    <row r="2" spans="1:7">
      <c r="A2" s="3" t="s">
        <v>173</v>
      </c>
    </row>
    <row r="3" spans="1:7" ht="26" customHeight="1">
      <c r="A3" s="14" cm="1" t="str">
        <f t="array" ref="A3">"SCORE "&amp;TEXT(SUM($G$15:$G$39),"0000")&amp;" / 0180"</f>
        <v>SCORE 0000 / 0180</v>
      </c>
      <c r="C3" s="15" cm="1" t="str">
        <f t="array" ref="C3">IF(SUM($G$15:$G$39)&gt;=180,"★★★",IF(SUM($G$15:$G$39)&gt;=180*0.8,"★★☆",IF(SUM($G$15:$G$39)&gt;=180*0.5,"★☆☆","☆☆☆")))</f>
        <v>☆☆☆</v>
      </c>
      <c r="D3" s="16" cm="1" t="str">
        <f t="array" ref="D3">REPT("█",ROUND(10*SUM($G$15:$G$39)/180,0))&amp;REPT("░",10-ROUND(10*SUM($G$15:$G$39)/180,0))&amp;"  "&amp;TEXT(SUM($G$15:$G$39)/180,"0%")</f>
        <v>░░░░░░░░░░  0%</v>
      </c>
      <c r="F3" s="17" cm="1" t="str">
        <f t="array" ref="F3">IF(SUM($G$15:$G$39)&gt;=180*0.5,"STAGE CLEAR! ▶ Next: S1-3 Lasso","")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67" customHeight="1">
      <c r="A7" s="18" t="s">
        <v>22</v>
      </c>
      <c r="B7" s="8" t="s">
        <v>112</v>
      </c>
      <c r="C7" s="19" t="s">
        <v>52</v>
      </c>
    </row>
    <row r="8" spans="1:7" ht="51.25" customHeight="1">
      <c r="A8" s="18" t="s">
        <v>25</v>
      </c>
      <c r="B8" s="8" t="s">
        <v>113</v>
      </c>
      <c r="C8" s="19" t="s">
        <v>114</v>
      </c>
    </row>
    <row r="9" spans="1:7" ht="35.5" customHeight="1">
      <c r="A9" s="18" t="s">
        <v>28</v>
      </c>
      <c r="B9" s="8" t="s">
        <v>115</v>
      </c>
      <c r="C9" s="19" t="s">
        <v>46</v>
      </c>
    </row>
    <row r="10" spans="1:7" ht="51.25" customHeight="1">
      <c r="A10" s="18" t="s">
        <v>31</v>
      </c>
      <c r="B10" s="8" t="s">
        <v>116</v>
      </c>
      <c r="C10" s="19" t="s">
        <v>45</v>
      </c>
    </row>
    <row r="11" spans="1:7" ht="35.5" customHeight="1">
      <c r="A11" s="18" t="s">
        <v>117</v>
      </c>
      <c r="B11" s="8" t="s">
        <v>118</v>
      </c>
      <c r="C11" s="19" t="s">
        <v>119</v>
      </c>
    </row>
    <row r="13" spans="1:7" ht="22" customHeight="1">
      <c r="A13" s="4" t="s">
        <v>34</v>
      </c>
      <c r="B13" s="4"/>
      <c r="C13" s="4"/>
      <c r="D13" s="4"/>
      <c r="E13" s="4"/>
      <c r="F13" s="4"/>
      <c r="G13" s="4"/>
    </row>
    <row r="14" spans="1:7">
      <c r="A14" s="6" t="s">
        <v>19</v>
      </c>
      <c r="B14" s="6" t="s">
        <v>37</v>
      </c>
      <c r="C14" s="6" t="s">
        <v>38</v>
      </c>
      <c r="D14" s="6" t="s">
        <v>39</v>
      </c>
      <c r="E14" s="6" t="s">
        <v>40</v>
      </c>
      <c r="F14" s="6" t="s">
        <v>1</v>
      </c>
      <c r="G14" s="6" t="s">
        <v>41</v>
      </c>
    </row>
    <row r="15" spans="1:7" ht="35.5" customHeight="1">
      <c r="A15" s="18" t="s">
        <v>121</v>
      </c>
      <c r="B15" s="8" t="s">
        <v>122</v>
      </c>
      <c r="C15" s="21"/>
      <c r="D15" s="22" cm="1" t="str">
        <f t="array" ref="D15">IFERROR(_xlfn.LET(_xlpm.a,'S1-2 Teleport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:$I$15),"✔ CLEAR","✘ TRY AGAIN"))),"✘ TRY AGAIN")</f>
        <v/>
      </c>
      <c r="E15" s="23"/>
      <c r="F15" s="24" cm="1" t="str">
        <f t="array" ref="F15">IF(E15="Show hint",Key!$B$15,"")</f>
        <v/>
      </c>
      <c r="G15" s="25" cm="1">
        <f t="array" ref="G15">IF(LEFT(D15,1)="✔",IF(E15="Show hint",5,10),0)</f>
        <v>0</v>
      </c>
    </row>
    <row r="16" spans="1:7" ht="35.5" customHeight="1">
      <c r="A16" s="18" t="s">
        <v>124</v>
      </c>
      <c r="B16" s="8" t="s">
        <v>125</v>
      </c>
      <c r="C16" s="21"/>
      <c r="D16" s="22" cm="1" t="str">
        <f t="array" ref="D16">IFERROR(_xlfn.LET(_xlpm.a,'S1-2 Teleport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:$E$16),"✔ CLEAR","✘ TRY AGAIN"))),"✘ TRY AGAIN")</f>
        <v/>
      </c>
      <c r="E16" s="23"/>
      <c r="F16" s="24" cm="1" t="str">
        <f t="array" ref="F16">IF(E16="Show hint",Key!$B$16,"")</f>
        <v/>
      </c>
      <c r="G16" s="25" cm="1">
        <f t="array" ref="G16">IF(LEFT(D16,1)="✔",IF(E16="Show hint",5,10),0)</f>
        <v>0</v>
      </c>
    </row>
    <row r="17" spans="1:7" ht="35.5" customHeight="1">
      <c r="A17" s="18" t="s">
        <v>127</v>
      </c>
      <c r="B17" s="8" t="s">
        <v>128</v>
      </c>
      <c r="C17" s="21"/>
      <c r="D17" s="22" cm="1" t="str">
        <f t="array" ref="D17">IFERROR(_xlfn.LET(_xlpm.a,'S1-2 Teleport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E$17),"✔ CLEAR","✘ TRY AGAIN"))),"✘ TRY AGAIN")</f>
        <v/>
      </c>
      <c r="E17" s="23"/>
      <c r="F17" s="24" cm="1" t="str">
        <f t="array" ref="F17">IF(E17="Show hint",Key!$B$17,"")</f>
        <v/>
      </c>
      <c r="G17" s="25" cm="1">
        <f t="array" ref="G17">IF(LEFT(D17,1)="✔",IF(E17="Show hint",5,10),0)</f>
        <v>0</v>
      </c>
    </row>
    <row r="18" spans="1:7" ht="35.5" customHeight="1">
      <c r="A18" s="18" t="s">
        <v>130</v>
      </c>
      <c r="B18" s="8" t="s">
        <v>131</v>
      </c>
      <c r="C18" s="21"/>
      <c r="D18" s="22" cm="1" t="str">
        <f t="array" ref="D18">IFERROR(_xlfn.LET(_xlpm.a,'S1-2 Teleport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E$18),"✔ CLEAR","✘ TRY AGAIN"))),"✘ TRY AGAIN")</f>
        <v/>
      </c>
      <c r="E18" s="23"/>
      <c r="F18" s="24" cm="1" t="str">
        <f t="array" ref="F18">IF(E18="Show hint",Key!$B$18,"")</f>
        <v/>
      </c>
      <c r="G18" s="25" cm="1">
        <f t="array" ref="G18">IF(LEFT(D18,1)="✔",IF(E18="Show hint",5,10),0)</f>
        <v>0</v>
      </c>
    </row>
    <row r="20" spans="1:7" ht="22" customHeight="1">
      <c r="A20" s="4" t="s">
        <v>36</v>
      </c>
      <c r="B20" s="4"/>
      <c r="C20" s="4"/>
      <c r="D20" s="4"/>
      <c r="E20" s="4"/>
      <c r="F20" s="4"/>
      <c r="G20" s="4"/>
    </row>
    <row r="21" spans="1:7">
      <c r="A21" s="6" t="s">
        <v>19</v>
      </c>
      <c r="B21" s="6" t="s">
        <v>37</v>
      </c>
      <c r="C21" s="6" t="s">
        <v>38</v>
      </c>
      <c r="D21" s="6" t="s">
        <v>39</v>
      </c>
      <c r="E21" s="6" t="s">
        <v>40</v>
      </c>
      <c r="F21" s="6" t="s">
        <v>1</v>
      </c>
      <c r="G21" s="6" t="s">
        <v>41</v>
      </c>
    </row>
    <row r="22" spans="1:7" ht="19.75" customHeight="1">
      <c r="A22" s="18" t="s">
        <v>47</v>
      </c>
      <c r="B22" s="8" t="s">
        <v>134</v>
      </c>
      <c r="C22" s="21"/>
      <c r="D22" s="22" cm="1" t="str">
        <f t="array" ref="D22">IFERROR(IF('S1-2 Teleport'!$C$22&amp;""="","",IF('S1-2 Teleport'!$C$22&amp;""=Key!$C$19&amp;"","✔ CLEAR","✘ TRY AGAIN")),"✘ TRY AGAIN")</f>
        <v/>
      </c>
      <c r="E22" s="23"/>
      <c r="F22" s="24" cm="1" t="str">
        <f t="array" ref="F22">IF(E22="Show hint",Key!$B$19,"")</f>
        <v/>
      </c>
      <c r="G22" s="25" cm="1">
        <f t="array" ref="G22">IF(LEFT(D22,1)="✔",IF(E22="Show hint",5,10),0)</f>
        <v>0</v>
      </c>
    </row>
    <row r="23" spans="1:7" ht="19.75" customHeight="1">
      <c r="A23" s="18" t="s">
        <v>53</v>
      </c>
      <c r="B23" s="8" t="s">
        <v>137</v>
      </c>
      <c r="C23" s="21"/>
      <c r="D23" s="22" cm="1" t="str">
        <f t="array" ref="D23">IFERROR(IF('S1-2 Teleport'!$C$23&amp;""="","",IF('S1-2 Teleport'!$C$23&amp;""=Key!$C$20&amp;"","✔ CLEAR","✘ TRY AGAIN")),"✘ TRY AGAIN")</f>
        <v/>
      </c>
      <c r="E23" s="23"/>
      <c r="F23" s="24" cm="1" t="str">
        <f t="array" ref="F23">IF(E23="Show hint",Key!$B$20,"")</f>
        <v/>
      </c>
      <c r="G23" s="25" cm="1">
        <f t="array" ref="G23">IF(LEFT(D23,1)="✔",IF(E23="Show hint",5,10),0)</f>
        <v>0</v>
      </c>
    </row>
    <row r="24" spans="1:7" ht="19.75" customHeight="1">
      <c r="A24" s="18" t="s">
        <v>59</v>
      </c>
      <c r="B24" s="8" t="s">
        <v>140</v>
      </c>
      <c r="C24" s="21"/>
      <c r="D24" s="22" cm="1" t="str">
        <f t="array" ref="D24">IFERROR(IF('S1-2 Teleport'!$C$24&amp;""="","",IF('S1-2 Teleport'!$C$24&amp;""=Key!$C$21&amp;"","✔ CLEAR","✘ TRY AGAIN")),"✘ TRY AGAIN")</f>
        <v/>
      </c>
      <c r="E24" s="23"/>
      <c r="F24" s="24" cm="1" t="str">
        <f t="array" ref="F24">IF(E24="Show hint",Key!$B$21,"")</f>
        <v/>
      </c>
      <c r="G24" s="25" cm="1">
        <f t="array" ref="G24">IF(LEFT(D24,1)="✔",IF(E24="Show hint",5,10),0)</f>
        <v>0</v>
      </c>
    </row>
    <row r="25" spans="1:7" ht="19.75" customHeight="1">
      <c r="A25" s="18" t="s">
        <v>64</v>
      </c>
      <c r="B25" s="8" t="s">
        <v>143</v>
      </c>
      <c r="C25" s="21"/>
      <c r="D25" s="22" cm="1" t="str">
        <f t="array" ref="D25">IFERROR(IF('S1-2 Teleport'!$C$25&amp;""="","",IF('S1-2 Teleport'!$C$25&amp;""=Key!$C$22&amp;"","✔ CLEAR","✘ TRY AGAIN")),"✘ TRY AGAIN")</f>
        <v/>
      </c>
      <c r="E25" s="23"/>
      <c r="F25" s="24" cm="1" t="str">
        <f t="array" ref="F25">IF(E25="Show hint",Key!$B$22,"")</f>
        <v/>
      </c>
      <c r="G25" s="25" cm="1">
        <f t="array" ref="G25">IF(LEFT(D25,1)="✔",IF(E25="Show hint",5,10),0)</f>
        <v>0</v>
      </c>
    </row>
    <row r="26" spans="1:7" ht="19.75" customHeight="1">
      <c r="A26" s="18" t="s">
        <v>146</v>
      </c>
      <c r="B26" s="8" t="s">
        <v>147</v>
      </c>
      <c r="C26" s="21"/>
      <c r="D26" s="22" cm="1" t="str">
        <f t="array" ref="D26">IFERROR(IF('S1-2 Teleport'!$C$26&amp;""="","",IF('S1-2 Teleport'!$C$26&amp;""=Key!$C$23&amp;"","✔ CLEAR","✘ TRY AGAIN")),"✘ TRY AGAIN")</f>
        <v/>
      </c>
      <c r="E26" s="23"/>
      <c r="F26" s="24" cm="1" t="str">
        <f t="array" ref="F26">IF(E26="Show hint",Key!$B$23,"")</f>
        <v/>
      </c>
      <c r="G26" s="25" cm="1">
        <f t="array" ref="G26">IF(LEFT(D26,1)="✔",IF(E26="Show hint",5,10),0)</f>
        <v>0</v>
      </c>
    </row>
    <row r="28" spans="1:7" ht="22" customHeight="1">
      <c r="A28" s="4" t="s">
        <v>66</v>
      </c>
      <c r="B28" s="4"/>
      <c r="C28" s="4"/>
      <c r="D28" s="4"/>
      <c r="E28" s="4"/>
      <c r="F28" s="4"/>
      <c r="G28" s="4"/>
    </row>
    <row r="29" spans="1:7">
      <c r="B29" s="11" t="s">
        <v>148</v>
      </c>
    </row>
    <row r="30" spans="1:7">
      <c r="A30" s="6" t="s">
        <v>19</v>
      </c>
      <c r="B30" s="6" t="s">
        <v>37</v>
      </c>
      <c r="C30" s="6" t="s">
        <v>38</v>
      </c>
      <c r="D30" s="6" t="s">
        <v>39</v>
      </c>
      <c r="E30" s="6" t="s">
        <v>40</v>
      </c>
      <c r="F30" s="6" t="s">
        <v>1</v>
      </c>
      <c r="G30" s="6" t="s">
        <v>41</v>
      </c>
    </row>
    <row r="31" spans="1:7" ht="19.75" customHeight="1">
      <c r="A31" s="18" t="s">
        <v>74</v>
      </c>
      <c r="B31" s="8" t="s">
        <v>134</v>
      </c>
      <c r="C31" s="21"/>
      <c r="D31" s="22" cm="1" t="str">
        <f t="array" ref="D31">IFERROR(_xlfn.LET(_xlpm.a,'S1-2 Teleport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F$24),"✔ CLEAR","✘ TRY AGAIN"))),"✘ TRY AGAIN")</f>
        <v/>
      </c>
      <c r="E31" s="23"/>
      <c r="F31" s="24" cm="1" t="str">
        <f t="array" ref="F31">IF(E31="Show hint",Key!$B$24,"")</f>
        <v/>
      </c>
      <c r="G31" s="25" cm="1">
        <f t="array" ref="G31">IF(LEFT(D31,1)="✔",IF(E31="Show hint",5,10),0)</f>
        <v>0</v>
      </c>
    </row>
    <row r="32" spans="1:7" ht="19.75" customHeight="1">
      <c r="A32" s="18" t="s">
        <v>77</v>
      </c>
      <c r="B32" s="8" t="s">
        <v>137</v>
      </c>
      <c r="C32" s="21"/>
      <c r="D32" s="22" cm="1" t="str">
        <f t="array" ref="D32">IFERROR(_xlfn.LET(_xlpm.a,'S1-2 Teleport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E$25),"✔ CLEAR","✘ TRY AGAIN"))),"✘ TRY AGAIN")</f>
        <v/>
      </c>
      <c r="E32" s="23"/>
      <c r="F32" s="24" cm="1" t="str">
        <f t="array" ref="F32">IF(E32="Show hint",Key!$B$25,"")</f>
        <v/>
      </c>
      <c r="G32" s="25" cm="1">
        <f t="array" ref="G32">IF(LEFT(D32,1)="✔",IF(E32="Show hint",5,10),0)</f>
        <v>0</v>
      </c>
    </row>
    <row r="33" spans="1:7" ht="19.75" customHeight="1">
      <c r="A33" s="18" t="s">
        <v>80</v>
      </c>
      <c r="B33" s="8" t="s">
        <v>140</v>
      </c>
      <c r="C33" s="21"/>
      <c r="D33" s="22" cm="1" t="str">
        <f t="array" ref="D33">IFERROR(_xlfn.LET(_xlpm.a,'S1-2 Teleport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E$26),"✔ CLEAR","✘ TRY AGAIN"))),"✘ TRY AGAIN")</f>
        <v/>
      </c>
      <c r="E33" s="23"/>
      <c r="F33" s="24" cm="1" t="str">
        <f t="array" ref="F33">IF(E33="Show hint",Key!$B$26,"")</f>
        <v/>
      </c>
      <c r="G33" s="25" cm="1">
        <f t="array" ref="G33">IF(LEFT(D33,1)="✔",IF(E33="Show hint",5,10),0)</f>
        <v>0</v>
      </c>
    </row>
    <row r="34" spans="1:7" ht="19.75" customHeight="1">
      <c r="A34" s="18" t="s">
        <v>83</v>
      </c>
      <c r="B34" s="8" t="s">
        <v>143</v>
      </c>
      <c r="C34" s="21"/>
      <c r="D34" s="22" cm="1" t="str">
        <f t="array" ref="D34">IFERROR(_xlfn.LET(_xlpm.a,'S1-2 Teleport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E$27),"✔ CLEAR","✘ TRY AGAIN"))),"✘ TRY AGAIN")</f>
        <v/>
      </c>
      <c r="E34" s="23"/>
      <c r="F34" s="24" cm="1" t="str">
        <f t="array" ref="F34">IF(E34="Show hint",Key!$B$27,"")</f>
        <v/>
      </c>
      <c r="G34" s="25" cm="1">
        <f t="array" ref="G34">IF(LEFT(D34,1)="✔",IF(E34="Show hint",5,10),0)</f>
        <v>0</v>
      </c>
    </row>
    <row r="35" spans="1:7" ht="19.75" customHeight="1">
      <c r="A35" s="18" t="s">
        <v>86</v>
      </c>
      <c r="B35" s="8" t="s">
        <v>147</v>
      </c>
      <c r="C35" s="21"/>
      <c r="D35" s="22" cm="1" t="str">
        <f t="array" ref="D35">IFERROR(_xlfn.LET(_xlpm.a,'S1-2 Teleport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E$28),"✔ CLEAR","✘ TRY AGAIN"))),"✘ TRY AGAIN")</f>
        <v/>
      </c>
      <c r="E35" s="23"/>
      <c r="F35" s="24" cm="1" t="str">
        <f t="array" ref="F35">IF(E35="Show hint",Key!$B$28,"")</f>
        <v/>
      </c>
      <c r="G35" s="25" cm="1">
        <f t="array" ref="G35">IF(LEFT(D35,1)="✔",IF(E35="Show hint",5,10),0)</f>
        <v>0</v>
      </c>
    </row>
    <row r="36" spans="1:7" ht="51.25" customHeight="1">
      <c r="A36" s="18" t="s">
        <v>90</v>
      </c>
      <c r="B36" s="8" t="s">
        <v>162</v>
      </c>
      <c r="C36" s="21"/>
      <c r="D36" s="22" cm="1" t="str">
        <f t="array" ref="D36">IFERROR(_xlfn.LET(_xlpm.a,'S1-2 Teleport'!$C$36,IF(TRIM(_xlpm.a&amp;"")="","",IF(SUBSTITUTE(SUBSTITUTE(UPPER(_xlpm.a&amp;"")," ",""),"$","")=Key!$C$29,"✔ CLEAR","✘ TRY AGAIN"))),"✘ TRY AGAIN")</f>
        <v/>
      </c>
      <c r="E36" s="23"/>
      <c r="F36" s="24" cm="1" t="str">
        <f t="array" ref="F36">IF(E36="Show hint",Key!$B$29,"")</f>
        <v/>
      </c>
      <c r="G36" s="25" cm="1">
        <f t="array" ref="G36">IF(LEFT(D36,1)="✔",IF(E36="Show hint",5,10),0)</f>
        <v>0</v>
      </c>
    </row>
    <row r="37" spans="1:7" ht="51.25" customHeight="1">
      <c r="A37" s="18" t="s">
        <v>94</v>
      </c>
      <c r="B37" s="8" t="s">
        <v>165</v>
      </c>
      <c r="C37" s="21"/>
      <c r="D37" s="22" cm="1" t="str">
        <f t="array" ref="D37">IFERROR(_xlfn.LET(_xlpm.a,'S1-2 Teleport'!$C$37,IF(TRIM(_xlpm.a&amp;"")="","",IF(SUBSTITUTE(SUBSTITUTE(UPPER(_xlpm.a&amp;"")," ",""),"$","")=Key!$C$30,"✔ CLEAR","✘ TRY AGAIN"))),"✘ TRY AGAIN")</f>
        <v/>
      </c>
      <c r="E37" s="23"/>
      <c r="F37" s="24" cm="1" t="str">
        <f t="array" ref="F37">IF(E37="Show hint",Key!$B$30,"")</f>
        <v/>
      </c>
      <c r="G37" s="25" cm="1">
        <f t="array" ref="G37">IF(LEFT(D37,1)="✔",IF(E37="Show hint",5,10),0)</f>
        <v>0</v>
      </c>
    </row>
    <row r="38" spans="1:7" ht="51.25" customHeight="1">
      <c r="A38" s="18" t="s">
        <v>98</v>
      </c>
      <c r="B38" s="8" t="s">
        <v>168</v>
      </c>
      <c r="C38" s="21"/>
      <c r="D38" s="22" cm="1" t="str">
        <f t="array" ref="D38">IFERROR(_xlfn.LET(_xlpm.a,'S1-2 Teleport'!$C$38,IF(TRIM(_xlpm.a&amp;"")="","",IF(SUBSTITUTE(SUBSTITUTE(UPPER(_xlpm.a&amp;"")," ",""),"$","")=Key!$C$31,"✔ CLEAR","✘ TRY AGAIN"))),"✘ TRY AGAIN")</f>
        <v/>
      </c>
      <c r="E38" s="23"/>
      <c r="F38" s="24" cm="1" t="str">
        <f t="array" ref="F38">IF(E38="Show hint",Key!$B$31,"")</f>
        <v/>
      </c>
      <c r="G38" s="25" cm="1">
        <f t="array" ref="G38">IF(LEFT(D38,1)="✔",IF(E38="Show hint",5,10),0)</f>
        <v>0</v>
      </c>
    </row>
    <row r="39" spans="1:7" ht="51.25" customHeight="1">
      <c r="A39" s="18" t="s">
        <v>102</v>
      </c>
      <c r="B39" s="8" t="s">
        <v>171</v>
      </c>
      <c r="C39" s="21"/>
      <c r="D39" s="22" cm="1" t="str">
        <f t="array" ref="D39">IFERROR(_xlfn.LET(_xlpm.a,'S1-2 Teleport'!$C$39,IF(TRIM(_xlpm.a&amp;"")="","",IF(SUBSTITUTE(SUBSTITUTE(UPPER(_xlpm.a&amp;"")," ",""),"$","")=Key!$C$32,"✔ CLEAR","✘ TRY AGAIN"))),"✘ TRY AGAIN")</f>
        <v/>
      </c>
      <c r="E39" s="23"/>
      <c r="F39" s="24" cm="1" t="str">
        <f t="array" ref="F39">IF(E39="Show hint",Key!$B$32,"")</f>
        <v/>
      </c>
      <c r="G39" s="25" cm="1">
        <f t="array" ref="G39">IF(LEFT(D39,1)="✔",IF(E39="Show hint",5,10),0)</f>
        <v>0</v>
      </c>
    </row>
  </sheetData>
  <sheetProtection sheet="1" objects="1" scenarios="1" formatColumns="0" formatRows="0"/>
  <conditionalFormatting sqref="D15:D39">
    <cfRule type="expression" dxfId="0" priority="1">
      <formula>LEFT($D15,1)="✔"</formula>
    </cfRule>
    <cfRule type="expression" dxfId="1" priority="2">
      <formula>LEFT($D15,1)="✘"</formula>
    </cfRule>
    <cfRule type="expression" dxfId="2" priority="3">
      <formula>$D15="LOCKED"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2">
      <formula1>Key!$E$19:$H$19</formula1>
    </dataValidation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3">
      <formula1>Key!$E$20:$H$20</formula1>
    </dataValidation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4">
      <formula1>Key!$E$21:$H$21</formula1>
    </dataValidation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Key!$E$22:$H$22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Key!$E$23:$H$23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what you found" prompt="Do the move in the arena, then type the word or number you found here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what you found" prompt="Do the move in the arena, then type the word or number you found here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what you found" prompt="Do the move in the arena, then type the word or number you found here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allowBlank="1" showInputMessage="1" showErrorMessage="1" promptTitle="Type what you found" prompt="Do the move in the arena, then type the word or number you found here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29" location="'S1-2 Arena'!A1" display="▶ Open S1-2 Arena (or press Ctrl+PgDn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M777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4">
      <c r="A1" s="1" t="s">
        <v>106</v>
      </c>
    </row>
    <row r="2" spans="1:4">
      <c r="A2" s="3" t="s">
        <v>5</v>
      </c>
    </row>
    <row r="3" spans="1:4">
      <c r="A3" s="26" t="s">
        <v>6</v>
      </c>
      <c r="B3" s="27" t="s">
        <v>107</v>
      </c>
      <c r="D3" s="11" t="s">
        <v>108</v>
      </c>
    </row>
    <row r="5" spans="1:4">
      <c r="B5" s="7" t="s">
        <v>109</v>
      </c>
    </row>
    <row r="40" spans="13:13">
      <c r="M40" s="5" t="s">
        <v>111</v>
      </c>
    </row>
    <row r="777" spans="11:11">
      <c r="K777" s="5" t="s">
        <v>110</v>
      </c>
    </row>
  </sheetData>
  <hyperlinks>
    <hyperlink ref="D3" location="'S1-2 Teleport'!A1" display="◀ Back to S1-2 Teleport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37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261</v>
      </c>
      <c r="B1" s="2"/>
      <c r="C1" s="2"/>
      <c r="D1" s="2"/>
      <c r="E1" s="2"/>
      <c r="F1" s="2"/>
      <c r="G1" s="2"/>
    </row>
    <row r="2" spans="1:7">
      <c r="A2" s="3" t="s">
        <v>262</v>
      </c>
    </row>
    <row r="3" spans="1:7" ht="26" customHeight="1">
      <c r="A3" s="14" cm="1" t="str">
        <f t="array" ref="A3">"SCORE "&amp;TEXT(SUM($G$14:$G$37),"0000")&amp;" / 0170"</f>
        <v>SCORE 0000 / 0170</v>
      </c>
      <c r="C3" s="15" cm="1" t="str">
        <f t="array" ref="C3">IF(SUM($G$14:$G$37)&gt;=170,"★★★",IF(SUM($G$14:$G$37)&gt;=170*0.8,"★★☆",IF(SUM($G$14:$G$37)&gt;=170*0.5,"★☆☆","☆☆☆")))</f>
        <v>☆☆☆</v>
      </c>
      <c r="D3" s="16" cm="1" t="str">
        <f t="array" ref="D3">REPT("█",ROUND(10*SUM($G$14:$G$37)/170,0))&amp;REPT("░",10-ROUND(10*SUM($G$14:$G$37)/170,0))&amp;"  "&amp;TEXT(SUM($G$14:$G$37)/170,"0%")</f>
        <v>░░░░░░░░░░  0%</v>
      </c>
      <c r="F3" s="17" cm="1" t="str">
        <f t="array" ref="F3">IF(SUM($G$14:$G$37)&gt;=170*0.5,"STAGE CLEAR! ▶ Next: S1-4 Grab","")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51.25" customHeight="1">
      <c r="A7" s="18" t="s">
        <v>22</v>
      </c>
      <c r="B7" s="8" t="s">
        <v>196</v>
      </c>
      <c r="C7" s="19" t="s">
        <v>63</v>
      </c>
    </row>
    <row r="8" spans="1:7" ht="67" customHeight="1">
      <c r="A8" s="18" t="s">
        <v>25</v>
      </c>
      <c r="B8" s="8" t="s">
        <v>197</v>
      </c>
      <c r="C8" s="19" t="s">
        <v>58</v>
      </c>
    </row>
    <row r="9" spans="1:7" ht="51.25" customHeight="1">
      <c r="A9" s="18" t="s">
        <v>28</v>
      </c>
      <c r="B9" s="8" t="s">
        <v>198</v>
      </c>
      <c r="C9" s="19" t="s">
        <v>199</v>
      </c>
    </row>
    <row r="10" spans="1:7" ht="51.25" customHeight="1">
      <c r="A10" s="18" t="s">
        <v>31</v>
      </c>
      <c r="B10" s="8" t="s">
        <v>200</v>
      </c>
      <c r="C10" s="19" t="s">
        <v>57</v>
      </c>
    </row>
    <row r="12" spans="1:7" ht="22" customHeight="1">
      <c r="A12" s="4" t="s">
        <v>34</v>
      </c>
      <c r="B12" s="4"/>
      <c r="C12" s="4"/>
      <c r="D12" s="4"/>
      <c r="E12" s="4"/>
      <c r="F12" s="4"/>
      <c r="G12" s="4"/>
    </row>
    <row r="13" spans="1:7">
      <c r="A13" s="6" t="s">
        <v>19</v>
      </c>
      <c r="B13" s="6" t="s">
        <v>37</v>
      </c>
      <c r="C13" s="6" t="s">
        <v>38</v>
      </c>
      <c r="D13" s="6" t="s">
        <v>39</v>
      </c>
      <c r="E13" s="6" t="s">
        <v>40</v>
      </c>
      <c r="F13" s="6" t="s">
        <v>1</v>
      </c>
      <c r="G13" s="6" t="s">
        <v>41</v>
      </c>
    </row>
    <row r="14" spans="1:7" ht="35.5" customHeight="1">
      <c r="A14" s="18" t="s">
        <v>121</v>
      </c>
      <c r="B14" s="8" t="s">
        <v>202</v>
      </c>
      <c r="C14" s="21"/>
      <c r="D14" s="22" cm="1" t="str">
        <f t="array" ref="D14">IFERROR(_xlfn.LET(_xlpm.a,'S1-3 Lasso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F$33),"✔ CLEAR","✘ TRY AGAIN"))),"✘ TRY AGAIN")</f>
        <v/>
      </c>
      <c r="E14" s="23"/>
      <c r="F14" s="24" cm="1" t="str">
        <f t="array" ref="F14">IF(E14="Show hint",Key!$B$33,"")</f>
        <v/>
      </c>
      <c r="G14" s="25" cm="1">
        <f t="array" ref="G14">IF(LEFT(D14,1)="✔",IF(E14="Show hint",5,10),0)</f>
        <v>0</v>
      </c>
    </row>
    <row r="15" spans="1:7" ht="35.5" customHeight="1">
      <c r="A15" s="18" t="s">
        <v>124</v>
      </c>
      <c r="B15" s="8" t="s">
        <v>204</v>
      </c>
      <c r="C15" s="21"/>
      <c r="D15" s="22" cm="1" t="str">
        <f t="array" ref="D15">IFERROR(_xlfn.LET(_xlpm.a,'S1-3 Lasso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E$34),"✔ CLEAR","✘ TRY AGAIN"))),"✘ TRY AGAIN")</f>
        <v/>
      </c>
      <c r="E15" s="23"/>
      <c r="F15" s="24" cm="1" t="str">
        <f t="array" ref="F15">IF(E15="Show hint",Key!$B$34,"")</f>
        <v/>
      </c>
      <c r="G15" s="25" cm="1">
        <f t="array" ref="G15">IF(LEFT(D15,1)="✔",IF(E15="Show hint",5,10),0)</f>
        <v>0</v>
      </c>
    </row>
    <row r="16" spans="1:7" ht="35.5" customHeight="1">
      <c r="A16" s="18" t="s">
        <v>127</v>
      </c>
      <c r="B16" s="8" t="s">
        <v>206</v>
      </c>
      <c r="C16" s="21"/>
      <c r="D16" s="22" cm="1" t="str">
        <f t="array" ref="D16">IFERROR(_xlfn.LET(_xlpm.a,'S1-3 Lasso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E$35),"✔ CLEAR","✘ TRY AGAIN"))),"✘ TRY AGAIN")</f>
        <v/>
      </c>
      <c r="E16" s="23"/>
      <c r="F16" s="24" cm="1" t="str">
        <f t="array" ref="F16">IF(E16="Show hint",Key!$B$35,"")</f>
        <v/>
      </c>
      <c r="G16" s="25" cm="1">
        <f t="array" ref="G16">IF(LEFT(D16,1)="✔",IF(E16="Show hint",5,10),0)</f>
        <v>0</v>
      </c>
    </row>
    <row r="17" spans="1:7" ht="35.5" customHeight="1">
      <c r="A17" s="18" t="s">
        <v>130</v>
      </c>
      <c r="B17" s="8" t="s">
        <v>208</v>
      </c>
      <c r="C17" s="21"/>
      <c r="D17" s="22" cm="1" t="str">
        <f t="array" ref="D17">IFERROR(_xlfn.LET(_xlpm.a,'S1-3 Lasso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E$36),"✔ CLEAR","✘ TRY AGAIN"))),"✘ TRY AGAIN")</f>
        <v/>
      </c>
      <c r="E17" s="23"/>
      <c r="F17" s="24" cm="1" t="str">
        <f t="array" ref="F17">IF(E17="Show hint",Key!$B$36,"")</f>
        <v/>
      </c>
      <c r="G17" s="25" cm="1">
        <f t="array" ref="G17">IF(LEFT(D17,1)="✔",IF(E17="Show hint",5,10),0)</f>
        <v>0</v>
      </c>
    </row>
    <row r="18" spans="1:7" ht="35.5" customHeight="1">
      <c r="A18" s="18" t="s">
        <v>210</v>
      </c>
      <c r="B18" s="8" t="s">
        <v>211</v>
      </c>
      <c r="C18" s="21"/>
      <c r="D18" s="22" cm="1" t="str">
        <f t="array" ref="D18">IFERROR(_xlfn.LET(_xlpm.a,'S1-3 Lasso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E$37),"✔ CLEAR","✘ TRY AGAIN"))),"✘ TRY AGAIN")</f>
        <v/>
      </c>
      <c r="E18" s="23"/>
      <c r="F18" s="24" cm="1" t="str">
        <f t="array" ref="F18">IF(E18="Show hint",Key!$B$37,"")</f>
        <v/>
      </c>
      <c r="G18" s="25" cm="1">
        <f t="array" ref="G18">IF(LEFT(D18,1)="✔",IF(E18="Show hint",5,10),0)</f>
        <v>0</v>
      </c>
    </row>
    <row r="20" spans="1:7" ht="22" customHeight="1">
      <c r="A20" s="4" t="s">
        <v>36</v>
      </c>
      <c r="B20" s="4"/>
      <c r="C20" s="4"/>
      <c r="D20" s="4"/>
      <c r="E20" s="4"/>
      <c r="F20" s="4"/>
      <c r="G20" s="4"/>
    </row>
    <row r="21" spans="1:7">
      <c r="A21" s="6" t="s">
        <v>19</v>
      </c>
      <c r="B21" s="6" t="s">
        <v>37</v>
      </c>
      <c r="C21" s="6" t="s">
        <v>38</v>
      </c>
      <c r="D21" s="6" t="s">
        <v>39</v>
      </c>
      <c r="E21" s="6" t="s">
        <v>40</v>
      </c>
      <c r="F21" s="6" t="s">
        <v>1</v>
      </c>
      <c r="G21" s="6" t="s">
        <v>41</v>
      </c>
    </row>
    <row r="22" spans="1:7" ht="19.75" customHeight="1">
      <c r="A22" s="18" t="s">
        <v>47</v>
      </c>
      <c r="B22" s="8" t="s">
        <v>214</v>
      </c>
      <c r="C22" s="21"/>
      <c r="D22" s="22" cm="1" t="str">
        <f t="array" ref="D22">IFERROR(IF('S1-3 Lasso'!$C$22&amp;""="","",IF('S1-3 Lasso'!$C$22&amp;""=Key!$C$38&amp;"","✔ CLEAR","✘ TRY AGAIN")),"✘ TRY AGAIN")</f>
        <v/>
      </c>
      <c r="E22" s="23"/>
      <c r="F22" s="24" cm="1" t="str">
        <f t="array" ref="F22">IF(E22="Show hint",Key!$B$38,"")</f>
        <v/>
      </c>
      <c r="G22" s="25" cm="1">
        <f t="array" ref="G22">IF(LEFT(D22,1)="✔",IF(E22="Show hint",5,10),0)</f>
        <v>0</v>
      </c>
    </row>
    <row r="23" spans="1:7" ht="35.5" customHeight="1">
      <c r="A23" s="18" t="s">
        <v>53</v>
      </c>
      <c r="B23" s="8" t="s">
        <v>218</v>
      </c>
      <c r="C23" s="21"/>
      <c r="D23" s="22" cm="1" t="str">
        <f t="array" ref="D23">IFERROR(IF('S1-3 Lasso'!$C$23&amp;""="","",IF('S1-3 Lasso'!$C$23&amp;""=Key!$C$39&amp;"","✔ CLEAR","✘ TRY AGAIN")),"✘ TRY AGAIN")</f>
        <v/>
      </c>
      <c r="E23" s="23"/>
      <c r="F23" s="24" cm="1" t="str">
        <f t="array" ref="F23">IF(E23="Show hint",Key!$B$39,"")</f>
        <v/>
      </c>
      <c r="G23" s="25" cm="1">
        <f t="array" ref="G23">IF(LEFT(D23,1)="✔",IF(E23="Show hint",5,10),0)</f>
        <v>0</v>
      </c>
    </row>
    <row r="24" spans="1:7" ht="35.5" customHeight="1">
      <c r="A24" s="18" t="s">
        <v>59</v>
      </c>
      <c r="B24" s="8" t="s">
        <v>221</v>
      </c>
      <c r="C24" s="21"/>
      <c r="D24" s="22" cm="1" t="str">
        <f t="array" ref="D24">IFERROR(IF('S1-3 Lasso'!$C$24&amp;""="","",IF('S1-3 Lasso'!$C$24&amp;""=Key!$C$40&amp;"","✔ CLEAR","✘ TRY AGAIN")),"✘ TRY AGAIN")</f>
        <v/>
      </c>
      <c r="E24" s="23"/>
      <c r="F24" s="24" cm="1" t="str">
        <f t="array" ref="F24">IF(E24="Show hint",Key!$B$40,"")</f>
        <v/>
      </c>
      <c r="G24" s="25" cm="1">
        <f t="array" ref="G24">IF(LEFT(D24,1)="✔",IF(E24="Show hint",5,10),0)</f>
        <v>0</v>
      </c>
    </row>
    <row r="25" spans="1:7" ht="35.5" customHeight="1">
      <c r="A25" s="18" t="s">
        <v>64</v>
      </c>
      <c r="B25" s="8" t="s">
        <v>224</v>
      </c>
      <c r="C25" s="21"/>
      <c r="D25" s="22" cm="1" t="str">
        <f t="array" ref="D25">IFERROR(IF('S1-3 Lasso'!$C$25&amp;""="","",IF('S1-3 Lasso'!$C$25&amp;""=Key!$C$41&amp;"","✔ CLEAR","✘ TRY AGAIN")),"✘ TRY AGAIN")</f>
        <v/>
      </c>
      <c r="E25" s="23"/>
      <c r="F25" s="24" cm="1" t="str">
        <f t="array" ref="F25">IF(E25="Show hint",Key!$B$41,"")</f>
        <v/>
      </c>
      <c r="G25" s="25" cm="1">
        <f t="array" ref="G25">IF(LEFT(D25,1)="✔",IF(E25="Show hint",5,10),0)</f>
        <v>0</v>
      </c>
    </row>
    <row r="27" spans="1:7" ht="22" customHeight="1">
      <c r="A27" s="4" t="s">
        <v>66</v>
      </c>
      <c r="B27" s="4"/>
      <c r="C27" s="4"/>
      <c r="D27" s="4"/>
      <c r="E27" s="4"/>
      <c r="F27" s="4"/>
      <c r="G27" s="4"/>
    </row>
    <row r="28" spans="1:7">
      <c r="B28" s="11" t="s">
        <v>225</v>
      </c>
    </row>
    <row r="29" spans="1:7">
      <c r="A29" s="6" t="s">
        <v>19</v>
      </c>
      <c r="B29" s="6" t="s">
        <v>37</v>
      </c>
      <c r="C29" s="6" t="s">
        <v>38</v>
      </c>
      <c r="D29" s="6" t="s">
        <v>39</v>
      </c>
      <c r="E29" s="6" t="s">
        <v>40</v>
      </c>
      <c r="F29" s="6" t="s">
        <v>1</v>
      </c>
      <c r="G29" s="6" t="s">
        <v>41</v>
      </c>
    </row>
    <row r="30" spans="1:7" ht="19.75" customHeight="1">
      <c r="A30" s="18" t="s">
        <v>74</v>
      </c>
      <c r="B30" s="8" t="s">
        <v>214</v>
      </c>
      <c r="C30" s="21"/>
      <c r="D30" s="22" cm="1" t="str">
        <f t="array" ref="D30">IFERROR(_xlfn.LET(_xlpm.a,'S1-3 Lasso'!$C$30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I$42),"✔ CLEAR","✘ TRY AGAIN"))),"✘ TRY AGAIN")</f>
        <v/>
      </c>
      <c r="E30" s="23"/>
      <c r="F30" s="24" cm="1" t="str">
        <f t="array" ref="F30">IF(E30="Show hint",Key!$B$42,"")</f>
        <v/>
      </c>
      <c r="G30" s="25" cm="1">
        <f t="array" ref="G30">IF(LEFT(D30,1)="✔",IF(E30="Show hint",5,10),0)</f>
        <v>0</v>
      </c>
    </row>
    <row r="31" spans="1:7" ht="35.5" customHeight="1">
      <c r="A31" s="18" t="s">
        <v>77</v>
      </c>
      <c r="B31" s="8" t="s">
        <v>218</v>
      </c>
      <c r="C31" s="21"/>
      <c r="D31" s="22" cm="1" t="str">
        <f t="array" ref="D31">IFERROR(_xlfn.LET(_xlpm.a,'S1-3 Lasso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N$43),"✔ CLEAR","✘ TRY AGAIN"))),"✘ TRY AGAIN")</f>
        <v/>
      </c>
      <c r="E31" s="23"/>
      <c r="F31" s="24" cm="1" t="str">
        <f t="array" ref="F31">IF(E31="Show hint",Key!$B$43,"")</f>
        <v/>
      </c>
      <c r="G31" s="25" cm="1">
        <f t="array" ref="G31">IF(LEFT(D31,1)="✔",IF(E31="Show hint",5,10),0)</f>
        <v>0</v>
      </c>
    </row>
    <row r="32" spans="1:7" ht="35.5" customHeight="1">
      <c r="A32" s="18" t="s">
        <v>80</v>
      </c>
      <c r="B32" s="8" t="s">
        <v>221</v>
      </c>
      <c r="C32" s="21"/>
      <c r="D32" s="22" cm="1" t="str">
        <f t="array" ref="D32">IFERROR(_xlfn.LET(_xlpm.a,'S1-3 Lasso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F$44),"✔ CLEAR","✘ TRY AGAIN"))),"✘ TRY AGAIN")</f>
        <v/>
      </c>
      <c r="E32" s="23"/>
      <c r="F32" s="24" cm="1" t="str">
        <f t="array" ref="F32">IF(E32="Show hint",Key!$B$44,"")</f>
        <v/>
      </c>
      <c r="G32" s="25" cm="1">
        <f t="array" ref="G32">IF(LEFT(D32,1)="✔",IF(E32="Show hint",5,10),0)</f>
        <v>0</v>
      </c>
    </row>
    <row r="33" spans="1:7" ht="35.5" customHeight="1">
      <c r="A33" s="18" t="s">
        <v>83</v>
      </c>
      <c r="B33" s="8" t="s">
        <v>224</v>
      </c>
      <c r="C33" s="21"/>
      <c r="D33" s="22" cm="1" t="str">
        <f t="array" ref="D33">IFERROR(_xlfn.LET(_xlpm.a,'S1-3 Lasso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F$45),"✔ CLEAR","✘ TRY AGAIN"))),"✘ TRY AGAIN")</f>
        <v/>
      </c>
      <c r="E33" s="23"/>
      <c r="F33" s="24" cm="1" t="str">
        <f t="array" ref="F33">IF(E33="Show hint",Key!$B$45,"")</f>
        <v/>
      </c>
      <c r="G33" s="25" cm="1">
        <f t="array" ref="G33">IF(LEFT(D33,1)="✔",IF(E33="Show hint",5,10),0)</f>
        <v>0</v>
      </c>
    </row>
    <row r="34" spans="1:7" ht="51.25" customHeight="1">
      <c r="A34" s="18" t="s">
        <v>86</v>
      </c>
      <c r="B34" s="8" t="s">
        <v>251</v>
      </c>
      <c r="C34" s="21"/>
      <c r="D34" s="22" cm="1" t="str">
        <f t="array" ref="D34">IFERROR(_xlfn.LET(_xlpm.a,'S1-3 Lasso'!$C$34,IF(TRIM(_xlpm.a&amp;"")="","",IF(ABS(IF(ISNUMBER(_xlpm.a),_xlpm.a,VALUE(_xlpm.a&amp;""))-Key!$C$46)&lt;=1E-9*MAX(1,ABS(Key!$C$46)),"✔ CLEAR","✘ TRY AGAIN"))),"✘ TRY AGAIN")</f>
        <v/>
      </c>
      <c r="E34" s="23"/>
      <c r="F34" s="24" cm="1" t="str">
        <f t="array" ref="F34">IF(E34="Show hint",Key!$B$46,"")</f>
        <v/>
      </c>
      <c r="G34" s="25" cm="1">
        <f t="array" ref="G34">IF(LEFT(D34,1)="✔",IF(E34="Show hint",5,10),0)</f>
        <v>0</v>
      </c>
    </row>
    <row r="35" spans="1:7" ht="51.25" customHeight="1">
      <c r="A35" s="18" t="s">
        <v>90</v>
      </c>
      <c r="B35" s="8" t="s">
        <v>254</v>
      </c>
      <c r="C35" s="21"/>
      <c r="D35" s="22" cm="1" t="str">
        <f t="array" ref="D35">IFERROR(_xlfn.LET(_xlpm.a,'S1-3 Lasso'!$C$35,IF(TRIM(_xlpm.a&amp;"")="","",IF(ABS(IF(ISNUMBER(_xlpm.a),_xlpm.a,VALUE(_xlpm.a&amp;""))-Key!$C$47)&lt;=1E-9*MAX(1,ABS(Key!$C$47)),"✔ CLEAR","✘ TRY AGAIN"))),"✘ TRY AGAIN")</f>
        <v/>
      </c>
      <c r="E35" s="23"/>
      <c r="F35" s="24" cm="1" t="str">
        <f t="array" ref="F35">IF(E35="Show hint",Key!$B$47,"")</f>
        <v/>
      </c>
      <c r="G35" s="25" cm="1">
        <f t="array" ref="G35">IF(LEFT(D35,1)="✔",IF(E35="Show hint",5,10),0)</f>
        <v>0</v>
      </c>
    </row>
    <row r="36" spans="1:7" ht="35.5" customHeight="1">
      <c r="A36" s="18" t="s">
        <v>94</v>
      </c>
      <c r="B36" s="8" t="s">
        <v>257</v>
      </c>
      <c r="C36" s="21"/>
      <c r="D36" s="22" cm="1" t="str">
        <f t="array" ref="D36">IFERROR(_xlfn.LET(_xlpm.a,'S1-3 Lasso'!$C$36,IF(TRIM(_xlpm.a&amp;"")="","",IF(ABS(IF(ISNUMBER(_xlpm.a),_xlpm.a,VALUE(_xlpm.a&amp;""))-Key!$C$48)&lt;=1E-9*MAX(1,ABS(Key!$C$48)),"✔ CLEAR","✘ TRY AGAIN"))),"✘ TRY AGAIN")</f>
        <v/>
      </c>
      <c r="E36" s="23"/>
      <c r="F36" s="24" cm="1" t="str">
        <f t="array" ref="F36">IF(E36="Show hint",Key!$B$48,"")</f>
        <v/>
      </c>
      <c r="G36" s="25" cm="1">
        <f t="array" ref="G36">IF(LEFT(D36,1)="✔",IF(E36="Show hint",5,10),0)</f>
        <v>0</v>
      </c>
    </row>
    <row r="37" spans="1:7" ht="35.5" customHeight="1">
      <c r="A37" s="18" t="s">
        <v>98</v>
      </c>
      <c r="B37" s="8" t="s">
        <v>260</v>
      </c>
      <c r="C37" s="21"/>
      <c r="D37" s="22" cm="1" t="str">
        <f t="array" ref="D37">IFERROR(_xlfn.LET(_xlpm.a,'S1-3 Lasso'!$C$37,IF(TRIM(_xlpm.a&amp;"")="","",IF(ABS(IF(ISNUMBER(_xlpm.a),_xlpm.a,VALUE(_xlpm.a&amp;""))-Key!$C$49)&lt;=1E-9*MAX(1,ABS(Key!$C$49)),"✔ CLEAR","✘ TRY AGAIN"))),"✘ TRY AGAIN")</f>
        <v/>
      </c>
      <c r="E37" s="23"/>
      <c r="F37" s="24" cm="1" t="str">
        <f t="array" ref="F37">IF(E37="Show hint",Key!$B$49,"")</f>
        <v/>
      </c>
      <c r="G37" s="25" cm="1">
        <f t="array" ref="G37">IF(LEFT(D37,1)="✔",IF(E37="Show hint",5,10),0)</f>
        <v>0</v>
      </c>
    </row>
  </sheetData>
  <sheetProtection sheet="1" objects="1" scenarios="1" formatColumns="0" formatRows="0"/>
  <conditionalFormatting sqref="D14:D37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34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2">
      <formula1>Key!$E$38:$H$38</formula1>
    </dataValidation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3">
      <formula1>Key!$E$39:$H$39</formula1>
    </dataValidation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4">
      <formula1>Key!$E$40:$H$40</formula1>
    </dataValidation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Key!$E$41:$H$41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0"/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what you found" prompt="Do the move in the arena, then type the word or number you found here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what you found" prompt="Do the move in the arena, then type the word or number you found here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what you found" prompt="Do the move in the arena, then type the word or number you found here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what you found" prompt="Do the move in the arena, then type the word or number you found here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</dataValidations>
  <hyperlinks>
    <hyperlink ref="B28" location="'S1-3 Arena'!A1" display="▶ Open S1-3 Arena (or press Ctrl+PgDn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05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8">
      <c r="A1" s="1" t="s">
        <v>174</v>
      </c>
    </row>
    <row r="2" spans="1:8">
      <c r="A2" s="3" t="s">
        <v>5</v>
      </c>
    </row>
    <row r="3" spans="1:8">
      <c r="A3" s="26" t="s">
        <v>6</v>
      </c>
      <c r="B3" s="27" t="s">
        <v>175</v>
      </c>
      <c r="D3" s="11" t="s">
        <v>176</v>
      </c>
    </row>
    <row r="5" spans="1:8">
      <c r="B5" s="28" t="s">
        <v>177</v>
      </c>
      <c r="D5" s="28" t="s">
        <v>178</v>
      </c>
      <c r="E5" s="28" t="s">
        <v>179</v>
      </c>
      <c r="F5" s="28" t="s">
        <v>180</v>
      </c>
      <c r="H5" s="28" t="s">
        <v>191</v>
      </c>
    </row>
    <row r="6" spans="1:8">
      <c r="B6" s="5">
        <v>8</v>
      </c>
      <c r="D6" s="5" t="s">
        <v>181</v>
      </c>
      <c r="E6" s="5">
        <v>4</v>
      </c>
      <c r="F6" s="5">
        <v>120</v>
      </c>
      <c r="H6" s="5" t="s">
        <v>192</v>
      </c>
    </row>
    <row r="7" spans="1:8">
      <c r="B7" s="5">
        <v>15</v>
      </c>
      <c r="D7" s="5" t="s">
        <v>182</v>
      </c>
      <c r="E7" s="5">
        <v>6</v>
      </c>
      <c r="F7" s="5">
        <v>95</v>
      </c>
      <c r="H7" s="5" t="s">
        <v>193</v>
      </c>
    </row>
    <row r="8" spans="1:8">
      <c r="B8" s="5">
        <v>22</v>
      </c>
      <c r="D8" s="5" t="s">
        <v>183</v>
      </c>
      <c r="E8" s="5">
        <v>3</v>
      </c>
      <c r="F8" s="5">
        <v>140</v>
      </c>
      <c r="H8" s="5" t="s">
        <v>194</v>
      </c>
    </row>
    <row r="9" spans="1:8">
      <c r="B9" s="5">
        <v>6</v>
      </c>
      <c r="D9" s="5" t="s">
        <v>184</v>
      </c>
      <c r="E9" s="5">
        <v>8</v>
      </c>
      <c r="F9" s="5">
        <v>210</v>
      </c>
      <c r="H9" s="5" t="s">
        <v>195</v>
      </c>
    </row>
    <row r="10" spans="1:8">
      <c r="B10" s="5">
        <v>13</v>
      </c>
      <c r="D10" s="5" t="s">
        <v>185</v>
      </c>
      <c r="E10" s="5">
        <v>2</v>
      </c>
      <c r="F10" s="5">
        <v>60</v>
      </c>
    </row>
    <row r="11" spans="1:8">
      <c r="B11" s="5">
        <v>20</v>
      </c>
      <c r="D11" s="5" t="s">
        <v>186</v>
      </c>
      <c r="E11" s="5">
        <v>5</v>
      </c>
      <c r="F11" s="5">
        <v>175</v>
      </c>
    </row>
    <row r="12" spans="1:8">
      <c r="B12" s="5">
        <v>4</v>
      </c>
      <c r="D12" s="5" t="s">
        <v>187</v>
      </c>
      <c r="E12" s="5">
        <v>7</v>
      </c>
      <c r="F12" s="5">
        <v>130</v>
      </c>
    </row>
    <row r="13" spans="1:8">
      <c r="B13" s="5">
        <v>11</v>
      </c>
      <c r="D13" s="5" t="s">
        <v>188</v>
      </c>
      <c r="E13" s="5">
        <v>4</v>
      </c>
      <c r="F13" s="5">
        <v>88</v>
      </c>
    </row>
    <row r="14" spans="1:8">
      <c r="B14" s="5">
        <v>18</v>
      </c>
      <c r="D14" s="5" t="s">
        <v>189</v>
      </c>
      <c r="E14" s="5">
        <v>1</v>
      </c>
      <c r="F14" s="5">
        <v>45</v>
      </c>
    </row>
    <row r="15" spans="1:8">
      <c r="B15" s="5">
        <v>2</v>
      </c>
      <c r="D15" s="5" t="s">
        <v>190</v>
      </c>
      <c r="E15" s="5">
        <v>6</v>
      </c>
      <c r="F15" s="5">
        <v>160</v>
      </c>
    </row>
    <row r="16" spans="1:8">
      <c r="B16" s="5">
        <v>9</v>
      </c>
    </row>
    <row r="17" spans="2:2">
      <c r="B17" s="5">
        <v>16</v>
      </c>
    </row>
    <row r="18" spans="2:2">
      <c r="B18" s="5">
        <v>23</v>
      </c>
    </row>
    <row r="19" spans="2:2">
      <c r="B19" s="5">
        <v>7</v>
      </c>
    </row>
    <row r="20" spans="2:2">
      <c r="B20" s="5">
        <v>14</v>
      </c>
    </row>
    <row r="21" spans="2:2">
      <c r="B21" s="5">
        <v>21</v>
      </c>
    </row>
    <row r="22" spans="2:2">
      <c r="B22" s="5">
        <v>5</v>
      </c>
    </row>
    <row r="23" spans="2:2">
      <c r="B23" s="5">
        <v>12</v>
      </c>
    </row>
    <row r="24" spans="2:2">
      <c r="B24" s="5">
        <v>19</v>
      </c>
    </row>
    <row r="25" spans="2:2">
      <c r="B25" s="5">
        <v>3</v>
      </c>
    </row>
    <row r="26" spans="2:2">
      <c r="B26" s="5">
        <v>10</v>
      </c>
    </row>
    <row r="27" spans="2:2">
      <c r="B27" s="5">
        <v>17</v>
      </c>
    </row>
    <row r="28" spans="2:2">
      <c r="B28" s="5">
        <v>1</v>
      </c>
    </row>
    <row r="29" spans="2:2">
      <c r="B29" s="5">
        <v>8</v>
      </c>
    </row>
    <row r="30" spans="2:2">
      <c r="B30" s="5">
        <v>15</v>
      </c>
    </row>
    <row r="31" spans="2:2">
      <c r="B31" s="5">
        <v>22</v>
      </c>
    </row>
    <row r="32" spans="2:2">
      <c r="B32" s="5">
        <v>6</v>
      </c>
    </row>
    <row r="33" spans="2:2">
      <c r="B33" s="5">
        <v>13</v>
      </c>
    </row>
    <row r="34" spans="2:2">
      <c r="B34" s="5">
        <v>20</v>
      </c>
    </row>
    <row r="35" spans="2:2">
      <c r="B35" s="5">
        <v>4</v>
      </c>
    </row>
    <row r="36" spans="2:2">
      <c r="B36" s="5">
        <v>11</v>
      </c>
    </row>
    <row r="37" spans="2:2">
      <c r="B37" s="5">
        <v>18</v>
      </c>
    </row>
    <row r="38" spans="2:2">
      <c r="B38" s="5">
        <v>2</v>
      </c>
    </row>
    <row r="39" spans="2:2">
      <c r="B39" s="5">
        <v>9</v>
      </c>
    </row>
    <row r="40" spans="2:2">
      <c r="B40" s="5">
        <v>16</v>
      </c>
    </row>
    <row r="41" spans="2:2">
      <c r="B41" s="5">
        <v>23</v>
      </c>
    </row>
    <row r="42" spans="2:2">
      <c r="B42" s="5">
        <v>7</v>
      </c>
    </row>
    <row r="43" spans="2:2">
      <c r="B43" s="5">
        <v>14</v>
      </c>
    </row>
    <row r="44" spans="2:2">
      <c r="B44" s="5">
        <v>21</v>
      </c>
    </row>
    <row r="45" spans="2:2">
      <c r="B45" s="5">
        <v>5</v>
      </c>
    </row>
    <row r="46" spans="2:2">
      <c r="B46" s="5">
        <v>12</v>
      </c>
    </row>
    <row r="47" spans="2:2">
      <c r="B47" s="5">
        <v>19</v>
      </c>
    </row>
    <row r="48" spans="2:2">
      <c r="B48" s="5">
        <v>3</v>
      </c>
    </row>
    <row r="49" spans="2:2">
      <c r="B49" s="5">
        <v>10</v>
      </c>
    </row>
    <row r="50" spans="2:2">
      <c r="B50" s="5">
        <v>17</v>
      </c>
    </row>
    <row r="51" spans="2:2">
      <c r="B51" s="5">
        <v>1</v>
      </c>
    </row>
    <row r="52" spans="2:2">
      <c r="B52" s="5">
        <v>8</v>
      </c>
    </row>
    <row r="53" spans="2:2">
      <c r="B53" s="5">
        <v>15</v>
      </c>
    </row>
    <row r="54" spans="2:2">
      <c r="B54" s="5">
        <v>22</v>
      </c>
    </row>
    <row r="55" spans="2:2">
      <c r="B55" s="5">
        <v>6</v>
      </c>
    </row>
    <row r="56" spans="2:2">
      <c r="B56" s="5">
        <v>13</v>
      </c>
    </row>
    <row r="57" spans="2:2">
      <c r="B57" s="5">
        <v>20</v>
      </c>
    </row>
    <row r="58" spans="2:2">
      <c r="B58" s="5">
        <v>4</v>
      </c>
    </row>
    <row r="59" spans="2:2">
      <c r="B59" s="5">
        <v>11</v>
      </c>
    </row>
    <row r="60" spans="2:2">
      <c r="B60" s="5">
        <v>18</v>
      </c>
    </row>
    <row r="61" spans="2:2">
      <c r="B61" s="5">
        <v>2</v>
      </c>
    </row>
    <row r="62" spans="2:2">
      <c r="B62" s="5">
        <v>9</v>
      </c>
    </row>
    <row r="63" spans="2:2">
      <c r="B63" s="5">
        <v>16</v>
      </c>
    </row>
    <row r="64" spans="2:2">
      <c r="B64" s="5">
        <v>23</v>
      </c>
    </row>
    <row r="65" spans="2:2">
      <c r="B65" s="5">
        <v>7</v>
      </c>
    </row>
    <row r="66" spans="2:2">
      <c r="B66" s="5">
        <v>14</v>
      </c>
    </row>
    <row r="67" spans="2:2">
      <c r="B67" s="5">
        <v>21</v>
      </c>
    </row>
    <row r="68" spans="2:2">
      <c r="B68" s="5">
        <v>5</v>
      </c>
    </row>
    <row r="69" spans="2:2">
      <c r="B69" s="5">
        <v>12</v>
      </c>
    </row>
    <row r="70" spans="2:2">
      <c r="B70" s="5">
        <v>19</v>
      </c>
    </row>
    <row r="71" spans="2:2">
      <c r="B71" s="5">
        <v>3</v>
      </c>
    </row>
    <row r="72" spans="2:2">
      <c r="B72" s="5">
        <v>10</v>
      </c>
    </row>
    <row r="73" spans="2:2">
      <c r="B73" s="5">
        <v>17</v>
      </c>
    </row>
    <row r="74" spans="2:2">
      <c r="B74" s="5">
        <v>1</v>
      </c>
    </row>
    <row r="75" spans="2:2">
      <c r="B75" s="5">
        <v>8</v>
      </c>
    </row>
    <row r="76" spans="2:2">
      <c r="B76" s="5">
        <v>15</v>
      </c>
    </row>
    <row r="77" spans="2:2">
      <c r="B77" s="5">
        <v>22</v>
      </c>
    </row>
    <row r="78" spans="2:2">
      <c r="B78" s="5">
        <v>6</v>
      </c>
    </row>
    <row r="79" spans="2:2">
      <c r="B79" s="5">
        <v>13</v>
      </c>
    </row>
    <row r="80" spans="2:2">
      <c r="B80" s="5">
        <v>20</v>
      </c>
    </row>
    <row r="81" spans="2:2">
      <c r="B81" s="5">
        <v>4</v>
      </c>
    </row>
    <row r="82" spans="2:2">
      <c r="B82" s="5">
        <v>11</v>
      </c>
    </row>
    <row r="83" spans="2:2">
      <c r="B83" s="5">
        <v>18</v>
      </c>
    </row>
    <row r="84" spans="2:2">
      <c r="B84" s="5">
        <v>2</v>
      </c>
    </row>
    <row r="85" spans="2:2">
      <c r="B85" s="5">
        <v>9</v>
      </c>
    </row>
    <row r="86" spans="2:2">
      <c r="B86" s="5">
        <v>16</v>
      </c>
    </row>
    <row r="87" spans="2:2">
      <c r="B87" s="5">
        <v>23</v>
      </c>
    </row>
    <row r="88" spans="2:2">
      <c r="B88" s="5">
        <v>7</v>
      </c>
    </row>
    <row r="89" spans="2:2">
      <c r="B89" s="5">
        <v>14</v>
      </c>
    </row>
    <row r="90" spans="2:2">
      <c r="B90" s="5">
        <v>21</v>
      </c>
    </row>
    <row r="91" spans="2:2">
      <c r="B91" s="5">
        <v>5</v>
      </c>
    </row>
    <row r="92" spans="2:2">
      <c r="B92" s="5">
        <v>12</v>
      </c>
    </row>
    <row r="93" spans="2:2">
      <c r="B93" s="5">
        <v>19</v>
      </c>
    </row>
    <row r="94" spans="2:2">
      <c r="B94" s="5">
        <v>3</v>
      </c>
    </row>
    <row r="95" spans="2:2">
      <c r="B95" s="5">
        <v>10</v>
      </c>
    </row>
    <row r="96" spans="2:2">
      <c r="B96" s="5">
        <v>17</v>
      </c>
    </row>
    <row r="97" spans="2:2">
      <c r="B97" s="5">
        <v>1</v>
      </c>
    </row>
    <row r="98" spans="2:2">
      <c r="B98" s="5">
        <v>8</v>
      </c>
    </row>
    <row r="99" spans="2:2">
      <c r="B99" s="5">
        <v>15</v>
      </c>
    </row>
    <row r="100" spans="2:2">
      <c r="B100" s="5">
        <v>22</v>
      </c>
    </row>
    <row r="101" spans="2:2">
      <c r="B101" s="5">
        <v>6</v>
      </c>
    </row>
    <row r="102" spans="2:2">
      <c r="B102" s="5">
        <v>13</v>
      </c>
    </row>
    <row r="103" spans="2:2">
      <c r="B103" s="5">
        <v>20</v>
      </c>
    </row>
    <row r="104" spans="2:2">
      <c r="B104" s="5">
        <v>4</v>
      </c>
    </row>
    <row r="105" spans="2:2">
      <c r="B105" s="5">
        <v>11</v>
      </c>
    </row>
    <row r="106" spans="2:2">
      <c r="B106" s="5">
        <v>18</v>
      </c>
    </row>
    <row r="107" spans="2:2">
      <c r="B107" s="5">
        <v>2</v>
      </c>
    </row>
    <row r="108" spans="2:2">
      <c r="B108" s="5">
        <v>9</v>
      </c>
    </row>
    <row r="109" spans="2:2">
      <c r="B109" s="5">
        <v>16</v>
      </c>
    </row>
    <row r="110" spans="2:2">
      <c r="B110" s="5">
        <v>23</v>
      </c>
    </row>
    <row r="111" spans="2:2">
      <c r="B111" s="5">
        <v>7</v>
      </c>
    </row>
    <row r="112" spans="2:2">
      <c r="B112" s="5">
        <v>14</v>
      </c>
    </row>
    <row r="113" spans="2:2">
      <c r="B113" s="5">
        <v>21</v>
      </c>
    </row>
    <row r="114" spans="2:2">
      <c r="B114" s="5">
        <v>5</v>
      </c>
    </row>
    <row r="115" spans="2:2">
      <c r="B115" s="5">
        <v>12</v>
      </c>
    </row>
    <row r="116" spans="2:2">
      <c r="B116" s="5">
        <v>19</v>
      </c>
    </row>
    <row r="117" spans="2:2">
      <c r="B117" s="5">
        <v>3</v>
      </c>
    </row>
    <row r="118" spans="2:2">
      <c r="B118" s="5">
        <v>10</v>
      </c>
    </row>
    <row r="119" spans="2:2">
      <c r="B119" s="5">
        <v>17</v>
      </c>
    </row>
    <row r="120" spans="2:2">
      <c r="B120" s="5">
        <v>1</v>
      </c>
    </row>
    <row r="121" spans="2:2">
      <c r="B121" s="5">
        <v>8</v>
      </c>
    </row>
    <row r="122" spans="2:2">
      <c r="B122" s="5">
        <v>15</v>
      </c>
    </row>
    <row r="123" spans="2:2">
      <c r="B123" s="5">
        <v>22</v>
      </c>
    </row>
    <row r="124" spans="2:2">
      <c r="B124" s="5">
        <v>6</v>
      </c>
    </row>
    <row r="125" spans="2:2">
      <c r="B125" s="5">
        <v>13</v>
      </c>
    </row>
    <row r="126" spans="2:2">
      <c r="B126" s="5">
        <v>20</v>
      </c>
    </row>
    <row r="127" spans="2:2">
      <c r="B127" s="5">
        <v>4</v>
      </c>
    </row>
    <row r="128" spans="2:2">
      <c r="B128" s="5">
        <v>11</v>
      </c>
    </row>
    <row r="129" spans="2:2">
      <c r="B129" s="5">
        <v>18</v>
      </c>
    </row>
    <row r="130" spans="2:2">
      <c r="B130" s="5">
        <v>2</v>
      </c>
    </row>
    <row r="131" spans="2:2">
      <c r="B131" s="5">
        <v>9</v>
      </c>
    </row>
    <row r="132" spans="2:2">
      <c r="B132" s="5">
        <v>16</v>
      </c>
    </row>
    <row r="133" spans="2:2">
      <c r="B133" s="5">
        <v>23</v>
      </c>
    </row>
    <row r="134" spans="2:2">
      <c r="B134" s="5">
        <v>7</v>
      </c>
    </row>
    <row r="135" spans="2:2">
      <c r="B135" s="5">
        <v>14</v>
      </c>
    </row>
    <row r="136" spans="2:2">
      <c r="B136" s="5">
        <v>21</v>
      </c>
    </row>
    <row r="137" spans="2:2">
      <c r="B137" s="5">
        <v>5</v>
      </c>
    </row>
    <row r="138" spans="2:2">
      <c r="B138" s="5">
        <v>12</v>
      </c>
    </row>
    <row r="139" spans="2:2">
      <c r="B139" s="5">
        <v>19</v>
      </c>
    </row>
    <row r="140" spans="2:2">
      <c r="B140" s="5">
        <v>3</v>
      </c>
    </row>
    <row r="141" spans="2:2">
      <c r="B141" s="5">
        <v>10</v>
      </c>
    </row>
    <row r="142" spans="2:2">
      <c r="B142" s="5">
        <v>17</v>
      </c>
    </row>
    <row r="143" spans="2:2">
      <c r="B143" s="5">
        <v>1</v>
      </c>
    </row>
    <row r="144" spans="2:2">
      <c r="B144" s="5">
        <v>8</v>
      </c>
    </row>
    <row r="145" spans="2:2">
      <c r="B145" s="5">
        <v>15</v>
      </c>
    </row>
    <row r="146" spans="2:2">
      <c r="B146" s="5">
        <v>22</v>
      </c>
    </row>
    <row r="147" spans="2:2">
      <c r="B147" s="5">
        <v>6</v>
      </c>
    </row>
    <row r="148" spans="2:2">
      <c r="B148" s="5">
        <v>13</v>
      </c>
    </row>
    <row r="149" spans="2:2">
      <c r="B149" s="5">
        <v>20</v>
      </c>
    </row>
    <row r="150" spans="2:2">
      <c r="B150" s="5">
        <v>4</v>
      </c>
    </row>
    <row r="151" spans="2:2">
      <c r="B151" s="5">
        <v>11</v>
      </c>
    </row>
    <row r="152" spans="2:2">
      <c r="B152" s="5">
        <v>18</v>
      </c>
    </row>
    <row r="153" spans="2:2">
      <c r="B153" s="5">
        <v>2</v>
      </c>
    </row>
    <row r="154" spans="2:2">
      <c r="B154" s="5">
        <v>9</v>
      </c>
    </row>
    <row r="155" spans="2:2">
      <c r="B155" s="5">
        <v>16</v>
      </c>
    </row>
    <row r="156" spans="2:2">
      <c r="B156" s="5">
        <v>23</v>
      </c>
    </row>
    <row r="157" spans="2:2">
      <c r="B157" s="5">
        <v>7</v>
      </c>
    </row>
    <row r="158" spans="2:2">
      <c r="B158" s="5">
        <v>14</v>
      </c>
    </row>
    <row r="159" spans="2:2">
      <c r="B159" s="5">
        <v>21</v>
      </c>
    </row>
    <row r="160" spans="2:2">
      <c r="B160" s="5">
        <v>5</v>
      </c>
    </row>
    <row r="161" spans="2:2">
      <c r="B161" s="5">
        <v>12</v>
      </c>
    </row>
    <row r="162" spans="2:2">
      <c r="B162" s="5">
        <v>19</v>
      </c>
    </row>
    <row r="163" spans="2:2">
      <c r="B163" s="5">
        <v>3</v>
      </c>
    </row>
    <row r="164" spans="2:2">
      <c r="B164" s="5">
        <v>10</v>
      </c>
    </row>
    <row r="165" spans="2:2">
      <c r="B165" s="5">
        <v>17</v>
      </c>
    </row>
    <row r="166" spans="2:2">
      <c r="B166" s="5">
        <v>1</v>
      </c>
    </row>
    <row r="167" spans="2:2">
      <c r="B167" s="5">
        <v>8</v>
      </c>
    </row>
    <row r="168" spans="2:2">
      <c r="B168" s="5">
        <v>15</v>
      </c>
    </row>
    <row r="169" spans="2:2">
      <c r="B169" s="5">
        <v>22</v>
      </c>
    </row>
    <row r="170" spans="2:2">
      <c r="B170" s="5">
        <v>6</v>
      </c>
    </row>
    <row r="171" spans="2:2">
      <c r="B171" s="5">
        <v>13</v>
      </c>
    </row>
    <row r="172" spans="2:2">
      <c r="B172" s="5">
        <v>20</v>
      </c>
    </row>
    <row r="173" spans="2:2">
      <c r="B173" s="5">
        <v>4</v>
      </c>
    </row>
    <row r="174" spans="2:2">
      <c r="B174" s="5">
        <v>11</v>
      </c>
    </row>
    <row r="175" spans="2:2">
      <c r="B175" s="5">
        <v>18</v>
      </c>
    </row>
    <row r="176" spans="2:2">
      <c r="B176" s="5">
        <v>2</v>
      </c>
    </row>
    <row r="177" spans="2:2">
      <c r="B177" s="5">
        <v>9</v>
      </c>
    </row>
    <row r="178" spans="2:2">
      <c r="B178" s="5">
        <v>16</v>
      </c>
    </row>
    <row r="179" spans="2:2">
      <c r="B179" s="5">
        <v>23</v>
      </c>
    </row>
    <row r="180" spans="2:2">
      <c r="B180" s="5">
        <v>7</v>
      </c>
    </row>
    <row r="181" spans="2:2">
      <c r="B181" s="5">
        <v>14</v>
      </c>
    </row>
    <row r="182" spans="2:2">
      <c r="B182" s="5">
        <v>21</v>
      </c>
    </row>
    <row r="183" spans="2:2">
      <c r="B183" s="5">
        <v>5</v>
      </c>
    </row>
    <row r="184" spans="2:2">
      <c r="B184" s="5">
        <v>12</v>
      </c>
    </row>
    <row r="185" spans="2:2">
      <c r="B185" s="5">
        <v>19</v>
      </c>
    </row>
    <row r="186" spans="2:2">
      <c r="B186" s="5">
        <v>3</v>
      </c>
    </row>
    <row r="187" spans="2:2">
      <c r="B187" s="5">
        <v>10</v>
      </c>
    </row>
    <row r="188" spans="2:2">
      <c r="B188" s="5">
        <v>17</v>
      </c>
    </row>
    <row r="189" spans="2:2">
      <c r="B189" s="5">
        <v>1</v>
      </c>
    </row>
    <row r="190" spans="2:2">
      <c r="B190" s="5">
        <v>8</v>
      </c>
    </row>
    <row r="191" spans="2:2">
      <c r="B191" s="5">
        <v>15</v>
      </c>
    </row>
    <row r="192" spans="2:2">
      <c r="B192" s="5">
        <v>22</v>
      </c>
    </row>
    <row r="193" spans="2:2">
      <c r="B193" s="5">
        <v>6</v>
      </c>
    </row>
    <row r="194" spans="2:2">
      <c r="B194" s="5">
        <v>13</v>
      </c>
    </row>
    <row r="195" spans="2:2">
      <c r="B195" s="5">
        <v>20</v>
      </c>
    </row>
    <row r="196" spans="2:2">
      <c r="B196" s="5">
        <v>4</v>
      </c>
    </row>
    <row r="197" spans="2:2">
      <c r="B197" s="5">
        <v>11</v>
      </c>
    </row>
    <row r="198" spans="2:2">
      <c r="B198" s="5">
        <v>18</v>
      </c>
    </row>
    <row r="199" spans="2:2">
      <c r="B199" s="5">
        <v>2</v>
      </c>
    </row>
    <row r="200" spans="2:2">
      <c r="B200" s="5">
        <v>9</v>
      </c>
    </row>
    <row r="201" spans="2:2">
      <c r="B201" s="5">
        <v>16</v>
      </c>
    </row>
    <row r="202" spans="2:2">
      <c r="B202" s="5">
        <v>23</v>
      </c>
    </row>
    <row r="203" spans="2:2">
      <c r="B203" s="5">
        <v>7</v>
      </c>
    </row>
    <row r="204" spans="2:2">
      <c r="B204" s="5">
        <v>14</v>
      </c>
    </row>
    <row r="205" spans="2:2">
      <c r="B205" s="5">
        <v>21</v>
      </c>
    </row>
  </sheetData>
  <hyperlinks>
    <hyperlink ref="D3" location="'S1-3 Lasso'!A1" display="◀ Back to S1-3 Lasso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3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327</v>
      </c>
      <c r="B1" s="2"/>
      <c r="C1" s="2"/>
      <c r="D1" s="2"/>
      <c r="E1" s="2"/>
      <c r="F1" s="2"/>
      <c r="G1" s="2"/>
    </row>
    <row r="2" spans="1:7">
      <c r="A2" s="3" t="s">
        <v>328</v>
      </c>
    </row>
    <row r="3" spans="1:7" ht="26" customHeight="1">
      <c r="A3" s="14" cm="1" t="str">
        <f t="array" ref="A3">"SCORE "&amp;TEXT(SUM($G$13:$G$32),"0000")&amp;" / 0130"</f>
        <v>SCORE 0000 / 0130</v>
      </c>
      <c r="C3" s="15" cm="1" t="str">
        <f t="array" ref="C3">IF(SUM($G$13:$G$32)&gt;=130,"★★★",IF(SUM($G$13:$G$32)&gt;=130*0.8,"★★☆",IF(SUM($G$13:$G$32)&gt;=130*0.5,"★☆☆","☆☆☆")))</f>
        <v>☆☆☆</v>
      </c>
      <c r="D3" s="16" cm="1" t="str">
        <f t="array" ref="D3">REPT("█",ROUND(10*SUM($G$13:$G$32)/130,0))&amp;REPT("░",10-ROUND(10*SUM($G$13:$G$32)/130,0))&amp;"  "&amp;TEXT(SUM($G$13:$G$32)/130,"0%")</f>
        <v>░░░░░░░░░░  0%</v>
      </c>
      <c r="F3" s="17" cm="1" t="str">
        <f t="array" ref="F3">IF(SUM($G$13:$G$32)&gt;=130*0.5,"STAGE CLEAR! ▶ Next: Boss","")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51.25" customHeight="1">
      <c r="A7" s="18" t="s">
        <v>22</v>
      </c>
      <c r="B7" s="8" t="s">
        <v>289</v>
      </c>
      <c r="C7" s="19" t="s">
        <v>44</v>
      </c>
    </row>
    <row r="8" spans="1:7" ht="51.25" customHeight="1">
      <c r="A8" s="18" t="s">
        <v>25</v>
      </c>
      <c r="B8" s="8" t="s">
        <v>290</v>
      </c>
      <c r="C8" s="19" t="s">
        <v>51</v>
      </c>
    </row>
    <row r="9" spans="1:7" ht="67" customHeight="1">
      <c r="A9" s="18" t="s">
        <v>28</v>
      </c>
      <c r="B9" s="8" t="s">
        <v>291</v>
      </c>
      <c r="C9" s="19" t="s">
        <v>217</v>
      </c>
    </row>
    <row r="11" spans="1:7" ht="22" customHeight="1">
      <c r="A11" s="4" t="s">
        <v>34</v>
      </c>
      <c r="B11" s="4"/>
      <c r="C11" s="4"/>
      <c r="D11" s="4"/>
      <c r="E11" s="4"/>
      <c r="F11" s="4"/>
      <c r="G11" s="4"/>
    </row>
    <row r="12" spans="1:7">
      <c r="A12" s="6" t="s">
        <v>19</v>
      </c>
      <c r="B12" s="6" t="s">
        <v>37</v>
      </c>
      <c r="C12" s="6" t="s">
        <v>38</v>
      </c>
      <c r="D12" s="6" t="s">
        <v>39</v>
      </c>
      <c r="E12" s="6" t="s">
        <v>40</v>
      </c>
      <c r="F12" s="6" t="s">
        <v>1</v>
      </c>
      <c r="G12" s="6" t="s">
        <v>41</v>
      </c>
    </row>
    <row r="13" spans="1:7" ht="35.5" customHeight="1">
      <c r="A13" s="18" t="s">
        <v>121</v>
      </c>
      <c r="B13" s="8" t="s">
        <v>293</v>
      </c>
      <c r="C13" s="21"/>
      <c r="D13" s="22" cm="1" t="str">
        <f t="array" ref="D13">IFERROR(_xlfn.LET(_xlpm.a,'S1-4 Grab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$50:$I$50),"✔ CLEAR","✘ TRY AGAIN"))),"✘ TRY AGAIN")</f>
        <v/>
      </c>
      <c r="E13" s="23"/>
      <c r="F13" s="24" cm="1" t="str">
        <f t="array" ref="F13">IF(E13="Show hint",Key!$B$50,"")</f>
        <v/>
      </c>
      <c r="G13" s="25" cm="1">
        <f t="array" ref="G13">IF(LEFT(D13,1)="✔",IF(E13="Show hint",5,10),0)</f>
        <v>0</v>
      </c>
    </row>
    <row r="14" spans="1:7" ht="35.5" customHeight="1">
      <c r="A14" s="18" t="s">
        <v>124</v>
      </c>
      <c r="B14" s="8" t="s">
        <v>295</v>
      </c>
      <c r="C14" s="21"/>
      <c r="D14" s="22" cm="1" t="str">
        <f t="array" ref="D14">IFERROR(_xlfn.LET(_xlpm.a,'S1-4 Grab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$51:$N$51),"✔ CLEAR","✘ TRY AGAIN"))),"✘ TRY AGAIN")</f>
        <v/>
      </c>
      <c r="E14" s="23"/>
      <c r="F14" s="24" cm="1" t="str">
        <f t="array" ref="F14">IF(E14="Show hint",Key!$B$51,"")</f>
        <v/>
      </c>
      <c r="G14" s="25" cm="1">
        <f t="array" ref="G14">IF(LEFT(D14,1)="✔",IF(E14="Show hint",5,10),0)</f>
        <v>0</v>
      </c>
    </row>
    <row r="15" spans="1:7" ht="35.5" customHeight="1">
      <c r="A15" s="18" t="s">
        <v>127</v>
      </c>
      <c r="B15" s="8" t="s">
        <v>297</v>
      </c>
      <c r="C15" s="21"/>
      <c r="D15" s="22" cm="1" t="str">
        <f t="array" ref="D15">IFERROR(_xlfn.LET(_xlpm.a,'S1-4 Grab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F$52),"✔ CLEAR","✘ TRY AGAIN"))),"✘ TRY AGAIN")</f>
        <v/>
      </c>
      <c r="E15" s="23"/>
      <c r="F15" s="24" cm="1" t="str">
        <f t="array" ref="F15">IF(E15="Show hint",Key!$B$52,"")</f>
        <v/>
      </c>
      <c r="G15" s="25" cm="1">
        <f t="array" ref="G15">IF(LEFT(D15,1)="✔",IF(E15="Show hint",5,10),0)</f>
        <v>0</v>
      </c>
    </row>
    <row r="16" spans="1:7" ht="35.5" customHeight="1">
      <c r="A16" s="18" t="s">
        <v>130</v>
      </c>
      <c r="B16" s="8" t="s">
        <v>299</v>
      </c>
      <c r="C16" s="21"/>
      <c r="D16" s="22" cm="1" t="str">
        <f t="array" ref="D16">IFERROR(_xlfn.LET(_xlpm.a,'S1-4 Grab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F$53),"✔ CLEAR","✘ TRY AGAIN"))),"✘ TRY AGAIN")</f>
        <v/>
      </c>
      <c r="E16" s="23"/>
      <c r="F16" s="24" cm="1" t="str">
        <f t="array" ref="F16">IF(E16="Show hint",Key!$B$53,"")</f>
        <v/>
      </c>
      <c r="G16" s="25" cm="1">
        <f t="array" ref="G16">IF(LEFT(D16,1)="✔",IF(E16="Show hint",5,10),0)</f>
        <v>0</v>
      </c>
    </row>
    <row r="18" spans="1:7" ht="22" customHeight="1">
      <c r="A18" s="4" t="s">
        <v>36</v>
      </c>
      <c r="B18" s="4"/>
      <c r="C18" s="4"/>
      <c r="D18" s="4"/>
      <c r="E18" s="4"/>
      <c r="F18" s="4"/>
      <c r="G18" s="4"/>
    </row>
    <row r="19" spans="1:7">
      <c r="A19" s="6" t="s">
        <v>19</v>
      </c>
      <c r="B19" s="6" t="s">
        <v>37</v>
      </c>
      <c r="C19" s="6" t="s">
        <v>38</v>
      </c>
      <c r="D19" s="6" t="s">
        <v>39</v>
      </c>
      <c r="E19" s="6" t="s">
        <v>40</v>
      </c>
      <c r="F19" s="6" t="s">
        <v>1</v>
      </c>
      <c r="G19" s="6" t="s">
        <v>41</v>
      </c>
    </row>
    <row r="20" spans="1:7" ht="19.75" customHeight="1">
      <c r="A20" s="18" t="s">
        <v>47</v>
      </c>
      <c r="B20" s="8" t="s">
        <v>302</v>
      </c>
      <c r="C20" s="21"/>
      <c r="D20" s="22" cm="1" t="str">
        <f t="array" ref="D20">IFERROR(IF('S1-4 Grab'!$C$20&amp;""="","",IF('S1-4 Grab'!$C$20&amp;""=Key!$C$54&amp;"","✔ CLEAR","✘ TRY AGAIN")),"✘ TRY AGAIN")</f>
        <v/>
      </c>
      <c r="E20" s="23"/>
      <c r="F20" s="24" cm="1" t="str">
        <f t="array" ref="F20">IF(E20="Show hint",Key!$B$54,"")</f>
        <v/>
      </c>
      <c r="G20" s="25" cm="1">
        <f t="array" ref="G20">IF(LEFT(D20,1)="✔",IF(E20="Show hint",5,10),0)</f>
        <v>0</v>
      </c>
    </row>
    <row r="21" spans="1:7" ht="19.75" customHeight="1">
      <c r="A21" s="18" t="s">
        <v>53</v>
      </c>
      <c r="B21" s="8" t="s">
        <v>305</v>
      </c>
      <c r="C21" s="21"/>
      <c r="D21" s="22" cm="1" t="str">
        <f t="array" ref="D21">IFERROR(IF('S1-4 Grab'!$C$21&amp;""="","",IF('S1-4 Grab'!$C$21&amp;""=Key!$C$55&amp;"","✔ CLEAR","✘ TRY AGAIN")),"✘ TRY AGAIN")</f>
        <v/>
      </c>
      <c r="E21" s="23"/>
      <c r="F21" s="24" cm="1" t="str">
        <f t="array" ref="F21">IF(E21="Show hint",Key!$B$55,"")</f>
        <v/>
      </c>
      <c r="G21" s="25" cm="1">
        <f t="array" ref="G21">IF(LEFT(D21,1)="✔",IF(E21="Show hint",5,10),0)</f>
        <v>0</v>
      </c>
    </row>
    <row r="22" spans="1:7" ht="35.5" customHeight="1">
      <c r="A22" s="18" t="s">
        <v>59</v>
      </c>
      <c r="B22" s="8" t="s">
        <v>308</v>
      </c>
      <c r="C22" s="21"/>
      <c r="D22" s="22" cm="1" t="str">
        <f t="array" ref="D22">IFERROR(IF('S1-4 Grab'!$C$22&amp;""="","",IF('S1-4 Grab'!$C$22&amp;""=Key!$C$56&amp;"","✔ CLEAR","✘ TRY AGAIN")),"✘ TRY AGAIN")</f>
        <v/>
      </c>
      <c r="E22" s="23"/>
      <c r="F22" s="24" cm="1" t="str">
        <f t="array" ref="F22">IF(E22="Show hint",Key!$B$56,"")</f>
        <v/>
      </c>
      <c r="G22" s="25" cm="1">
        <f t="array" ref="G22">IF(LEFT(D22,1)="✔",IF(E22="Show hint",5,10),0)</f>
        <v>0</v>
      </c>
    </row>
    <row r="24" spans="1:7" ht="22" customHeight="1">
      <c r="A24" s="4" t="s">
        <v>66</v>
      </c>
      <c r="B24" s="4"/>
      <c r="C24" s="4"/>
      <c r="D24" s="4"/>
      <c r="E24" s="4"/>
      <c r="F24" s="4"/>
      <c r="G24" s="4"/>
    </row>
    <row r="25" spans="1:7">
      <c r="B25" s="11" t="s">
        <v>309</v>
      </c>
    </row>
    <row r="26" spans="1:7">
      <c r="A26" s="6" t="s">
        <v>19</v>
      </c>
      <c r="B26" s="6" t="s">
        <v>37</v>
      </c>
      <c r="C26" s="6" t="s">
        <v>38</v>
      </c>
      <c r="D26" s="6" t="s">
        <v>39</v>
      </c>
      <c r="E26" s="6" t="s">
        <v>40</v>
      </c>
      <c r="F26" s="6" t="s">
        <v>1</v>
      </c>
      <c r="G26" s="6" t="s">
        <v>41</v>
      </c>
    </row>
    <row r="27" spans="1:7" ht="19.75" customHeight="1">
      <c r="A27" s="18" t="s">
        <v>74</v>
      </c>
      <c r="B27" s="8" t="s">
        <v>302</v>
      </c>
      <c r="C27" s="21"/>
      <c r="D27" s="22" cm="1" t="str">
        <f t="array" ref="D27">IFERROR(_xlfn.LET(_xlpm.a,'S1-4 Grab'!$C$27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E$57),"✔ CLEAR","✘ TRY AGAIN"))),"✘ TRY AGAIN")</f>
        <v/>
      </c>
      <c r="E27" s="23"/>
      <c r="F27" s="24" cm="1" t="str">
        <f t="array" ref="F27">IF(E27="Show hint",Key!$B$57,"")</f>
        <v/>
      </c>
      <c r="G27" s="25" cm="1">
        <f t="array" ref="G27">IF(LEFT(D27,1)="✔",IF(E27="Show hint",5,10),0)</f>
        <v>0</v>
      </c>
    </row>
    <row r="28" spans="1:7" ht="19.75" customHeight="1">
      <c r="A28" s="18" t="s">
        <v>77</v>
      </c>
      <c r="B28" s="8" t="s">
        <v>305</v>
      </c>
      <c r="C28" s="21"/>
      <c r="D28" s="22" cm="1" t="str">
        <f t="array" ref="D28">IFERROR(_xlfn.LET(_xlpm.a,'S1-4 Grab'!$C$28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E$58),"✔ CLEAR","✘ TRY AGAIN"))),"✘ TRY AGAIN")</f>
        <v/>
      </c>
      <c r="E28" s="23"/>
      <c r="F28" s="24" cm="1" t="str">
        <f t="array" ref="F28">IF(E28="Show hint",Key!$B$58,"")</f>
        <v/>
      </c>
      <c r="G28" s="25" cm="1">
        <f t="array" ref="G28">IF(LEFT(D28,1)="✔",IF(E28="Show hint",5,10),0)</f>
        <v>0</v>
      </c>
    </row>
    <row r="29" spans="1:7" ht="35.5" customHeight="1">
      <c r="A29" s="18" t="s">
        <v>80</v>
      </c>
      <c r="B29" s="8" t="s">
        <v>308</v>
      </c>
      <c r="C29" s="21"/>
      <c r="D29" s="22" cm="1" t="str">
        <f t="array" ref="D29">IFERROR(_xlfn.LET(_xlpm.a,'S1-4 Grab'!$C$29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G$59),"✔ CLEAR","✘ TRY AGAIN"))),"✘ TRY AGAIN")</f>
        <v/>
      </c>
      <c r="E29" s="23"/>
      <c r="F29" s="24" cm="1" t="str">
        <f t="array" ref="F29">IF(E29="Show hint",Key!$B$59,"")</f>
        <v/>
      </c>
      <c r="G29" s="25" cm="1">
        <f t="array" ref="G29">IF(LEFT(D29,1)="✔",IF(E29="Show hint",5,10),0)</f>
        <v>0</v>
      </c>
    </row>
    <row r="30" spans="1:7" ht="51.25" customHeight="1">
      <c r="A30" s="18" t="s">
        <v>83</v>
      </c>
      <c r="B30" s="8" t="s">
        <v>320</v>
      </c>
      <c r="C30" s="21"/>
      <c r="D30" s="22" cm="1" t="str">
        <f t="array" ref="D30">IFERROR(_xlfn.LET(_xlpm.a,'S1-4 Grab'!$C$30,IF(TRIM(_xlpm.a&amp;"")="","",IF(ABS(IF(ISNUMBER(_xlpm.a),_xlpm.a,VALUE(_xlpm.a&amp;""))-Key!$C$60)&lt;=1E-9*MAX(1,ABS(Key!$C$60)),"✔ CLEAR","✘ TRY AGAIN"))),"✘ TRY AGAIN")</f>
        <v/>
      </c>
      <c r="E30" s="23"/>
      <c r="F30" s="24" cm="1" t="str">
        <f t="array" ref="F30">IF(E30="Show hint",Key!$B$60,"")</f>
        <v/>
      </c>
      <c r="G30" s="25" cm="1">
        <f t="array" ref="G30">IF(LEFT(D30,1)="✔",IF(E30="Show hint",5,10),0)</f>
        <v>0</v>
      </c>
    </row>
    <row r="31" spans="1:7" ht="51.25" customHeight="1">
      <c r="A31" s="18" t="s">
        <v>86</v>
      </c>
      <c r="B31" s="8" t="s">
        <v>323</v>
      </c>
      <c r="C31" s="21"/>
      <c r="D31" s="22" cm="1" t="str">
        <f t="array" ref="D31">IFERROR(_xlfn.LET(_xlpm.a,'S1-4 Grab'!$C$31,IF(TRIM(_xlpm.a&amp;"")="","",IF(ABS(IF(ISNUMBER(_xlpm.a),_xlpm.a,VALUE(_xlpm.a&amp;""))-Key!$C$61)&lt;=1E-9*MAX(1,ABS(Key!$C$61)),"✔ CLEAR","✘ TRY AGAIN"))),"✘ TRY AGAIN")</f>
        <v/>
      </c>
      <c r="E31" s="23"/>
      <c r="F31" s="24" cm="1" t="str">
        <f t="array" ref="F31">IF(E31="Show hint",Key!$B$61,"")</f>
        <v/>
      </c>
      <c r="G31" s="25" cm="1">
        <f t="array" ref="G31">IF(LEFT(D31,1)="✔",IF(E31="Show hint",5,10),0)</f>
        <v>0</v>
      </c>
    </row>
    <row r="32" spans="1:7" ht="67" customHeight="1">
      <c r="A32" s="18" t="s">
        <v>90</v>
      </c>
      <c r="B32" s="8" t="s">
        <v>326</v>
      </c>
      <c r="C32" s="21"/>
      <c r="D32" s="22" cm="1" t="str">
        <f t="array" ref="D32">IFERROR(_xlfn.LET(_xlpm.a,'S1-4 Grab'!$C$32,IF(TRIM(_xlpm.a&amp;"")="","",IF(ABS(IF(ISNUMBER(_xlpm.a),_xlpm.a,VALUE(_xlpm.a&amp;""))-Key!$C$62)&lt;=1E-9*MAX(1,ABS(Key!$C$62)),"✔ CLEAR","✘ TRY AGAIN"))),"✘ TRY AGAIN")</f>
        <v/>
      </c>
      <c r="E32" s="23"/>
      <c r="F32" s="24" cm="1" t="str">
        <f t="array" ref="F32">IF(E32="Show hint",Key!$B$62,"")</f>
        <v/>
      </c>
      <c r="G32" s="25" cm="1">
        <f t="array" ref="G32">IF(LEFT(D32,1)="✔",IF(E32="Show hint",5,10),0)</f>
        <v>0</v>
      </c>
    </row>
  </sheetData>
  <sheetProtection sheet="1" objects="1" scenarios="1" formatColumns="0" formatRows="0"/>
  <conditionalFormatting sqref="D13:D32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2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0">
      <formula1>Key!$E$54:$H$54</formula1>
    </dataValidation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type="list" allowBlank="1" showInputMessage="1" showErrorMessage="1" promptTitle="Pick an answer" prompt="Press Alt+Down to open the list, choose with the arrow keys, then press Enter." sqref="C21">
      <formula1>Key!$E$55:$H$55</formula1>
    </dataValidation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2">
      <formula1>Key!$E$56:$H$56</formula1>
    </dataValidation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7"/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8"/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9"/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allowBlank="1" showInputMessage="1" showErrorMessage="1" promptTitle="Type what you found" prompt="Do the move in the arena, then type the word or number you found here." sqref="C30"/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what you found" prompt="Do the move in the arena, then type the word or number you found here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what you found" prompt="Do the move in the arena, then type the word or number you found here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</dataValidations>
  <hyperlinks>
    <hyperlink ref="B25" location="'S1-4 Arena'!A1" display="▶ Open S1-4 Arena (or press Ctrl+PgDn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K52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6">
      <c r="A1" s="1" t="s">
        <v>263</v>
      </c>
    </row>
    <row r="2" spans="1:6">
      <c r="A2" s="3" t="s">
        <v>5</v>
      </c>
    </row>
    <row r="3" spans="1:6">
      <c r="A3" s="26" t="s">
        <v>6</v>
      </c>
      <c r="B3" s="27" t="s">
        <v>264</v>
      </c>
      <c r="D3" s="11" t="s">
        <v>265</v>
      </c>
    </row>
    <row r="5" spans="1:6">
      <c r="F5" s="28" t="s">
        <v>266</v>
      </c>
    </row>
    <row r="6" spans="1:6">
      <c r="F6" s="5">
        <v>18</v>
      </c>
    </row>
    <row r="7" spans="1:6">
      <c r="F7" s="5">
        <v>31</v>
      </c>
    </row>
    <row r="8" spans="1:6">
      <c r="F8" s="5">
        <v>7</v>
      </c>
    </row>
    <row r="9" spans="1:6">
      <c r="F9" s="5">
        <v>20</v>
      </c>
    </row>
    <row r="10" spans="1:6">
      <c r="F10" s="5">
        <v>33</v>
      </c>
    </row>
    <row r="11" spans="1:6">
      <c r="F11" s="5">
        <v>9</v>
      </c>
    </row>
    <row r="12" spans="1:6">
      <c r="F12" s="5">
        <v>22</v>
      </c>
    </row>
    <row r="13" spans="1:6">
      <c r="F13" s="5">
        <v>35</v>
      </c>
    </row>
    <row r="14" spans="1:6">
      <c r="F14" s="5">
        <v>11</v>
      </c>
    </row>
    <row r="15" spans="1:6">
      <c r="F15" s="5">
        <v>24</v>
      </c>
    </row>
    <row r="16" spans="1:6">
      <c r="F16" s="5">
        <v>37</v>
      </c>
    </row>
    <row r="17" spans="2:11">
      <c r="F17" s="5">
        <v>13</v>
      </c>
    </row>
    <row r="18" spans="2:11">
      <c r="F18" s="5">
        <v>26</v>
      </c>
    </row>
    <row r="19" spans="2:11">
      <c r="F19" s="5">
        <v>39</v>
      </c>
    </row>
    <row r="20" spans="2:11">
      <c r="F20" s="5">
        <v>15</v>
      </c>
    </row>
    <row r="21" spans="2:11">
      <c r="F21" s="5">
        <v>28</v>
      </c>
    </row>
    <row r="22" spans="2:11">
      <c r="F22" s="5">
        <v>41</v>
      </c>
    </row>
    <row r="23" spans="2:11">
      <c r="F23" s="5">
        <v>17</v>
      </c>
    </row>
    <row r="24" spans="2:11">
      <c r="F24" s="5">
        <v>30</v>
      </c>
    </row>
    <row r="25" spans="2:11">
      <c r="F25" s="5">
        <v>6</v>
      </c>
    </row>
    <row r="30" spans="2:11">
      <c r="B30" s="7" t="s">
        <v>267</v>
      </c>
      <c r="C30" s="5">
        <v>7</v>
      </c>
      <c r="E30" s="5">
        <v>9</v>
      </c>
      <c r="G30" s="5" t="s">
        <v>268</v>
      </c>
      <c r="I30" s="5">
        <v>4</v>
      </c>
      <c r="K30" s="5" t="s">
        <v>269</v>
      </c>
    </row>
    <row r="38" spans="2:5">
      <c r="B38" s="7" t="s">
        <v>270</v>
      </c>
    </row>
    <row r="40" spans="2:5">
      <c r="B40" s="28" t="s">
        <v>271</v>
      </c>
      <c r="C40" s="28" t="s">
        <v>272</v>
      </c>
      <c r="D40" s="28" t="s">
        <v>273</v>
      </c>
      <c r="E40" s="28" t="s">
        <v>274</v>
      </c>
    </row>
    <row r="41" spans="2:5">
      <c r="B41" s="5" t="s">
        <v>275</v>
      </c>
      <c r="C41" s="5">
        <v>0</v>
      </c>
      <c r="D41" s="5" t="s">
        <v>276</v>
      </c>
      <c r="E41" s="5">
        <v>4223</v>
      </c>
    </row>
    <row r="42" spans="2:5">
      <c r="B42" s="5" t="s">
        <v>277</v>
      </c>
      <c r="C42" s="5">
        <v>0</v>
      </c>
      <c r="D42" s="5" t="s">
        <v>276</v>
      </c>
      <c r="E42" s="5">
        <v>2802</v>
      </c>
    </row>
    <row r="43" spans="2:5">
      <c r="B43" s="5" t="s">
        <v>278</v>
      </c>
      <c r="C43" s="5">
        <v>1</v>
      </c>
      <c r="D43" s="5" t="s">
        <v>276</v>
      </c>
      <c r="E43" s="5">
        <v>24</v>
      </c>
    </row>
    <row r="44" spans="2:5">
      <c r="B44" s="5" t="s">
        <v>279</v>
      </c>
      <c r="C44" s="5">
        <v>2</v>
      </c>
      <c r="D44" s="5" t="s">
        <v>276</v>
      </c>
      <c r="E44" s="5">
        <v>25</v>
      </c>
    </row>
    <row r="45" spans="2:5">
      <c r="B45" s="5" t="s">
        <v>280</v>
      </c>
      <c r="C45" s="5">
        <v>95</v>
      </c>
      <c r="D45" s="5" t="s">
        <v>281</v>
      </c>
      <c r="E45" s="5">
        <v>10</v>
      </c>
    </row>
    <row r="46" spans="2:5">
      <c r="B46" s="5" t="s">
        <v>282</v>
      </c>
      <c r="C46" s="5">
        <v>146</v>
      </c>
      <c r="D46" s="5" t="s">
        <v>281</v>
      </c>
      <c r="E46" s="5">
        <v>11</v>
      </c>
    </row>
    <row r="47" spans="2:5">
      <c r="B47" s="5" t="s">
        <v>283</v>
      </c>
      <c r="C47" s="5">
        <v>28</v>
      </c>
      <c r="D47" s="5" t="s">
        <v>281</v>
      </c>
      <c r="E47" s="5">
        <v>17</v>
      </c>
    </row>
    <row r="48" spans="2:5">
      <c r="B48" s="5" t="s">
        <v>284</v>
      </c>
      <c r="C48" s="5">
        <v>16</v>
      </c>
      <c r="D48" s="5" t="s">
        <v>281</v>
      </c>
      <c r="E48" s="5">
        <v>16</v>
      </c>
    </row>
    <row r="49" spans="2:5">
      <c r="B49" s="5" t="s">
        <v>285</v>
      </c>
      <c r="C49" s="5">
        <v>0</v>
      </c>
      <c r="D49" s="5" t="s">
        <v>276</v>
      </c>
      <c r="E49" s="5">
        <v>9</v>
      </c>
    </row>
    <row r="50" spans="2:5">
      <c r="B50" s="5" t="s">
        <v>286</v>
      </c>
      <c r="C50" s="5">
        <v>5</v>
      </c>
      <c r="D50" s="5" t="s">
        <v>276</v>
      </c>
      <c r="E50" s="5">
        <v>153</v>
      </c>
    </row>
    <row r="51" spans="2:5">
      <c r="B51" s="5" t="s">
        <v>287</v>
      </c>
      <c r="C51" s="5">
        <v>2</v>
      </c>
      <c r="D51" s="5" t="s">
        <v>281</v>
      </c>
      <c r="E51" s="5">
        <v>4</v>
      </c>
    </row>
    <row r="52" spans="2:5">
      <c r="B52" s="5" t="s">
        <v>288</v>
      </c>
      <c r="C52" s="5">
        <v>1</v>
      </c>
      <c r="D52" s="5" t="s">
        <v>276</v>
      </c>
      <c r="E52" s="5">
        <v>26</v>
      </c>
    </row>
  </sheetData>
  <hyperlinks>
    <hyperlink ref="D3" location="'S1-4 Grab'!A1" display="◀ Back to S1-4 Grab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413</v>
      </c>
      <c r="B1" s="2"/>
      <c r="C1" s="2"/>
      <c r="D1" s="2"/>
      <c r="E1" s="2"/>
      <c r="F1" s="2"/>
      <c r="G1" s="2"/>
    </row>
    <row r="2" spans="1:7">
      <c r="A2" s="3" t="s">
        <v>414</v>
      </c>
    </row>
    <row r="3" spans="1:7" ht="26" customHeight="1">
      <c r="A3" s="14" cm="1" t="str">
        <f t="array" ref="A3">"SCORE "&amp;TEXT(SUM($G$14:$G$34),"0000")&amp;" / 0170"</f>
        <v>SCORE 0000 / 0170</v>
      </c>
      <c r="C3" s="15" cm="1" t="str">
        <f t="array" ref="C3">IF(SUM($G$14:$G$34)&gt;=170,"★★★",IF(SUM($G$14:$G$34)&gt;=170*0.8,"★★☆",IF(SUM($G$14:$G$34)&gt;=170*0.5,"★☆☆","☆☆☆")))</f>
        <v>☆☆☆</v>
      </c>
      <c r="D3" s="16" cm="1" t="str">
        <f t="array" ref="D3">REPT("█",ROUND(10*SUM($G$14:$G$34)/170,0))&amp;REPT("░",10-ROUND(10*SUM($G$14:$G$34)/170,0))&amp;"  "&amp;TEXT(SUM($G$14:$G$34)/170,"0%")</f>
        <v>░░░░░░░░░░  0%</v>
      </c>
    </row>
    <row r="5" spans="1:7" ht="22" customHeight="1">
      <c r="A5" s="4" t="s">
        <v>363</v>
      </c>
      <c r="B5" s="4"/>
      <c r="C5" s="4"/>
      <c r="D5" s="4"/>
      <c r="E5" s="4"/>
      <c r="F5" s="4"/>
      <c r="G5" s="4"/>
    </row>
    <row r="6" spans="1:7">
      <c r="B6" s="7" t="s">
        <v>364</v>
      </c>
      <c r="C6" s="29"/>
    </row>
    <row r="7" spans="1:7">
      <c r="B7" s="7" t="s">
        <v>365</v>
      </c>
      <c r="C7" s="29"/>
    </row>
    <row r="8" spans="1:7">
      <c r="B8" s="7" t="s">
        <v>366</v>
      </c>
      <c r="C8" s="30" cm="1" t="str">
        <f t="array" ref="C8">IF(OR(C6="",C7=""),"",ROUND(MOD(C7-C6,1)*1440,0))</f>
        <v/>
      </c>
    </row>
    <row r="9" spans="1:7">
      <c r="B9" s="7" t="s">
        <v>367</v>
      </c>
      <c r="C9" s="30">
        <v>10</v>
      </c>
    </row>
    <row r="10" spans="1:7">
      <c r="B10" s="7" t="s">
        <v>368</v>
      </c>
      <c r="C10" s="12" cm="1" t="str">
        <f t="array" ref="C10">IF(AND(SUM('S1-1 Warp Zones'!$G$17:$G$33)&gt;=130*0.5,SUM('S1-2 Teleport'!$G$15:$G$39)&gt;=180*0.5,SUM('S1-3 Lasso'!$G$14:$G$37)&gt;=170*0.5,SUM('S1-4 Grab'!$G$13:$G$32)&gt;=130*0.5),"OPEN","LOCKED")</f>
        <v>LOCKED</v>
      </c>
      <c r="D10" s="31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369</v>
      </c>
      <c r="B12" s="4"/>
      <c r="C12" s="4"/>
      <c r="D12" s="4"/>
      <c r="E12" s="4"/>
      <c r="F12" s="4"/>
      <c r="G12" s="4"/>
    </row>
    <row r="13" spans="1:7">
      <c r="A13" s="6" t="s">
        <v>19</v>
      </c>
      <c r="B13" s="6" t="s">
        <v>37</v>
      </c>
      <c r="C13" s="6" t="s">
        <v>38</v>
      </c>
      <c r="D13" s="6" t="s">
        <v>39</v>
      </c>
      <c r="E13" s="6" t="s">
        <v>40</v>
      </c>
      <c r="F13" s="6" t="s">
        <v>1</v>
      </c>
      <c r="G13" s="6" t="s">
        <v>41</v>
      </c>
    </row>
    <row r="14" spans="1:7" ht="35.5" customHeight="1">
      <c r="A14" s="18" t="s">
        <v>371</v>
      </c>
      <c r="B14" s="31" cm="1" t="str">
        <f t="array" ref="B14">IF($C$10="OPEN","Which keys select the entire row?  (from S1-4 Grab)","LOCKED · earn ★ on every stage to open the Boss gate")</f>
        <v>LOCKED · earn ★ on every stage to open the Boss gate</v>
      </c>
      <c r="C14" s="21"/>
      <c r="D14" s="22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$63:$E$63),"✔ CLEAR","✘ TRY AGAIN"))),"✘ TRY AGAIN"),"LOCKED")</f>
        <v>LOCKED</v>
      </c>
      <c r="E14" s="23"/>
      <c r="F14" s="24" cm="1" t="str">
        <f t="array" ref="F14">IF(E14="Show hint",Key!$B$63,"")</f>
        <v/>
      </c>
      <c r="G14" s="25" cm="1">
        <f t="array" ref="G14">IF(LEFT(D14,1)="✔",IF(E14="Show hint",5,10),0)</f>
        <v>0</v>
      </c>
    </row>
    <row r="15" spans="1:7" ht="35.5" customHeight="1">
      <c r="A15" s="18" t="s">
        <v>373</v>
      </c>
      <c r="B15" s="31" cm="1" t="str">
        <f t="array" ref="B15">IF($C$10="OPEN","Which keys select the entire column?  (from S1-4 Grab)","LOCKED · earn ★ on every stage to open the Boss gate")</f>
        <v>LOCKED · earn ★ on every stage to open the Boss gate</v>
      </c>
      <c r="C15" s="21"/>
      <c r="D15" s="22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$64:$E$64),"✔ CLEAR","✘ TRY AGAIN"))),"✘ TRY AGAIN"),"LOCKED")</f>
        <v>LOCKED</v>
      </c>
      <c r="E15" s="23"/>
      <c r="F15" s="24" cm="1" t="str">
        <f t="array" ref="F15">IF(E15="Show hint",Key!$B$64,"")</f>
        <v/>
      </c>
      <c r="G15" s="25" cm="1">
        <f t="array" ref="G15">IF(LEFT(D15,1)="✔",IF(E15="Show hint",5,10),0)</f>
        <v>0</v>
      </c>
    </row>
    <row r="16" spans="1:7" ht="51.25" customHeight="1">
      <c r="A16" s="18" t="s">
        <v>375</v>
      </c>
      <c r="B16" s="31" cm="1" t="str">
        <f t="array" ref="B16">IF($C$10="OPEN","Which keys select the current data block (and the whole sheet if you keep pressing)?  (from S1-4 Grab)","LOCKED · earn ★ on every stage to open the Boss gate")</f>
        <v>LOCKED · earn ★ on every stage to open the Boss gate</v>
      </c>
      <c r="C16" s="21"/>
      <c r="D16" s="22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G$65),"✔ CLEAR","✘ TRY AGAIN"))),"✘ TRY AGAIN"),"LOCKED")</f>
        <v>LOCKED</v>
      </c>
      <c r="E16" s="23"/>
      <c r="F16" s="24" cm="1" t="str">
        <f t="array" ref="F16">IF(E16="Show hint",Key!$B$65,"")</f>
        <v/>
      </c>
      <c r="G16" s="25" cm="1">
        <f t="array" ref="G16">IF(LEFT(D16,1)="✔",IF(E16="Show hint",5,10),0)</f>
        <v>0</v>
      </c>
    </row>
    <row r="17" spans="1:7" ht="35.5" customHeight="1">
      <c r="A17" s="18" t="s">
        <v>377</v>
      </c>
      <c r="B17" s="31" cm="1" t="str">
        <f t="array" ref="B17">IF($C$10="OPEN","Which keys jump to the edge of the current data block (any direction)?  (from S1-1 Warp Zones)","LOCKED · earn ★ on every stage to open the Boss gate")</f>
        <v>LOCKED · earn ★ on every stage to open the Boss gate</v>
      </c>
      <c r="C17" s="21"/>
      <c r="D17" s="22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I$66),"✔ CLEAR","✘ TRY AGAIN"))),"✘ TRY AGAIN"),"LOCKED")</f>
        <v>LOCKED</v>
      </c>
      <c r="E17" s="23"/>
      <c r="F17" s="24" cm="1" t="str">
        <f t="array" ref="F17">IF(E17="Show hint",Key!$B$66,"")</f>
        <v/>
      </c>
      <c r="G17" s="25" cm="1">
        <f t="array" ref="G17">IF(LEFT(D17,1)="✔",IF(E17="Show hint",5,10),0)</f>
        <v>0</v>
      </c>
    </row>
    <row r="18" spans="1:7" ht="35.5" customHeight="1">
      <c r="A18" s="18" t="s">
        <v>151</v>
      </c>
      <c r="B18" s="31" cm="1" t="str">
        <f t="array" ref="B18">IF($C$10="OPEN","Which keys take you to the very first cell of the sheet (A1)?  (from S1-1 Warp Zones)","LOCKED · earn ★ on every stage to open the Boss gate")</f>
        <v>LOCKED · earn ★ on every stage to open the Boss gate</v>
      </c>
      <c r="C18" s="21"/>
      <c r="D18" s="22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E$67),"✔ CLEAR","✘ TRY AGAIN"))),"✘ TRY AGAIN"),"LOCKED")</f>
        <v>LOCKED</v>
      </c>
      <c r="E18" s="23"/>
      <c r="F18" s="24" cm="1" t="str">
        <f t="array" ref="F18">IF(E18="Show hint",Key!$B$67,"")</f>
        <v/>
      </c>
      <c r="G18" s="25" cm="1">
        <f t="array" ref="G18">IF(LEFT(D18,1)="✔",IF(E18="Show hint",5,10),0)</f>
        <v>0</v>
      </c>
    </row>
    <row r="19" spans="1:7" ht="35.5" customHeight="1">
      <c r="A19" s="18" t="s">
        <v>380</v>
      </c>
      <c r="B19" s="31" cm="1" t="str">
        <f t="array" ref="B19">IF($C$10="OPEN","Which keys jump to the last used cell on the sheet?  (from S1-1 Warp Zones)","LOCKED · earn ★ on every stage to open the Boss gate")</f>
        <v>LOCKED · earn ★ on every stage to open the Boss gate</v>
      </c>
      <c r="C19" s="21"/>
      <c r="D19" s="22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E$68),"✔ CLEAR","✘ TRY AGAIN"))),"✘ TRY AGAIN"),"LOCKED")</f>
        <v>LOCKED</v>
      </c>
      <c r="E19" s="23"/>
      <c r="F19" s="24" cm="1" t="str">
        <f t="array" ref="F19">IF(E19="Show hint",Key!$B$68,"")</f>
        <v/>
      </c>
      <c r="G19" s="25" cm="1">
        <f t="array" ref="G19">IF(LEFT(D19,1)="✔",IF(E19="Show hint",5,10),0)</f>
        <v>0</v>
      </c>
    </row>
    <row r="20" spans="1:7" ht="35.5" customHeight="1">
      <c r="A20" s="18" t="s">
        <v>382</v>
      </c>
      <c r="B20" s="31" cm="1" t="str">
        <f t="array" ref="B20">IF($C$10="OPEN","Which single key moves to column A of the current row?  (from S1-1 Warp Zones)","LOCKED · earn ★ on every stage to open the Boss gate")</f>
        <v>LOCKED · earn ★ on every stage to open the Boss gate</v>
      </c>
      <c r="C20" s="21"/>
      <c r="D20" s="22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$69:$E$69),"✔ CLEAR","✘ TRY AGAIN"))),"✘ TRY AGAIN"),"LOCKED")</f>
        <v>LOCKED</v>
      </c>
      <c r="E20" s="23"/>
      <c r="F20" s="24" cm="1" t="str">
        <f t="array" ref="F20">IF(E20="Show hint",Key!$B$69,"")</f>
        <v/>
      </c>
      <c r="G20" s="25" cm="1">
        <f t="array" ref="G20">IF(LEFT(D20,1)="✔",IF(E20="Show hint",5,10),0)</f>
        <v>0</v>
      </c>
    </row>
    <row r="22" spans="1:7" ht="22" customHeight="1">
      <c r="A22" s="4" t="s">
        <v>383</v>
      </c>
      <c r="B22" s="4"/>
      <c r="C22" s="4"/>
      <c r="D22" s="4"/>
      <c r="E22" s="4"/>
      <c r="F22" s="4"/>
      <c r="G22" s="4"/>
    </row>
    <row r="23" spans="1:7">
      <c r="B23" s="11" t="s">
        <v>384</v>
      </c>
    </row>
    <row r="24" spans="1:7">
      <c r="A24" s="6" t="s">
        <v>19</v>
      </c>
      <c r="B24" s="6" t="s">
        <v>37</v>
      </c>
      <c r="C24" s="6" t="s">
        <v>38</v>
      </c>
      <c r="D24" s="6" t="s">
        <v>39</v>
      </c>
      <c r="E24" s="6" t="s">
        <v>40</v>
      </c>
      <c r="F24" s="6" t="s">
        <v>1</v>
      </c>
      <c r="G24" s="6" t="s">
        <v>41</v>
      </c>
    </row>
    <row r="25" spans="1:7" ht="35.5" customHeight="1">
      <c r="A25" s="18" t="s">
        <v>387</v>
      </c>
      <c r="B25" s="31" cm="1" t="str">
        <f t="array" ref="B25">IF($C$10="OPEN","In the Boss Arena, click B6 and press Ctrl+↓. Type the word at the end of the long trail.","LOCKED · earn ★ on every stage to open the Boss gate")</f>
        <v>LOCKED · earn ★ on every stage to open the Boss gate</v>
      </c>
      <c r="C25" s="21"/>
      <c r="D25" s="22" cm="1" t="str">
        <f t="array" ref="D25">IF($C$10="OPEN",IFERROR(_xlfn.LET(_xlpm.a,Boss!$C$25,IF(TRIM(_xlpm.a&amp;"")="","",IF(SUBSTITUTE(SUBSTITUTE(UPPER(_xlpm.a&amp;"")," ",""),"$","")=Key!$C$70,"✔ CLEAR","✘ TRY AGAIN"))),"✘ TRY AGAIN"),"LOCKED")</f>
        <v>LOCKED</v>
      </c>
      <c r="E25" s="23"/>
      <c r="F25" s="24" cm="1" t="str">
        <f t="array" ref="F25">IF(E25="Show hint",Key!$B$70,"")</f>
        <v/>
      </c>
      <c r="G25" s="25" cm="1">
        <f t="array" ref="G25">IF(LEFT(D25,1)="✔",IF(E25="Show hint",5,10),0)</f>
        <v>0</v>
      </c>
    </row>
    <row r="26" spans="1:7" ht="35.5" customHeight="1">
      <c r="A26" s="18" t="s">
        <v>390</v>
      </c>
      <c r="B26" s="31" cm="1" t="str">
        <f t="array" ref="B26">IF($C$10="OPEN","Click D6 and keep pressing Ctrl+↓ across the gaps. Type the word you reach.","LOCKED · earn ★ on every stage to open the Boss gate")</f>
        <v>LOCKED · earn ★ on every stage to open the Boss gate</v>
      </c>
      <c r="C26" s="21"/>
      <c r="D26" s="22" cm="1" t="str">
        <f t="array" ref="D26">IF($C$10="OPEN",IFERROR(_xlfn.LET(_xlpm.a,Boss!$C$26,IF(TRIM(_xlpm.a&amp;"")="","",IF(SUBSTITUTE(SUBSTITUTE(UPPER(_xlpm.a&amp;"")," ",""),"$","")=Key!$C$71,"✔ CLEAR","✘ TRY AGAIN"))),"✘ TRY AGAIN"),"LOCKED")</f>
        <v>LOCKED</v>
      </c>
      <c r="E26" s="23"/>
      <c r="F26" s="24" cm="1" t="str">
        <f t="array" ref="F26">IF(E26="Show hint",Key!$B$71,"")</f>
        <v/>
      </c>
      <c r="G26" s="25" cm="1">
        <f t="array" ref="G26">IF(LEFT(D26,1)="✔",IF(E26="Show hint",5,10),0)</f>
        <v>0</v>
      </c>
    </row>
    <row r="27" spans="1:7" ht="35.5" customHeight="1">
      <c r="A27" s="18" t="s">
        <v>393</v>
      </c>
      <c r="B27" s="31" cm="1" t="str">
        <f t="array" ref="B27">IF($C$10="OPEN","Press F5, go to J1200, then press Ctrl+→. Type the word you land on.","LOCKED · earn ★ on every stage to open the Boss gate")</f>
        <v>LOCKED · earn ★ on every stage to open the Boss gate</v>
      </c>
      <c r="C27" s="21"/>
      <c r="D27" s="22" cm="1" t="str">
        <f t="array" ref="D27">IF($C$10="OPEN",IFERROR(_xlfn.LET(_xlpm.a,Boss!$C$27,IF(TRIM(_xlpm.a&amp;"")="","",IF(SUBSTITUTE(SUBSTITUTE(UPPER(_xlpm.a&amp;"")," ",""),"$","")=Key!$C$72,"✔ CLEAR","✘ TRY AGAIN"))),"✘ TRY AGAIN"),"LOCKED")</f>
        <v>LOCKED</v>
      </c>
      <c r="E27" s="23"/>
      <c r="F27" s="24" cm="1" t="str">
        <f t="array" ref="F27">IF(E27="Show hint",Key!$B$72,"")</f>
        <v/>
      </c>
      <c r="G27" s="25" cm="1">
        <f t="array" ref="G27">IF(LEFT(D27,1)="✔",IF(E27="Show hint",5,10),0)</f>
        <v>0</v>
      </c>
    </row>
    <row r="28" spans="1:7" ht="35.5" customHeight="1">
      <c r="A28" s="18" t="s">
        <v>396</v>
      </c>
      <c r="B28" s="31" cm="1" t="str">
        <f t="array" ref="B28">IF($C$10="OPEN","Press Ctrl+End. Type the word in the last used cell.","LOCKED · earn ★ on every stage to open the Boss gate")</f>
        <v>LOCKED · earn ★ on every stage to open the Boss gate</v>
      </c>
      <c r="C28" s="21"/>
      <c r="D28" s="22" cm="1" t="str">
        <f t="array" ref="D28">IF($C$10="OPEN",IFERROR(_xlfn.LET(_xlpm.a,Boss!$C$28,IF(TRIM(_xlpm.a&amp;"")="","",IF(SUBSTITUTE(SUBSTITUTE(UPPER(_xlpm.a&amp;"")," ",""),"$","")=Key!$C$73,"✔ CLEAR","✘ TRY AGAIN"))),"✘ TRY AGAIN"),"LOCKED")</f>
        <v>LOCKED</v>
      </c>
      <c r="E28" s="23"/>
      <c r="F28" s="24" cm="1" t="str">
        <f t="array" ref="F28">IF(E28="Show hint",Key!$B$73,"")</f>
        <v/>
      </c>
      <c r="G28" s="25" cm="1">
        <f t="array" ref="G28">IF(LEFT(D28,1)="✔",IF(E28="Show hint",5,10),0)</f>
        <v>0</v>
      </c>
    </row>
    <row r="29" spans="1:7" ht="35.5" customHeight="1">
      <c r="A29" s="18" t="s">
        <v>399</v>
      </c>
      <c r="B29" s="31" cm="1" t="str">
        <f t="array" ref="B29">IF($C$10="OPEN","Press F5 (or Ctrl+G) and go to Q900. Type the word there.","LOCKED · earn ★ on every stage to open the Boss gate")</f>
        <v>LOCKED · earn ★ on every stage to open the Boss gate</v>
      </c>
      <c r="C29" s="21"/>
      <c r="D29" s="22" cm="1" t="str">
        <f t="array" ref="D29">IF($C$10="OPEN",IFERROR(_xlfn.LET(_xlpm.a,Boss!$C$29,IF(TRIM(_xlpm.a&amp;"")="","",IF(SUBSTITUTE(SUBSTITUTE(UPPER(_xlpm.a&amp;"")," ",""),"$","")=Key!$C$74,"✔ CLEAR","✘ TRY AGAIN"))),"✘ TRY AGAIN"),"LOCKED")</f>
        <v>LOCKED</v>
      </c>
      <c r="E29" s="23"/>
      <c r="F29" s="24" cm="1" t="str">
        <f t="array" ref="F29">IF(E29="Show hint",Key!$B$74,"")</f>
        <v/>
      </c>
      <c r="G29" s="25" cm="1">
        <f t="array" ref="G29">IF(LEFT(D29,1)="✔",IF(E29="Show hint",5,10),0)</f>
        <v>0</v>
      </c>
    </row>
    <row r="30" spans="1:7" ht="35.5" customHeight="1">
      <c r="A30" s="18" t="s">
        <v>402</v>
      </c>
      <c r="B30" s="31" cm="1" t="str">
        <f t="array" ref="B30">IF($C$10="OPEN","Click F6 and press Ctrl+Shift+↓ to select all ENERGY values. Type the status-bar Sum.","LOCKED · earn ★ on every stage to open the Boss gate")</f>
        <v>LOCKED · earn ★ on every stage to open the Boss gate</v>
      </c>
      <c r="C30" s="21"/>
      <c r="D30" s="22" cm="1" t="str">
        <f t="array" ref="D30">IF($C$10="OPEN",IFERROR(_xlfn.LET(_xlpm.a,Boss!$C$30,IF(TRIM(_xlpm.a&amp;"")="","",IF(ABS(IF(ISNUMBER(_xlpm.a),_xlpm.a,VALUE(_xlpm.a&amp;""))-Key!$C$75)&lt;=1E-9*MAX(1,ABS(Key!$C$75)),"✔ CLEAR","✘ TRY AGAIN"))),"✘ TRY AGAIN"),"LOCKED")</f>
        <v>LOCKED</v>
      </c>
      <c r="E30" s="23"/>
      <c r="F30" s="24" cm="1" t="str">
        <f t="array" ref="F30">IF(E30="Show hint",Key!$B$75,"")</f>
        <v/>
      </c>
      <c r="G30" s="25" cm="1">
        <f t="array" ref="G30">IF(LEFT(D30,1)="✔",IF(E30="Show hint",5,10),0)</f>
        <v>0</v>
      </c>
    </row>
    <row r="31" spans="1:7" ht="35.5" customHeight="1">
      <c r="A31" s="18" t="s">
        <v>404</v>
      </c>
      <c r="B31" s="31" cm="1" t="str">
        <f t="array" ref="B31">IF($C$10="OPEN","Click any cell in column H and press Ctrl+Space. Type the status-bar Sum.","LOCKED · earn ★ on every stage to open the Boss gate")</f>
        <v>LOCKED · earn ★ on every stage to open the Boss gate</v>
      </c>
      <c r="C31" s="21"/>
      <c r="D31" s="22" cm="1" t="str">
        <f t="array" ref="D31">IF($C$10="OPEN",IFERROR(_xlfn.LET(_xlpm.a,Boss!$C$31,IF(TRIM(_xlpm.a&amp;"")="","",IF(ABS(IF(ISNUMBER(_xlpm.a),_xlpm.a,VALUE(_xlpm.a&amp;""))-Key!$C$76)&lt;=1E-9*MAX(1,ABS(Key!$C$76)),"✔ CLEAR","✘ TRY AGAIN"))),"✘ TRY AGAIN"),"LOCKED")</f>
        <v>LOCKED</v>
      </c>
      <c r="E31" s="23"/>
      <c r="F31" s="24" cm="1" t="str">
        <f t="array" ref="F31">IF(E31="Show hint",Key!$B$76,"")</f>
        <v/>
      </c>
      <c r="G31" s="25" cm="1">
        <f t="array" ref="G31">IF(LEFT(D31,1)="✔",IF(E31="Show hint",5,10),0)</f>
        <v>0</v>
      </c>
    </row>
    <row r="32" spans="1:7" ht="51.25" customHeight="1">
      <c r="A32" s="18" t="s">
        <v>407</v>
      </c>
      <c r="B32" s="31" cm="1" t="str">
        <f t="array" ref="B32">IF($C$10="OPEN","Click inside the MOONS table (it starts at L40) and press Ctrl+A once. Type the status-bar Count.","LOCKED · earn ★ on every stage to open the Boss gate")</f>
        <v>LOCKED · earn ★ on every stage to open the Boss gate</v>
      </c>
      <c r="C32" s="21"/>
      <c r="D32" s="22" cm="1" t="str">
        <f t="array" ref="D32">IF($C$10="OPEN",IFERROR(_xlfn.LET(_xlpm.a,Boss!$C$32,IF(TRIM(_xlpm.a&amp;"")="","",IF(ABS(IF(ISNUMBER(_xlpm.a),_xlpm.a,VALUE(_xlpm.a&amp;""))-Key!$C$77)&lt;=1E-9*MAX(1,ABS(Key!$C$77)),"✔ CLEAR","✘ TRY AGAIN"))),"✘ TRY AGAIN"),"LOCKED")</f>
        <v>LOCKED</v>
      </c>
      <c r="E32" s="23"/>
      <c r="F32" s="24" cm="1" t="str">
        <f t="array" ref="F32">IF(E32="Show hint",Key!$B$77,"")</f>
        <v/>
      </c>
      <c r="G32" s="25" cm="1">
        <f t="array" ref="G32">IF(LEFT(D32,1)="✔",IF(E32="Show hint",5,10),0)</f>
        <v>0</v>
      </c>
    </row>
    <row r="33" spans="1:7" ht="35.5" customHeight="1">
      <c r="A33" s="18" t="s">
        <v>410</v>
      </c>
      <c r="B33" s="31" cm="1" t="str">
        <f t="array" ref="B33">IF($C$10="OPEN","Click S40 (START) and press Home. Type the word in the cell you land on.","LOCKED · earn ★ on every stage to open the Boss gate")</f>
        <v>LOCKED · earn ★ on every stage to open the Boss gate</v>
      </c>
      <c r="C33" s="21"/>
      <c r="D33" s="22" cm="1" t="str">
        <f t="array" ref="D33">IF($C$10="OPEN",IFERROR(_xlfn.LET(_xlpm.a,Boss!$C$33,IF(TRIM(_xlpm.a&amp;"")="","",IF(SUBSTITUTE(SUBSTITUTE(UPPER(_xlpm.a&amp;"")," ",""),"$","")=Key!$C$78,"✔ CLEAR","✘ TRY AGAIN"))),"✘ TRY AGAIN"),"LOCKED")</f>
        <v>LOCKED</v>
      </c>
      <c r="E33" s="23"/>
      <c r="F33" s="24" cm="1" t="str">
        <f t="array" ref="F33">IF(E33="Show hint",Key!$B$78,"")</f>
        <v/>
      </c>
      <c r="G33" s="25" cm="1">
        <f t="array" ref="G33">IF(LEFT(D33,1)="✔",IF(E33="Show hint",5,10),0)</f>
        <v>0</v>
      </c>
    </row>
    <row r="34" spans="1:7" ht="35.5" customHeight="1">
      <c r="A34" s="18" t="s">
        <v>412</v>
      </c>
      <c r="B34" s="31" cm="1" t="str">
        <f t="array" ref="B34">IF($C$10="OPEN","Click any cell in row 20 and press Shift+Space. Type the status-bar Count.","LOCKED · earn ★ on every stage to open the Boss gate")</f>
        <v>LOCKED · earn ★ on every stage to open the Boss gate</v>
      </c>
      <c r="C34" s="21"/>
      <c r="D34" s="22" cm="1" t="str">
        <f t="array" ref="D34">IF($C$10="OPEN",IFERROR(_xlfn.LET(_xlpm.a,Boss!$C$34,IF(TRIM(_xlpm.a&amp;"")="","",IF(ABS(IF(ISNUMBER(_xlpm.a),_xlpm.a,VALUE(_xlpm.a&amp;""))-Key!$C$79)&lt;=1E-9*MAX(1,ABS(Key!$C$79)),"✔ CLEAR","✘ TRY AGAIN"))),"✘ TRY AGAIN"),"LOCKED")</f>
        <v>LOCKED</v>
      </c>
      <c r="E34" s="23"/>
      <c r="F34" s="24" cm="1" t="str">
        <f t="array" ref="F34">IF(E34="Show hint",Key!$B$79,"")</f>
        <v/>
      </c>
      <c r="G34" s="25" cm="1">
        <f t="array" ref="G34">IF(LEFT(D34,1)="✔",IF(E34="Show hint",5,10),0)</f>
        <v>0</v>
      </c>
    </row>
  </sheetData>
  <sheetProtection sheet="1" objects="1" scenarios="1" formatColumns="0" formatRows="0"/>
  <conditionalFormatting sqref="D14:D34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3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what you found" prompt="Do the move in the arena, then type the word or number you found here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what you found" prompt="Do the move in the arena, then type the word or number you found here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what you found" prompt="Do the move in the arena, then type the word or number you found here." sqref="C27"/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allowBlank="1" showInputMessage="1" showErrorMessage="1" promptTitle="Type what you found" prompt="Do the move in the arena, then type the word or number you found here." sqref="C28"/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what you found" prompt="Do the move in the arena, then type the word or number you found here." sqref="C29"/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allowBlank="1" showInputMessage="1" showErrorMessage="1" promptTitle="Type what you found" prompt="Do the move in the arena, then type the word or number you found here." sqref="C30"/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what you found" prompt="Do the move in the arena, then type the word or number you found here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what you found" prompt="Do the move in the arena, then type the word or number you found here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what you found" prompt="Do the move in the arena, then type the word or number you found here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what you found" prompt="Do the move in the arena, then type the word or number you found here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</dataValidations>
  <hyperlinks>
    <hyperlink ref="B23" location="'Boss Arena'!A1" display="▶ Open Boss Arena (or press Ctrl+PgDn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U2501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8">
      <c r="A1" s="1" t="s">
        <v>329</v>
      </c>
    </row>
    <row r="2" spans="1:8">
      <c r="A2" s="3" t="s">
        <v>5</v>
      </c>
    </row>
    <row r="3" spans="1:8">
      <c r="A3" s="26" t="s">
        <v>6</v>
      </c>
      <c r="B3" s="27" t="s">
        <v>330</v>
      </c>
      <c r="D3" s="11" t="s">
        <v>331</v>
      </c>
    </row>
    <row r="5" spans="1:8">
      <c r="B5" s="28" t="s">
        <v>332</v>
      </c>
      <c r="D5" s="28" t="s">
        <v>11</v>
      </c>
      <c r="F5" s="28" t="s">
        <v>335</v>
      </c>
      <c r="H5" s="28" t="s">
        <v>336</v>
      </c>
    </row>
    <row r="6" spans="1:8">
      <c r="B6" s="5">
        <v>1</v>
      </c>
      <c r="D6" s="5">
        <v>1</v>
      </c>
      <c r="F6" s="5">
        <v>14</v>
      </c>
      <c r="H6" s="5">
        <v>7</v>
      </c>
    </row>
    <row r="7" spans="1:8">
      <c r="B7" s="5">
        <v>2</v>
      </c>
      <c r="D7" s="5">
        <v>2</v>
      </c>
      <c r="F7" s="5">
        <v>25</v>
      </c>
      <c r="H7" s="5">
        <v>12</v>
      </c>
    </row>
    <row r="8" spans="1:8">
      <c r="B8" s="5">
        <v>3</v>
      </c>
      <c r="D8" s="5">
        <v>3</v>
      </c>
      <c r="F8" s="5">
        <v>7</v>
      </c>
      <c r="H8" s="5">
        <v>17</v>
      </c>
    </row>
    <row r="9" spans="1:8">
      <c r="B9" s="5">
        <v>4</v>
      </c>
      <c r="D9" s="5">
        <v>4</v>
      </c>
      <c r="F9" s="5">
        <v>18</v>
      </c>
      <c r="H9" s="5">
        <v>5</v>
      </c>
    </row>
    <row r="10" spans="1:8">
      <c r="B10" s="5">
        <v>5</v>
      </c>
      <c r="D10" s="5">
        <v>5</v>
      </c>
      <c r="F10" s="5">
        <v>29</v>
      </c>
      <c r="H10" s="5">
        <v>10</v>
      </c>
    </row>
    <row r="11" spans="1:8">
      <c r="B11" s="5">
        <v>6</v>
      </c>
      <c r="D11" s="5">
        <v>6</v>
      </c>
      <c r="F11" s="5">
        <v>11</v>
      </c>
      <c r="H11" s="5">
        <v>15</v>
      </c>
    </row>
    <row r="12" spans="1:8">
      <c r="B12" s="5">
        <v>7</v>
      </c>
      <c r="D12" s="5">
        <v>7</v>
      </c>
      <c r="F12" s="5">
        <v>22</v>
      </c>
      <c r="H12" s="5">
        <v>3</v>
      </c>
    </row>
    <row r="13" spans="1:8">
      <c r="B13" s="5">
        <v>8</v>
      </c>
      <c r="D13" s="5">
        <v>8</v>
      </c>
      <c r="F13" s="5">
        <v>4</v>
      </c>
      <c r="H13" s="5">
        <v>8</v>
      </c>
    </row>
    <row r="14" spans="1:8">
      <c r="B14" s="5">
        <v>9</v>
      </c>
      <c r="D14" s="5">
        <v>9</v>
      </c>
      <c r="F14" s="5">
        <v>15</v>
      </c>
      <c r="H14" s="5">
        <v>13</v>
      </c>
    </row>
    <row r="15" spans="1:8">
      <c r="B15" s="5">
        <v>10</v>
      </c>
      <c r="D15" s="5">
        <v>10</v>
      </c>
      <c r="F15" s="5">
        <v>26</v>
      </c>
      <c r="H15" s="5">
        <v>18</v>
      </c>
    </row>
    <row r="16" spans="1:8">
      <c r="B16" s="5">
        <v>11</v>
      </c>
      <c r="D16" s="5">
        <v>11</v>
      </c>
      <c r="F16" s="5">
        <v>8</v>
      </c>
      <c r="H16" s="5">
        <v>6</v>
      </c>
    </row>
    <row r="17" spans="2:18">
      <c r="B17" s="5">
        <v>12</v>
      </c>
      <c r="D17" s="5">
        <v>12</v>
      </c>
      <c r="F17" s="5">
        <v>19</v>
      </c>
      <c r="H17" s="5">
        <v>11</v>
      </c>
    </row>
    <row r="18" spans="2:18">
      <c r="B18" s="5">
        <v>13</v>
      </c>
      <c r="D18" s="5">
        <v>13</v>
      </c>
      <c r="F18" s="5">
        <v>30</v>
      </c>
      <c r="H18" s="5">
        <v>16</v>
      </c>
    </row>
    <row r="19" spans="2:18">
      <c r="B19" s="5">
        <v>14</v>
      </c>
      <c r="D19" s="5">
        <v>14</v>
      </c>
      <c r="F19" s="5">
        <v>12</v>
      </c>
      <c r="H19" s="5">
        <v>4</v>
      </c>
    </row>
    <row r="20" spans="2:18">
      <c r="B20" s="5">
        <v>15</v>
      </c>
      <c r="D20" s="5">
        <v>15</v>
      </c>
      <c r="F20" s="5">
        <v>23</v>
      </c>
      <c r="H20" s="5">
        <v>9</v>
      </c>
      <c r="J20" s="5">
        <v>5</v>
      </c>
      <c r="L20" s="5" t="s">
        <v>337</v>
      </c>
      <c r="N20" s="5">
        <v>8</v>
      </c>
      <c r="P20" s="5" t="s">
        <v>338</v>
      </c>
      <c r="R20" s="5">
        <v>13</v>
      </c>
    </row>
    <row r="21" spans="2:18">
      <c r="B21" s="5">
        <v>16</v>
      </c>
      <c r="D21" s="5">
        <v>16</v>
      </c>
      <c r="F21" s="5">
        <v>5</v>
      </c>
      <c r="H21" s="5">
        <v>14</v>
      </c>
    </row>
    <row r="22" spans="2:18">
      <c r="B22" s="5">
        <v>17</v>
      </c>
      <c r="D22" s="5">
        <v>17</v>
      </c>
      <c r="F22" s="5">
        <v>16</v>
      </c>
      <c r="H22" s="5">
        <v>2</v>
      </c>
    </row>
    <row r="23" spans="2:18">
      <c r="B23" s="5">
        <v>18</v>
      </c>
      <c r="D23" s="5">
        <v>18</v>
      </c>
      <c r="F23" s="5">
        <v>27</v>
      </c>
      <c r="H23" s="5">
        <v>7</v>
      </c>
    </row>
    <row r="24" spans="2:18">
      <c r="B24" s="5">
        <v>19</v>
      </c>
      <c r="D24" s="5">
        <v>19</v>
      </c>
      <c r="F24" s="5">
        <v>9</v>
      </c>
      <c r="H24" s="5">
        <v>12</v>
      </c>
    </row>
    <row r="25" spans="2:18">
      <c r="B25" s="5">
        <v>20</v>
      </c>
      <c r="D25" s="5">
        <v>20</v>
      </c>
      <c r="F25" s="5">
        <v>20</v>
      </c>
      <c r="H25" s="5">
        <v>17</v>
      </c>
    </row>
    <row r="26" spans="2:18">
      <c r="B26" s="5">
        <v>21</v>
      </c>
      <c r="D26" s="5">
        <v>21</v>
      </c>
      <c r="F26" s="5">
        <v>31</v>
      </c>
      <c r="H26" s="5">
        <v>5</v>
      </c>
    </row>
    <row r="27" spans="2:18">
      <c r="B27" s="5">
        <v>22</v>
      </c>
      <c r="D27" s="5">
        <v>22</v>
      </c>
      <c r="F27" s="5">
        <v>13</v>
      </c>
      <c r="H27" s="5">
        <v>10</v>
      </c>
    </row>
    <row r="28" spans="2:18">
      <c r="B28" s="5">
        <v>23</v>
      </c>
      <c r="D28" s="5">
        <v>23</v>
      </c>
      <c r="F28" s="5">
        <v>24</v>
      </c>
      <c r="H28" s="5">
        <v>15</v>
      </c>
    </row>
    <row r="29" spans="2:18">
      <c r="B29" s="5">
        <v>24</v>
      </c>
      <c r="D29" s="5">
        <v>24</v>
      </c>
      <c r="F29" s="5">
        <v>6</v>
      </c>
      <c r="H29" s="5">
        <v>3</v>
      </c>
    </row>
    <row r="30" spans="2:18">
      <c r="B30" s="5">
        <v>25</v>
      </c>
      <c r="D30" s="5">
        <v>25</v>
      </c>
      <c r="F30" s="5">
        <v>17</v>
      </c>
      <c r="H30" s="5">
        <v>8</v>
      </c>
    </row>
    <row r="31" spans="2:18">
      <c r="B31" s="5">
        <v>26</v>
      </c>
      <c r="D31" s="5">
        <v>26</v>
      </c>
      <c r="F31" s="5">
        <v>28</v>
      </c>
    </row>
    <row r="32" spans="2:18">
      <c r="B32" s="5">
        <v>27</v>
      </c>
      <c r="D32" s="5">
        <v>27</v>
      </c>
      <c r="F32" s="5">
        <v>10</v>
      </c>
    </row>
    <row r="33" spans="1:19">
      <c r="B33" s="5">
        <v>28</v>
      </c>
      <c r="D33" s="5">
        <v>28</v>
      </c>
      <c r="F33" s="5">
        <v>21</v>
      </c>
    </row>
    <row r="34" spans="1:19">
      <c r="B34" s="5">
        <v>29</v>
      </c>
      <c r="D34" s="5">
        <v>29</v>
      </c>
      <c r="F34" s="5">
        <v>3</v>
      </c>
    </row>
    <row r="35" spans="1:19">
      <c r="B35" s="5">
        <v>30</v>
      </c>
      <c r="D35" s="5">
        <v>30</v>
      </c>
      <c r="F35" s="5">
        <v>14</v>
      </c>
    </row>
    <row r="36" spans="1:19">
      <c r="B36" s="5">
        <v>31</v>
      </c>
      <c r="D36" s="5">
        <v>31</v>
      </c>
      <c r="F36" s="5">
        <v>25</v>
      </c>
    </row>
    <row r="37" spans="1:19">
      <c r="B37" s="5">
        <v>32</v>
      </c>
      <c r="D37" s="5">
        <v>32</v>
      </c>
      <c r="F37" s="5">
        <v>7</v>
      </c>
    </row>
    <row r="38" spans="1:19">
      <c r="B38" s="5">
        <v>33</v>
      </c>
      <c r="D38" s="5">
        <v>33</v>
      </c>
      <c r="F38" s="5">
        <v>18</v>
      </c>
      <c r="L38" s="7" t="s">
        <v>339</v>
      </c>
    </row>
    <row r="39" spans="1:19">
      <c r="B39" s="5">
        <v>34</v>
      </c>
      <c r="D39" s="5">
        <v>34</v>
      </c>
      <c r="F39" s="5">
        <v>29</v>
      </c>
    </row>
    <row r="40" spans="1:19">
      <c r="A40" s="5" t="s">
        <v>359</v>
      </c>
      <c r="B40" s="5">
        <v>35</v>
      </c>
      <c r="D40" s="5">
        <v>35</v>
      </c>
      <c r="F40" s="5">
        <v>11</v>
      </c>
      <c r="L40" s="28" t="s">
        <v>340</v>
      </c>
      <c r="M40" s="28" t="s">
        <v>271</v>
      </c>
      <c r="N40" s="28" t="s">
        <v>341</v>
      </c>
      <c r="O40" s="28" t="s">
        <v>342</v>
      </c>
      <c r="S40" s="7" t="s">
        <v>358</v>
      </c>
    </row>
    <row r="41" spans="1:19">
      <c r="B41" s="5">
        <v>36</v>
      </c>
      <c r="D41" s="5">
        <v>36</v>
      </c>
      <c r="F41" s="5">
        <v>22</v>
      </c>
      <c r="L41" s="5" t="s">
        <v>340</v>
      </c>
      <c r="M41" s="5" t="s">
        <v>278</v>
      </c>
      <c r="N41" s="5">
        <v>3474</v>
      </c>
      <c r="O41" s="5" t="s">
        <v>343</v>
      </c>
    </row>
    <row r="42" spans="1:19">
      <c r="B42" s="5">
        <v>37</v>
      </c>
      <c r="D42" s="5">
        <v>37</v>
      </c>
      <c r="F42" s="5">
        <v>4</v>
      </c>
      <c r="L42" s="5" t="s">
        <v>344</v>
      </c>
      <c r="M42" s="5" t="s">
        <v>279</v>
      </c>
      <c r="N42" s="5">
        <v>22</v>
      </c>
      <c r="O42" s="5">
        <v>1877</v>
      </c>
    </row>
    <row r="43" spans="1:19">
      <c r="B43" s="5">
        <v>38</v>
      </c>
      <c r="D43" s="5">
        <v>38</v>
      </c>
      <c r="F43" s="5">
        <v>15</v>
      </c>
      <c r="L43" s="5" t="s">
        <v>345</v>
      </c>
      <c r="M43" s="5" t="s">
        <v>279</v>
      </c>
      <c r="N43" s="5">
        <v>12</v>
      </c>
      <c r="O43" s="5">
        <v>1877</v>
      </c>
    </row>
    <row r="44" spans="1:19">
      <c r="B44" s="5">
        <v>39</v>
      </c>
      <c r="D44" s="5">
        <v>39</v>
      </c>
      <c r="F44" s="5">
        <v>26</v>
      </c>
      <c r="L44" s="5" t="s">
        <v>346</v>
      </c>
      <c r="M44" s="5" t="s">
        <v>280</v>
      </c>
      <c r="N44" s="5">
        <v>3643</v>
      </c>
      <c r="O44" s="5">
        <v>1610</v>
      </c>
    </row>
    <row r="45" spans="1:19">
      <c r="B45" s="5">
        <v>40</v>
      </c>
      <c r="D45" s="5">
        <v>40</v>
      </c>
      <c r="F45" s="5">
        <v>8</v>
      </c>
      <c r="L45" s="5" t="s">
        <v>347</v>
      </c>
      <c r="M45" s="5" t="s">
        <v>280</v>
      </c>
      <c r="N45" s="5">
        <v>3122</v>
      </c>
      <c r="O45" s="5">
        <v>1610</v>
      </c>
    </row>
    <row r="46" spans="1:19">
      <c r="B46" s="5">
        <v>41</v>
      </c>
      <c r="D46" s="5">
        <v>41</v>
      </c>
      <c r="F46" s="5">
        <v>19</v>
      </c>
      <c r="L46" s="5" t="s">
        <v>348</v>
      </c>
      <c r="M46" s="5" t="s">
        <v>280</v>
      </c>
      <c r="N46" s="5">
        <v>5268</v>
      </c>
      <c r="O46" s="5">
        <v>1610</v>
      </c>
    </row>
    <row r="47" spans="1:19">
      <c r="B47" s="5">
        <v>42</v>
      </c>
      <c r="D47" s="5">
        <v>42</v>
      </c>
      <c r="F47" s="5">
        <v>30</v>
      </c>
      <c r="L47" s="5" t="s">
        <v>349</v>
      </c>
      <c r="M47" s="5" t="s">
        <v>280</v>
      </c>
      <c r="N47" s="5">
        <v>4821</v>
      </c>
      <c r="O47" s="5">
        <v>1610</v>
      </c>
    </row>
    <row r="48" spans="1:19">
      <c r="B48" s="5">
        <v>43</v>
      </c>
      <c r="D48" s="5">
        <v>43</v>
      </c>
      <c r="F48" s="5">
        <v>12</v>
      </c>
      <c r="L48" s="5" t="s">
        <v>350</v>
      </c>
      <c r="M48" s="5" t="s">
        <v>282</v>
      </c>
      <c r="N48" s="5">
        <v>5150</v>
      </c>
      <c r="O48" s="5">
        <v>1655</v>
      </c>
    </row>
    <row r="49" spans="2:15">
      <c r="B49" s="5">
        <v>44</v>
      </c>
      <c r="D49" s="5">
        <v>44</v>
      </c>
      <c r="F49" s="5">
        <v>23</v>
      </c>
      <c r="L49" s="5" t="s">
        <v>351</v>
      </c>
      <c r="M49" s="5" t="s">
        <v>282</v>
      </c>
      <c r="N49" s="5">
        <v>1527</v>
      </c>
      <c r="O49" s="5">
        <v>1672</v>
      </c>
    </row>
    <row r="50" spans="2:15">
      <c r="B50" s="5">
        <v>45</v>
      </c>
      <c r="D50" s="5">
        <v>45</v>
      </c>
      <c r="F50" s="5">
        <v>5</v>
      </c>
      <c r="L50" s="5" t="s">
        <v>352</v>
      </c>
      <c r="M50" s="5" t="s">
        <v>282</v>
      </c>
      <c r="N50" s="5">
        <v>1469</v>
      </c>
      <c r="O50" s="5">
        <v>1671</v>
      </c>
    </row>
    <row r="51" spans="2:15">
      <c r="B51" s="5">
        <v>46</v>
      </c>
      <c r="F51" s="5">
        <v>16</v>
      </c>
      <c r="L51" s="5" t="s">
        <v>353</v>
      </c>
      <c r="M51" s="5" t="s">
        <v>282</v>
      </c>
      <c r="N51" s="5">
        <v>1123</v>
      </c>
      <c r="O51" s="5">
        <v>1684</v>
      </c>
    </row>
    <row r="52" spans="2:15">
      <c r="B52" s="5">
        <v>47</v>
      </c>
      <c r="F52" s="5">
        <v>27</v>
      </c>
      <c r="L52" s="5" t="s">
        <v>354</v>
      </c>
      <c r="M52" s="5" t="s">
        <v>283</v>
      </c>
      <c r="N52" s="5">
        <v>472</v>
      </c>
      <c r="O52" s="5">
        <v>1948</v>
      </c>
    </row>
    <row r="53" spans="2:15">
      <c r="B53" s="5">
        <v>48</v>
      </c>
      <c r="F53" s="5">
        <v>9</v>
      </c>
      <c r="L53" s="5" t="s">
        <v>355</v>
      </c>
      <c r="M53" s="5" t="s">
        <v>283</v>
      </c>
      <c r="N53" s="5">
        <v>1158</v>
      </c>
      <c r="O53" s="5">
        <v>1851</v>
      </c>
    </row>
    <row r="54" spans="2:15">
      <c r="B54" s="5">
        <v>49</v>
      </c>
      <c r="F54" s="5">
        <v>20</v>
      </c>
      <c r="L54" s="5" t="s">
        <v>356</v>
      </c>
      <c r="M54" s="5" t="s">
        <v>284</v>
      </c>
      <c r="N54" s="5">
        <v>2707</v>
      </c>
      <c r="O54" s="5">
        <v>1846</v>
      </c>
    </row>
    <row r="55" spans="2:15">
      <c r="B55" s="5">
        <v>50</v>
      </c>
      <c r="F55" s="5">
        <v>31</v>
      </c>
      <c r="L55" s="5" t="s">
        <v>357</v>
      </c>
      <c r="M55" s="5" t="s">
        <v>286</v>
      </c>
      <c r="N55" s="5">
        <v>1212</v>
      </c>
      <c r="O55" s="5">
        <v>1978</v>
      </c>
    </row>
    <row r="56" spans="2:15">
      <c r="B56" s="5">
        <v>51</v>
      </c>
      <c r="F56" s="5">
        <v>13</v>
      </c>
    </row>
    <row r="57" spans="2:15">
      <c r="B57" s="5">
        <v>52</v>
      </c>
      <c r="F57" s="5">
        <v>24</v>
      </c>
    </row>
    <row r="58" spans="2:15">
      <c r="B58" s="5">
        <v>53</v>
      </c>
      <c r="F58" s="5">
        <v>6</v>
      </c>
    </row>
    <row r="59" spans="2:15">
      <c r="B59" s="5">
        <v>54</v>
      </c>
      <c r="F59" s="5">
        <v>17</v>
      </c>
    </row>
    <row r="60" spans="2:15">
      <c r="B60" s="5">
        <v>55</v>
      </c>
      <c r="F60" s="5">
        <v>28</v>
      </c>
    </row>
    <row r="61" spans="2:15">
      <c r="B61" s="5">
        <v>56</v>
      </c>
      <c r="F61" s="5">
        <v>10</v>
      </c>
    </row>
    <row r="62" spans="2:15">
      <c r="B62" s="5">
        <v>57</v>
      </c>
      <c r="F62" s="5">
        <v>21</v>
      </c>
    </row>
    <row r="63" spans="2:15">
      <c r="B63" s="5">
        <v>58</v>
      </c>
      <c r="F63" s="5">
        <v>3</v>
      </c>
    </row>
    <row r="64" spans="2:15">
      <c r="B64" s="5">
        <v>59</v>
      </c>
      <c r="F64" s="5">
        <v>14</v>
      </c>
    </row>
    <row r="65" spans="2:6">
      <c r="B65" s="5">
        <v>60</v>
      </c>
      <c r="F65" s="5">
        <v>25</v>
      </c>
    </row>
    <row r="66" spans="2:6">
      <c r="B66" s="5">
        <v>61</v>
      </c>
      <c r="F66" s="5">
        <v>7</v>
      </c>
    </row>
    <row r="67" spans="2:6">
      <c r="B67" s="5">
        <v>62</v>
      </c>
      <c r="F67" s="5">
        <v>18</v>
      </c>
    </row>
    <row r="68" spans="2:6">
      <c r="B68" s="5">
        <v>63</v>
      </c>
      <c r="F68" s="5">
        <v>29</v>
      </c>
    </row>
    <row r="69" spans="2:6">
      <c r="B69" s="5">
        <v>64</v>
      </c>
      <c r="F69" s="5">
        <v>11</v>
      </c>
    </row>
    <row r="70" spans="2:6">
      <c r="B70" s="5">
        <v>65</v>
      </c>
      <c r="F70" s="5">
        <v>22</v>
      </c>
    </row>
    <row r="71" spans="2:6">
      <c r="B71" s="5">
        <v>66</v>
      </c>
      <c r="F71" s="5">
        <v>4</v>
      </c>
    </row>
    <row r="72" spans="2:6">
      <c r="B72" s="5">
        <v>67</v>
      </c>
      <c r="F72" s="5">
        <v>15</v>
      </c>
    </row>
    <row r="73" spans="2:6">
      <c r="B73" s="5">
        <v>68</v>
      </c>
      <c r="F73" s="5">
        <v>26</v>
      </c>
    </row>
    <row r="74" spans="2:6">
      <c r="B74" s="5">
        <v>69</v>
      </c>
      <c r="F74" s="5">
        <v>8</v>
      </c>
    </row>
    <row r="75" spans="2:6">
      <c r="B75" s="5">
        <v>70</v>
      </c>
      <c r="F75" s="5">
        <v>19</v>
      </c>
    </row>
    <row r="76" spans="2:6">
      <c r="B76" s="5">
        <v>71</v>
      </c>
      <c r="F76" s="5">
        <v>30</v>
      </c>
    </row>
    <row r="77" spans="2:6">
      <c r="B77" s="5">
        <v>72</v>
      </c>
      <c r="F77" s="5">
        <v>12</v>
      </c>
    </row>
    <row r="78" spans="2:6">
      <c r="B78" s="5">
        <v>73</v>
      </c>
      <c r="F78" s="5">
        <v>23</v>
      </c>
    </row>
    <row r="79" spans="2:6">
      <c r="B79" s="5">
        <v>74</v>
      </c>
      <c r="F79" s="5">
        <v>5</v>
      </c>
    </row>
    <row r="80" spans="2:6">
      <c r="B80" s="5">
        <v>75</v>
      </c>
      <c r="D80" s="5">
        <v>46</v>
      </c>
      <c r="F80" s="5">
        <v>16</v>
      </c>
    </row>
    <row r="81" spans="2:6">
      <c r="B81" s="5">
        <v>76</v>
      </c>
      <c r="D81" s="5">
        <v>47</v>
      </c>
      <c r="F81" s="5">
        <v>27</v>
      </c>
    </row>
    <row r="82" spans="2:6">
      <c r="B82" s="5">
        <v>77</v>
      </c>
      <c r="D82" s="5">
        <v>48</v>
      </c>
      <c r="F82" s="5">
        <v>9</v>
      </c>
    </row>
    <row r="83" spans="2:6">
      <c r="B83" s="5">
        <v>78</v>
      </c>
      <c r="D83" s="5">
        <v>49</v>
      </c>
      <c r="F83" s="5">
        <v>20</v>
      </c>
    </row>
    <row r="84" spans="2:6">
      <c r="B84" s="5">
        <v>79</v>
      </c>
      <c r="D84" s="5">
        <v>50</v>
      </c>
      <c r="F84" s="5">
        <v>31</v>
      </c>
    </row>
    <row r="85" spans="2:6">
      <c r="B85" s="5">
        <v>80</v>
      </c>
      <c r="D85" s="5">
        <v>51</v>
      </c>
      <c r="F85" s="5">
        <v>13</v>
      </c>
    </row>
    <row r="86" spans="2:6">
      <c r="B86" s="5">
        <v>81</v>
      </c>
      <c r="D86" s="5">
        <v>52</v>
      </c>
      <c r="F86" s="5">
        <v>24</v>
      </c>
    </row>
    <row r="87" spans="2:6">
      <c r="B87" s="5">
        <v>82</v>
      </c>
      <c r="D87" s="5">
        <v>53</v>
      </c>
      <c r="F87" s="5">
        <v>6</v>
      </c>
    </row>
    <row r="88" spans="2:6">
      <c r="B88" s="5">
        <v>83</v>
      </c>
      <c r="D88" s="5">
        <v>54</v>
      </c>
      <c r="F88" s="5">
        <v>17</v>
      </c>
    </row>
    <row r="89" spans="2:6">
      <c r="B89" s="5">
        <v>84</v>
      </c>
      <c r="D89" s="5">
        <v>55</v>
      </c>
      <c r="F89" s="5">
        <v>28</v>
      </c>
    </row>
    <row r="90" spans="2:6">
      <c r="B90" s="5">
        <v>85</v>
      </c>
      <c r="D90" s="5">
        <v>56</v>
      </c>
      <c r="F90" s="5">
        <v>10</v>
      </c>
    </row>
    <row r="91" spans="2:6">
      <c r="B91" s="5">
        <v>86</v>
      </c>
      <c r="F91" s="5">
        <v>21</v>
      </c>
    </row>
    <row r="92" spans="2:6">
      <c r="B92" s="5">
        <v>87</v>
      </c>
      <c r="F92" s="5">
        <v>3</v>
      </c>
    </row>
    <row r="93" spans="2:6">
      <c r="B93" s="5">
        <v>88</v>
      </c>
      <c r="F93" s="5">
        <v>14</v>
      </c>
    </row>
    <row r="94" spans="2:6">
      <c r="B94" s="5">
        <v>89</v>
      </c>
      <c r="F94" s="5">
        <v>25</v>
      </c>
    </row>
    <row r="95" spans="2:6">
      <c r="B95" s="5">
        <v>90</v>
      </c>
      <c r="F95" s="5">
        <v>7</v>
      </c>
    </row>
    <row r="96" spans="2:6">
      <c r="B96" s="5">
        <v>91</v>
      </c>
      <c r="F96" s="5">
        <v>18</v>
      </c>
    </row>
    <row r="97" spans="2:6">
      <c r="B97" s="5">
        <v>92</v>
      </c>
      <c r="F97" s="5">
        <v>29</v>
      </c>
    </row>
    <row r="98" spans="2:6">
      <c r="B98" s="5">
        <v>93</v>
      </c>
      <c r="F98" s="5">
        <v>11</v>
      </c>
    </row>
    <row r="99" spans="2:6">
      <c r="B99" s="5">
        <v>94</v>
      </c>
      <c r="F99" s="5">
        <v>22</v>
      </c>
    </row>
    <row r="100" spans="2:6">
      <c r="B100" s="5">
        <v>95</v>
      </c>
      <c r="F100" s="5">
        <v>4</v>
      </c>
    </row>
    <row r="101" spans="2:6">
      <c r="B101" s="5">
        <v>96</v>
      </c>
      <c r="F101" s="5">
        <v>15</v>
      </c>
    </row>
    <row r="102" spans="2:6">
      <c r="B102" s="5">
        <v>97</v>
      </c>
      <c r="F102" s="5">
        <v>26</v>
      </c>
    </row>
    <row r="103" spans="2:6">
      <c r="B103" s="5">
        <v>98</v>
      </c>
      <c r="F103" s="5">
        <v>8</v>
      </c>
    </row>
    <row r="104" spans="2:6">
      <c r="B104" s="5">
        <v>99</v>
      </c>
      <c r="F104" s="5">
        <v>19</v>
      </c>
    </row>
    <row r="105" spans="2:6">
      <c r="B105" s="5">
        <v>100</v>
      </c>
      <c r="F105" s="5">
        <v>30</v>
      </c>
    </row>
    <row r="106" spans="2:6">
      <c r="B106" s="5">
        <v>101</v>
      </c>
    </row>
    <row r="107" spans="2:6">
      <c r="B107" s="5">
        <v>102</v>
      </c>
    </row>
    <row r="108" spans="2:6">
      <c r="B108" s="5">
        <v>103</v>
      </c>
    </row>
    <row r="109" spans="2:6">
      <c r="B109" s="5">
        <v>104</v>
      </c>
    </row>
    <row r="110" spans="2:6">
      <c r="B110" s="5">
        <v>105</v>
      </c>
    </row>
    <row r="111" spans="2:6">
      <c r="B111" s="5">
        <v>106</v>
      </c>
    </row>
    <row r="112" spans="2:6">
      <c r="B112" s="5">
        <v>107</v>
      </c>
    </row>
    <row r="113" spans="2:2">
      <c r="B113" s="5">
        <v>108</v>
      </c>
    </row>
    <row r="114" spans="2:2">
      <c r="B114" s="5">
        <v>109</v>
      </c>
    </row>
    <row r="115" spans="2:2">
      <c r="B115" s="5">
        <v>110</v>
      </c>
    </row>
    <row r="116" spans="2:2">
      <c r="B116" s="5">
        <v>111</v>
      </c>
    </row>
    <row r="117" spans="2:2">
      <c r="B117" s="5">
        <v>112</v>
      </c>
    </row>
    <row r="118" spans="2:2">
      <c r="B118" s="5">
        <v>113</v>
      </c>
    </row>
    <row r="119" spans="2:2">
      <c r="B119" s="5">
        <v>114</v>
      </c>
    </row>
    <row r="120" spans="2:2">
      <c r="B120" s="5">
        <v>115</v>
      </c>
    </row>
    <row r="121" spans="2:2">
      <c r="B121" s="5">
        <v>116</v>
      </c>
    </row>
    <row r="122" spans="2:2">
      <c r="B122" s="5">
        <v>117</v>
      </c>
    </row>
    <row r="123" spans="2:2">
      <c r="B123" s="5">
        <v>118</v>
      </c>
    </row>
    <row r="124" spans="2:2">
      <c r="B124" s="5">
        <v>119</v>
      </c>
    </row>
    <row r="125" spans="2:2">
      <c r="B125" s="5">
        <v>120</v>
      </c>
    </row>
    <row r="126" spans="2:2">
      <c r="B126" s="5">
        <v>121</v>
      </c>
    </row>
    <row r="127" spans="2:2">
      <c r="B127" s="5">
        <v>122</v>
      </c>
    </row>
    <row r="128" spans="2:2">
      <c r="B128" s="5">
        <v>123</v>
      </c>
    </row>
    <row r="129" spans="2:2">
      <c r="B129" s="5">
        <v>124</v>
      </c>
    </row>
    <row r="130" spans="2:2">
      <c r="B130" s="5">
        <v>125</v>
      </c>
    </row>
    <row r="131" spans="2:2">
      <c r="B131" s="5">
        <v>126</v>
      </c>
    </row>
    <row r="132" spans="2:2">
      <c r="B132" s="5">
        <v>127</v>
      </c>
    </row>
    <row r="133" spans="2:2">
      <c r="B133" s="5">
        <v>128</v>
      </c>
    </row>
    <row r="134" spans="2:2">
      <c r="B134" s="5">
        <v>129</v>
      </c>
    </row>
    <row r="135" spans="2:2">
      <c r="B135" s="5">
        <v>130</v>
      </c>
    </row>
    <row r="136" spans="2:2">
      <c r="B136" s="5">
        <v>131</v>
      </c>
    </row>
    <row r="137" spans="2:2">
      <c r="B137" s="5">
        <v>132</v>
      </c>
    </row>
    <row r="138" spans="2:2">
      <c r="B138" s="5">
        <v>133</v>
      </c>
    </row>
    <row r="139" spans="2:2">
      <c r="B139" s="5">
        <v>134</v>
      </c>
    </row>
    <row r="140" spans="2:2">
      <c r="B140" s="5">
        <v>135</v>
      </c>
    </row>
    <row r="141" spans="2:2">
      <c r="B141" s="5">
        <v>136</v>
      </c>
    </row>
    <row r="142" spans="2:2">
      <c r="B142" s="5">
        <v>137</v>
      </c>
    </row>
    <row r="143" spans="2:2">
      <c r="B143" s="5">
        <v>138</v>
      </c>
    </row>
    <row r="144" spans="2:2">
      <c r="B144" s="5">
        <v>139</v>
      </c>
    </row>
    <row r="145" spans="2:2">
      <c r="B145" s="5">
        <v>140</v>
      </c>
    </row>
    <row r="146" spans="2:2">
      <c r="B146" s="5">
        <v>141</v>
      </c>
    </row>
    <row r="147" spans="2:2">
      <c r="B147" s="5">
        <v>142</v>
      </c>
    </row>
    <row r="148" spans="2:2">
      <c r="B148" s="5">
        <v>143</v>
      </c>
    </row>
    <row r="149" spans="2:2">
      <c r="B149" s="5">
        <v>144</v>
      </c>
    </row>
    <row r="150" spans="2:2">
      <c r="B150" s="5">
        <v>145</v>
      </c>
    </row>
    <row r="151" spans="2:2">
      <c r="B151" s="5">
        <v>146</v>
      </c>
    </row>
    <row r="152" spans="2:2">
      <c r="B152" s="5">
        <v>147</v>
      </c>
    </row>
    <row r="153" spans="2:2">
      <c r="B153" s="5">
        <v>148</v>
      </c>
    </row>
    <row r="154" spans="2:2">
      <c r="B154" s="5">
        <v>149</v>
      </c>
    </row>
    <row r="155" spans="2:2">
      <c r="B155" s="5">
        <v>150</v>
      </c>
    </row>
    <row r="156" spans="2:2">
      <c r="B156" s="5">
        <v>151</v>
      </c>
    </row>
    <row r="157" spans="2:2">
      <c r="B157" s="5">
        <v>152</v>
      </c>
    </row>
    <row r="158" spans="2:2">
      <c r="B158" s="5">
        <v>153</v>
      </c>
    </row>
    <row r="159" spans="2:2">
      <c r="B159" s="5">
        <v>154</v>
      </c>
    </row>
    <row r="160" spans="2:2">
      <c r="B160" s="5">
        <v>155</v>
      </c>
    </row>
    <row r="161" spans="2:2">
      <c r="B161" s="5">
        <v>156</v>
      </c>
    </row>
    <row r="162" spans="2:2">
      <c r="B162" s="5">
        <v>157</v>
      </c>
    </row>
    <row r="163" spans="2:2">
      <c r="B163" s="5">
        <v>158</v>
      </c>
    </row>
    <row r="164" spans="2:2">
      <c r="B164" s="5">
        <v>159</v>
      </c>
    </row>
    <row r="165" spans="2:2">
      <c r="B165" s="5">
        <v>160</v>
      </c>
    </row>
    <row r="166" spans="2:2">
      <c r="B166" s="5">
        <v>161</v>
      </c>
    </row>
    <row r="167" spans="2:2">
      <c r="B167" s="5">
        <v>162</v>
      </c>
    </row>
    <row r="168" spans="2:2">
      <c r="B168" s="5">
        <v>163</v>
      </c>
    </row>
    <row r="169" spans="2:2">
      <c r="B169" s="5">
        <v>164</v>
      </c>
    </row>
    <row r="170" spans="2:2">
      <c r="B170" s="5">
        <v>165</v>
      </c>
    </row>
    <row r="171" spans="2:2">
      <c r="B171" s="5">
        <v>166</v>
      </c>
    </row>
    <row r="172" spans="2:2">
      <c r="B172" s="5">
        <v>167</v>
      </c>
    </row>
    <row r="173" spans="2:2">
      <c r="B173" s="5">
        <v>168</v>
      </c>
    </row>
    <row r="174" spans="2:2">
      <c r="B174" s="5">
        <v>169</v>
      </c>
    </row>
    <row r="175" spans="2:2">
      <c r="B175" s="5">
        <v>170</v>
      </c>
    </row>
    <row r="176" spans="2:2">
      <c r="B176" s="5">
        <v>171</v>
      </c>
    </row>
    <row r="177" spans="2:2">
      <c r="B177" s="5">
        <v>172</v>
      </c>
    </row>
    <row r="178" spans="2:2">
      <c r="B178" s="5">
        <v>173</v>
      </c>
    </row>
    <row r="179" spans="2:2">
      <c r="B179" s="5">
        <v>174</v>
      </c>
    </row>
    <row r="180" spans="2:2">
      <c r="B180" s="5">
        <v>175</v>
      </c>
    </row>
    <row r="181" spans="2:2">
      <c r="B181" s="5">
        <v>176</v>
      </c>
    </row>
    <row r="182" spans="2:2">
      <c r="B182" s="5">
        <v>177</v>
      </c>
    </row>
    <row r="183" spans="2:2">
      <c r="B183" s="5">
        <v>178</v>
      </c>
    </row>
    <row r="184" spans="2:2">
      <c r="B184" s="5">
        <v>179</v>
      </c>
    </row>
    <row r="185" spans="2:2">
      <c r="B185" s="5">
        <v>180</v>
      </c>
    </row>
    <row r="186" spans="2:2">
      <c r="B186" s="5">
        <v>181</v>
      </c>
    </row>
    <row r="187" spans="2:2">
      <c r="B187" s="5">
        <v>182</v>
      </c>
    </row>
    <row r="188" spans="2:2">
      <c r="B188" s="5">
        <v>183</v>
      </c>
    </row>
    <row r="189" spans="2:2">
      <c r="B189" s="5">
        <v>184</v>
      </c>
    </row>
    <row r="190" spans="2:2">
      <c r="B190" s="5">
        <v>185</v>
      </c>
    </row>
    <row r="191" spans="2:2">
      <c r="B191" s="5">
        <v>186</v>
      </c>
    </row>
    <row r="192" spans="2:2">
      <c r="B192" s="5">
        <v>187</v>
      </c>
    </row>
    <row r="193" spans="2:2">
      <c r="B193" s="5">
        <v>188</v>
      </c>
    </row>
    <row r="194" spans="2:2">
      <c r="B194" s="5">
        <v>189</v>
      </c>
    </row>
    <row r="195" spans="2:2">
      <c r="B195" s="5">
        <v>190</v>
      </c>
    </row>
    <row r="196" spans="2:2">
      <c r="B196" s="5">
        <v>191</v>
      </c>
    </row>
    <row r="197" spans="2:2">
      <c r="B197" s="5">
        <v>192</v>
      </c>
    </row>
    <row r="198" spans="2:2">
      <c r="B198" s="5">
        <v>193</v>
      </c>
    </row>
    <row r="199" spans="2:2">
      <c r="B199" s="5">
        <v>194</v>
      </c>
    </row>
    <row r="200" spans="2:2">
      <c r="B200" s="5">
        <v>195</v>
      </c>
    </row>
    <row r="201" spans="2:2">
      <c r="B201" s="5">
        <v>196</v>
      </c>
    </row>
    <row r="202" spans="2:2">
      <c r="B202" s="5">
        <v>197</v>
      </c>
    </row>
    <row r="203" spans="2:2">
      <c r="B203" s="5">
        <v>198</v>
      </c>
    </row>
    <row r="204" spans="2:2">
      <c r="B204" s="5">
        <v>199</v>
      </c>
    </row>
    <row r="205" spans="2:2">
      <c r="B205" s="5">
        <v>200</v>
      </c>
    </row>
    <row r="206" spans="2:2">
      <c r="B206" s="5">
        <v>201</v>
      </c>
    </row>
    <row r="207" spans="2:2">
      <c r="B207" s="5">
        <v>202</v>
      </c>
    </row>
    <row r="208" spans="2:2">
      <c r="B208" s="5">
        <v>203</v>
      </c>
    </row>
    <row r="209" spans="2:2">
      <c r="B209" s="5">
        <v>204</v>
      </c>
    </row>
    <row r="210" spans="2:2">
      <c r="B210" s="5">
        <v>205</v>
      </c>
    </row>
    <row r="211" spans="2:2">
      <c r="B211" s="5">
        <v>206</v>
      </c>
    </row>
    <row r="212" spans="2:2">
      <c r="B212" s="5">
        <v>207</v>
      </c>
    </row>
    <row r="213" spans="2:2">
      <c r="B213" s="5">
        <v>208</v>
      </c>
    </row>
    <row r="214" spans="2:2">
      <c r="B214" s="5">
        <v>209</v>
      </c>
    </row>
    <row r="215" spans="2:2">
      <c r="B215" s="5">
        <v>210</v>
      </c>
    </row>
    <row r="216" spans="2:2">
      <c r="B216" s="5">
        <v>211</v>
      </c>
    </row>
    <row r="217" spans="2:2">
      <c r="B217" s="5">
        <v>212</v>
      </c>
    </row>
    <row r="218" spans="2:2">
      <c r="B218" s="5">
        <v>213</v>
      </c>
    </row>
    <row r="219" spans="2:2">
      <c r="B219" s="5">
        <v>214</v>
      </c>
    </row>
    <row r="220" spans="2:2">
      <c r="B220" s="5">
        <v>215</v>
      </c>
    </row>
    <row r="221" spans="2:2">
      <c r="B221" s="5">
        <v>216</v>
      </c>
    </row>
    <row r="222" spans="2:2">
      <c r="B222" s="5">
        <v>217</v>
      </c>
    </row>
    <row r="223" spans="2:2">
      <c r="B223" s="5">
        <v>218</v>
      </c>
    </row>
    <row r="224" spans="2:2">
      <c r="B224" s="5">
        <v>219</v>
      </c>
    </row>
    <row r="225" spans="2:2">
      <c r="B225" s="5">
        <v>220</v>
      </c>
    </row>
    <row r="226" spans="2:2">
      <c r="B226" s="5">
        <v>221</v>
      </c>
    </row>
    <row r="227" spans="2:2">
      <c r="B227" s="5">
        <v>222</v>
      </c>
    </row>
    <row r="228" spans="2:2">
      <c r="B228" s="5">
        <v>223</v>
      </c>
    </row>
    <row r="229" spans="2:2">
      <c r="B229" s="5">
        <v>224</v>
      </c>
    </row>
    <row r="230" spans="2:2">
      <c r="B230" s="5">
        <v>225</v>
      </c>
    </row>
    <row r="231" spans="2:2">
      <c r="B231" s="5">
        <v>226</v>
      </c>
    </row>
    <row r="232" spans="2:2">
      <c r="B232" s="5">
        <v>227</v>
      </c>
    </row>
    <row r="233" spans="2:2">
      <c r="B233" s="5">
        <v>228</v>
      </c>
    </row>
    <row r="234" spans="2:2">
      <c r="B234" s="5">
        <v>229</v>
      </c>
    </row>
    <row r="235" spans="2:2">
      <c r="B235" s="5">
        <v>230</v>
      </c>
    </row>
    <row r="236" spans="2:2">
      <c r="B236" s="5">
        <v>231</v>
      </c>
    </row>
    <row r="237" spans="2:2">
      <c r="B237" s="5">
        <v>232</v>
      </c>
    </row>
    <row r="238" spans="2:2">
      <c r="B238" s="5">
        <v>233</v>
      </c>
    </row>
    <row r="239" spans="2:2">
      <c r="B239" s="5">
        <v>234</v>
      </c>
    </row>
    <row r="240" spans="2:2">
      <c r="B240" s="5">
        <v>235</v>
      </c>
    </row>
    <row r="241" spans="2:2">
      <c r="B241" s="5">
        <v>236</v>
      </c>
    </row>
    <row r="242" spans="2:2">
      <c r="B242" s="5">
        <v>237</v>
      </c>
    </row>
    <row r="243" spans="2:2">
      <c r="B243" s="5">
        <v>238</v>
      </c>
    </row>
    <row r="244" spans="2:2">
      <c r="B244" s="5">
        <v>239</v>
      </c>
    </row>
    <row r="245" spans="2:2">
      <c r="B245" s="5">
        <v>240</v>
      </c>
    </row>
    <row r="246" spans="2:2">
      <c r="B246" s="5">
        <v>241</v>
      </c>
    </row>
    <row r="247" spans="2:2">
      <c r="B247" s="5">
        <v>242</v>
      </c>
    </row>
    <row r="248" spans="2:2">
      <c r="B248" s="5">
        <v>243</v>
      </c>
    </row>
    <row r="249" spans="2:2">
      <c r="B249" s="5">
        <v>244</v>
      </c>
    </row>
    <row r="250" spans="2:2">
      <c r="B250" s="5">
        <v>245</v>
      </c>
    </row>
    <row r="251" spans="2:2">
      <c r="B251" s="5">
        <v>246</v>
      </c>
    </row>
    <row r="252" spans="2:2">
      <c r="B252" s="5">
        <v>247</v>
      </c>
    </row>
    <row r="253" spans="2:2">
      <c r="B253" s="5">
        <v>248</v>
      </c>
    </row>
    <row r="254" spans="2:2">
      <c r="B254" s="5">
        <v>249</v>
      </c>
    </row>
    <row r="255" spans="2:2">
      <c r="B255" s="5">
        <v>250</v>
      </c>
    </row>
    <row r="256" spans="2:2">
      <c r="B256" s="5">
        <v>251</v>
      </c>
    </row>
    <row r="257" spans="2:2">
      <c r="B257" s="5">
        <v>252</v>
      </c>
    </row>
    <row r="258" spans="2:2">
      <c r="B258" s="5">
        <v>253</v>
      </c>
    </row>
    <row r="259" spans="2:2">
      <c r="B259" s="5">
        <v>254</v>
      </c>
    </row>
    <row r="260" spans="2:2">
      <c r="B260" s="5">
        <v>255</v>
      </c>
    </row>
    <row r="261" spans="2:2">
      <c r="B261" s="5">
        <v>256</v>
      </c>
    </row>
    <row r="262" spans="2:2">
      <c r="B262" s="5">
        <v>257</v>
      </c>
    </row>
    <row r="263" spans="2:2">
      <c r="B263" s="5">
        <v>258</v>
      </c>
    </row>
    <row r="264" spans="2:2">
      <c r="B264" s="5">
        <v>259</v>
      </c>
    </row>
    <row r="265" spans="2:2">
      <c r="B265" s="5">
        <v>260</v>
      </c>
    </row>
    <row r="266" spans="2:2">
      <c r="B266" s="5">
        <v>261</v>
      </c>
    </row>
    <row r="267" spans="2:2">
      <c r="B267" s="5">
        <v>262</v>
      </c>
    </row>
    <row r="268" spans="2:2">
      <c r="B268" s="5">
        <v>263</v>
      </c>
    </row>
    <row r="269" spans="2:2">
      <c r="B269" s="5">
        <v>264</v>
      </c>
    </row>
    <row r="270" spans="2:2">
      <c r="B270" s="5">
        <v>265</v>
      </c>
    </row>
    <row r="271" spans="2:2">
      <c r="B271" s="5">
        <v>266</v>
      </c>
    </row>
    <row r="272" spans="2:2">
      <c r="B272" s="5">
        <v>267</v>
      </c>
    </row>
    <row r="273" spans="2:2">
      <c r="B273" s="5">
        <v>268</v>
      </c>
    </row>
    <row r="274" spans="2:2">
      <c r="B274" s="5">
        <v>269</v>
      </c>
    </row>
    <row r="275" spans="2:2">
      <c r="B275" s="5">
        <v>270</v>
      </c>
    </row>
    <row r="276" spans="2:2">
      <c r="B276" s="5">
        <v>271</v>
      </c>
    </row>
    <row r="277" spans="2:2">
      <c r="B277" s="5">
        <v>272</v>
      </c>
    </row>
    <row r="278" spans="2:2">
      <c r="B278" s="5">
        <v>273</v>
      </c>
    </row>
    <row r="279" spans="2:2">
      <c r="B279" s="5">
        <v>274</v>
      </c>
    </row>
    <row r="280" spans="2:2">
      <c r="B280" s="5">
        <v>275</v>
      </c>
    </row>
    <row r="281" spans="2:2">
      <c r="B281" s="5">
        <v>276</v>
      </c>
    </row>
    <row r="282" spans="2:2">
      <c r="B282" s="5">
        <v>277</v>
      </c>
    </row>
    <row r="283" spans="2:2">
      <c r="B283" s="5">
        <v>278</v>
      </c>
    </row>
    <row r="284" spans="2:2">
      <c r="B284" s="5">
        <v>279</v>
      </c>
    </row>
    <row r="285" spans="2:2">
      <c r="B285" s="5">
        <v>280</v>
      </c>
    </row>
    <row r="286" spans="2:2">
      <c r="B286" s="5">
        <v>281</v>
      </c>
    </row>
    <row r="287" spans="2:2">
      <c r="B287" s="5">
        <v>282</v>
      </c>
    </row>
    <row r="288" spans="2:2">
      <c r="B288" s="5">
        <v>283</v>
      </c>
    </row>
    <row r="289" spans="2:4">
      <c r="B289" s="5">
        <v>284</v>
      </c>
    </row>
    <row r="290" spans="2:4">
      <c r="B290" s="5">
        <v>285</v>
      </c>
    </row>
    <row r="291" spans="2:4">
      <c r="B291" s="5">
        <v>286</v>
      </c>
    </row>
    <row r="292" spans="2:4">
      <c r="B292" s="5">
        <v>287</v>
      </c>
    </row>
    <row r="293" spans="2:4">
      <c r="B293" s="5">
        <v>288</v>
      </c>
    </row>
    <row r="294" spans="2:4">
      <c r="B294" s="5">
        <v>289</v>
      </c>
    </row>
    <row r="295" spans="2:4">
      <c r="B295" s="5">
        <v>290</v>
      </c>
    </row>
    <row r="296" spans="2:4">
      <c r="B296" s="5">
        <v>291</v>
      </c>
    </row>
    <row r="297" spans="2:4">
      <c r="B297" s="5">
        <v>292</v>
      </c>
    </row>
    <row r="298" spans="2:4">
      <c r="B298" s="5">
        <v>293</v>
      </c>
    </row>
    <row r="299" spans="2:4">
      <c r="B299" s="5">
        <v>294</v>
      </c>
    </row>
    <row r="300" spans="2:4">
      <c r="B300" s="5">
        <v>295</v>
      </c>
      <c r="D300" s="5" t="s">
        <v>334</v>
      </c>
    </row>
    <row r="301" spans="2:4">
      <c r="B301" s="5">
        <v>296</v>
      </c>
    </row>
    <row r="302" spans="2:4">
      <c r="B302" s="5">
        <v>297</v>
      </c>
    </row>
    <row r="303" spans="2:4">
      <c r="B303" s="5">
        <v>298</v>
      </c>
    </row>
    <row r="304" spans="2:4">
      <c r="B304" s="5">
        <v>299</v>
      </c>
    </row>
    <row r="305" spans="2:2">
      <c r="B305" s="5">
        <v>300</v>
      </c>
    </row>
    <row r="306" spans="2:2">
      <c r="B306" s="5">
        <v>301</v>
      </c>
    </row>
    <row r="307" spans="2:2">
      <c r="B307" s="5">
        <v>302</v>
      </c>
    </row>
    <row r="308" spans="2:2">
      <c r="B308" s="5">
        <v>303</v>
      </c>
    </row>
    <row r="309" spans="2:2">
      <c r="B309" s="5">
        <v>304</v>
      </c>
    </row>
    <row r="310" spans="2:2">
      <c r="B310" s="5">
        <v>305</v>
      </c>
    </row>
    <row r="311" spans="2:2">
      <c r="B311" s="5">
        <v>306</v>
      </c>
    </row>
    <row r="312" spans="2:2">
      <c r="B312" s="5">
        <v>307</v>
      </c>
    </row>
    <row r="313" spans="2:2">
      <c r="B313" s="5">
        <v>308</v>
      </c>
    </row>
    <row r="314" spans="2:2">
      <c r="B314" s="5">
        <v>309</v>
      </c>
    </row>
    <row r="315" spans="2:2">
      <c r="B315" s="5">
        <v>310</v>
      </c>
    </row>
    <row r="316" spans="2:2">
      <c r="B316" s="5">
        <v>311</v>
      </c>
    </row>
    <row r="317" spans="2:2">
      <c r="B317" s="5">
        <v>312</v>
      </c>
    </row>
    <row r="318" spans="2:2">
      <c r="B318" s="5">
        <v>313</v>
      </c>
    </row>
    <row r="319" spans="2:2">
      <c r="B319" s="5">
        <v>314</v>
      </c>
    </row>
    <row r="320" spans="2:2">
      <c r="B320" s="5">
        <v>315</v>
      </c>
    </row>
    <row r="321" spans="2:2">
      <c r="B321" s="5">
        <v>316</v>
      </c>
    </row>
    <row r="322" spans="2:2">
      <c r="B322" s="5">
        <v>317</v>
      </c>
    </row>
    <row r="323" spans="2:2">
      <c r="B323" s="5">
        <v>318</v>
      </c>
    </row>
    <row r="324" spans="2:2">
      <c r="B324" s="5">
        <v>319</v>
      </c>
    </row>
    <row r="325" spans="2:2">
      <c r="B325" s="5">
        <v>320</v>
      </c>
    </row>
    <row r="326" spans="2:2">
      <c r="B326" s="5">
        <v>321</v>
      </c>
    </row>
    <row r="327" spans="2:2">
      <c r="B327" s="5">
        <v>322</v>
      </c>
    </row>
    <row r="328" spans="2:2">
      <c r="B328" s="5">
        <v>323</v>
      </c>
    </row>
    <row r="329" spans="2:2">
      <c r="B329" s="5">
        <v>324</v>
      </c>
    </row>
    <row r="330" spans="2:2">
      <c r="B330" s="5">
        <v>325</v>
      </c>
    </row>
    <row r="331" spans="2:2">
      <c r="B331" s="5">
        <v>326</v>
      </c>
    </row>
    <row r="332" spans="2:2">
      <c r="B332" s="5">
        <v>327</v>
      </c>
    </row>
    <row r="333" spans="2:2">
      <c r="B333" s="5">
        <v>328</v>
      </c>
    </row>
    <row r="334" spans="2:2">
      <c r="B334" s="5">
        <v>329</v>
      </c>
    </row>
    <row r="335" spans="2:2">
      <c r="B335" s="5">
        <v>330</v>
      </c>
    </row>
    <row r="336" spans="2:2">
      <c r="B336" s="5">
        <v>331</v>
      </c>
    </row>
    <row r="337" spans="2:2">
      <c r="B337" s="5">
        <v>332</v>
      </c>
    </row>
    <row r="338" spans="2:2">
      <c r="B338" s="5">
        <v>333</v>
      </c>
    </row>
    <row r="339" spans="2:2">
      <c r="B339" s="5">
        <v>334</v>
      </c>
    </row>
    <row r="340" spans="2:2">
      <c r="B340" s="5">
        <v>335</v>
      </c>
    </row>
    <row r="341" spans="2:2">
      <c r="B341" s="5">
        <v>336</v>
      </c>
    </row>
    <row r="342" spans="2:2">
      <c r="B342" s="5">
        <v>337</v>
      </c>
    </row>
    <row r="343" spans="2:2">
      <c r="B343" s="5">
        <v>338</v>
      </c>
    </row>
    <row r="344" spans="2:2">
      <c r="B344" s="5">
        <v>339</v>
      </c>
    </row>
    <row r="345" spans="2:2">
      <c r="B345" s="5">
        <v>340</v>
      </c>
    </row>
    <row r="346" spans="2:2">
      <c r="B346" s="5">
        <v>341</v>
      </c>
    </row>
    <row r="347" spans="2:2">
      <c r="B347" s="5">
        <v>342</v>
      </c>
    </row>
    <row r="348" spans="2:2">
      <c r="B348" s="5">
        <v>343</v>
      </c>
    </row>
    <row r="349" spans="2:2">
      <c r="B349" s="5">
        <v>344</v>
      </c>
    </row>
    <row r="350" spans="2:2">
      <c r="B350" s="5">
        <v>345</v>
      </c>
    </row>
    <row r="351" spans="2:2">
      <c r="B351" s="5">
        <v>346</v>
      </c>
    </row>
    <row r="352" spans="2:2">
      <c r="B352" s="5">
        <v>347</v>
      </c>
    </row>
    <row r="353" spans="2:2">
      <c r="B353" s="5">
        <v>348</v>
      </c>
    </row>
    <row r="354" spans="2:2">
      <c r="B354" s="5">
        <v>349</v>
      </c>
    </row>
    <row r="355" spans="2:2">
      <c r="B355" s="5">
        <v>350</v>
      </c>
    </row>
    <row r="356" spans="2:2">
      <c r="B356" s="5">
        <v>351</v>
      </c>
    </row>
    <row r="357" spans="2:2">
      <c r="B357" s="5">
        <v>352</v>
      </c>
    </row>
    <row r="358" spans="2:2">
      <c r="B358" s="5">
        <v>353</v>
      </c>
    </row>
    <row r="359" spans="2:2">
      <c r="B359" s="5">
        <v>354</v>
      </c>
    </row>
    <row r="360" spans="2:2">
      <c r="B360" s="5">
        <v>355</v>
      </c>
    </row>
    <row r="361" spans="2:2">
      <c r="B361" s="5">
        <v>356</v>
      </c>
    </row>
    <row r="362" spans="2:2">
      <c r="B362" s="5">
        <v>357</v>
      </c>
    </row>
    <row r="363" spans="2:2">
      <c r="B363" s="5">
        <v>358</v>
      </c>
    </row>
    <row r="364" spans="2:2">
      <c r="B364" s="5">
        <v>359</v>
      </c>
    </row>
    <row r="365" spans="2:2">
      <c r="B365" s="5">
        <v>360</v>
      </c>
    </row>
    <row r="366" spans="2:2">
      <c r="B366" s="5">
        <v>361</v>
      </c>
    </row>
    <row r="367" spans="2:2">
      <c r="B367" s="5">
        <v>362</v>
      </c>
    </row>
    <row r="368" spans="2:2">
      <c r="B368" s="5">
        <v>363</v>
      </c>
    </row>
    <row r="369" spans="2:2">
      <c r="B369" s="5">
        <v>364</v>
      </c>
    </row>
    <row r="370" spans="2:2">
      <c r="B370" s="5">
        <v>365</v>
      </c>
    </row>
    <row r="371" spans="2:2">
      <c r="B371" s="5">
        <v>366</v>
      </c>
    </row>
    <row r="372" spans="2:2">
      <c r="B372" s="5">
        <v>367</v>
      </c>
    </row>
    <row r="373" spans="2:2">
      <c r="B373" s="5">
        <v>368</v>
      </c>
    </row>
    <row r="374" spans="2:2">
      <c r="B374" s="5">
        <v>369</v>
      </c>
    </row>
    <row r="375" spans="2:2">
      <c r="B375" s="5">
        <v>370</v>
      </c>
    </row>
    <row r="376" spans="2:2">
      <c r="B376" s="5">
        <v>371</v>
      </c>
    </row>
    <row r="377" spans="2:2">
      <c r="B377" s="5">
        <v>372</v>
      </c>
    </row>
    <row r="378" spans="2:2">
      <c r="B378" s="5">
        <v>373</v>
      </c>
    </row>
    <row r="379" spans="2:2">
      <c r="B379" s="5">
        <v>374</v>
      </c>
    </row>
    <row r="380" spans="2:2">
      <c r="B380" s="5">
        <v>375</v>
      </c>
    </row>
    <row r="381" spans="2:2">
      <c r="B381" s="5">
        <v>376</v>
      </c>
    </row>
    <row r="382" spans="2:2">
      <c r="B382" s="5">
        <v>377</v>
      </c>
    </row>
    <row r="383" spans="2:2">
      <c r="B383" s="5">
        <v>378</v>
      </c>
    </row>
    <row r="384" spans="2:2">
      <c r="B384" s="5">
        <v>379</v>
      </c>
    </row>
    <row r="385" spans="2:2">
      <c r="B385" s="5">
        <v>380</v>
      </c>
    </row>
    <row r="386" spans="2:2">
      <c r="B386" s="5">
        <v>381</v>
      </c>
    </row>
    <row r="387" spans="2:2">
      <c r="B387" s="5">
        <v>382</v>
      </c>
    </row>
    <row r="388" spans="2:2">
      <c r="B388" s="5">
        <v>383</v>
      </c>
    </row>
    <row r="389" spans="2:2">
      <c r="B389" s="5">
        <v>384</v>
      </c>
    </row>
    <row r="390" spans="2:2">
      <c r="B390" s="5">
        <v>385</v>
      </c>
    </row>
    <row r="391" spans="2:2">
      <c r="B391" s="5">
        <v>386</v>
      </c>
    </row>
    <row r="392" spans="2:2">
      <c r="B392" s="5">
        <v>387</v>
      </c>
    </row>
    <row r="393" spans="2:2">
      <c r="B393" s="5">
        <v>388</v>
      </c>
    </row>
    <row r="394" spans="2:2">
      <c r="B394" s="5">
        <v>389</v>
      </c>
    </row>
    <row r="395" spans="2:2">
      <c r="B395" s="5">
        <v>390</v>
      </c>
    </row>
    <row r="396" spans="2:2">
      <c r="B396" s="5">
        <v>391</v>
      </c>
    </row>
    <row r="397" spans="2:2">
      <c r="B397" s="5">
        <v>392</v>
      </c>
    </row>
    <row r="398" spans="2:2">
      <c r="B398" s="5">
        <v>393</v>
      </c>
    </row>
    <row r="399" spans="2:2">
      <c r="B399" s="5">
        <v>394</v>
      </c>
    </row>
    <row r="400" spans="2:2">
      <c r="B400" s="5">
        <v>395</v>
      </c>
    </row>
    <row r="401" spans="2:2">
      <c r="B401" s="5">
        <v>396</v>
      </c>
    </row>
    <row r="402" spans="2:2">
      <c r="B402" s="5">
        <v>397</v>
      </c>
    </row>
    <row r="403" spans="2:2">
      <c r="B403" s="5">
        <v>398</v>
      </c>
    </row>
    <row r="404" spans="2:2">
      <c r="B404" s="5">
        <v>399</v>
      </c>
    </row>
    <row r="405" spans="2:2">
      <c r="B405" s="5">
        <v>400</v>
      </c>
    </row>
    <row r="406" spans="2:2">
      <c r="B406" s="5">
        <v>401</v>
      </c>
    </row>
    <row r="407" spans="2:2">
      <c r="B407" s="5">
        <v>402</v>
      </c>
    </row>
    <row r="408" spans="2:2">
      <c r="B408" s="5">
        <v>403</v>
      </c>
    </row>
    <row r="409" spans="2:2">
      <c r="B409" s="5">
        <v>404</v>
      </c>
    </row>
    <row r="410" spans="2:2">
      <c r="B410" s="5">
        <v>405</v>
      </c>
    </row>
    <row r="411" spans="2:2">
      <c r="B411" s="5">
        <v>406</v>
      </c>
    </row>
    <row r="412" spans="2:2">
      <c r="B412" s="5">
        <v>407</v>
      </c>
    </row>
    <row r="413" spans="2:2">
      <c r="B413" s="5">
        <v>408</v>
      </c>
    </row>
    <row r="414" spans="2:2">
      <c r="B414" s="5">
        <v>409</v>
      </c>
    </row>
    <row r="415" spans="2:2">
      <c r="B415" s="5">
        <v>410</v>
      </c>
    </row>
    <row r="416" spans="2:2">
      <c r="B416" s="5">
        <v>411</v>
      </c>
    </row>
    <row r="417" spans="2:2">
      <c r="B417" s="5">
        <v>412</v>
      </c>
    </row>
    <row r="418" spans="2:2">
      <c r="B418" s="5">
        <v>413</v>
      </c>
    </row>
    <row r="419" spans="2:2">
      <c r="B419" s="5">
        <v>414</v>
      </c>
    </row>
    <row r="420" spans="2:2">
      <c r="B420" s="5">
        <v>415</v>
      </c>
    </row>
    <row r="421" spans="2:2">
      <c r="B421" s="5">
        <v>416</v>
      </c>
    </row>
    <row r="422" spans="2:2">
      <c r="B422" s="5">
        <v>417</v>
      </c>
    </row>
    <row r="423" spans="2:2">
      <c r="B423" s="5">
        <v>418</v>
      </c>
    </row>
    <row r="424" spans="2:2">
      <c r="B424" s="5">
        <v>419</v>
      </c>
    </row>
    <row r="425" spans="2:2">
      <c r="B425" s="5">
        <v>420</v>
      </c>
    </row>
    <row r="426" spans="2:2">
      <c r="B426" s="5">
        <v>421</v>
      </c>
    </row>
    <row r="427" spans="2:2">
      <c r="B427" s="5">
        <v>422</v>
      </c>
    </row>
    <row r="428" spans="2:2">
      <c r="B428" s="5">
        <v>423</v>
      </c>
    </row>
    <row r="429" spans="2:2">
      <c r="B429" s="5">
        <v>424</v>
      </c>
    </row>
    <row r="430" spans="2:2">
      <c r="B430" s="5">
        <v>425</v>
      </c>
    </row>
    <row r="431" spans="2:2">
      <c r="B431" s="5">
        <v>426</v>
      </c>
    </row>
    <row r="432" spans="2:2">
      <c r="B432" s="5">
        <v>427</v>
      </c>
    </row>
    <row r="433" spans="2:2">
      <c r="B433" s="5">
        <v>428</v>
      </c>
    </row>
    <row r="434" spans="2:2">
      <c r="B434" s="5">
        <v>429</v>
      </c>
    </row>
    <row r="435" spans="2:2">
      <c r="B435" s="5">
        <v>430</v>
      </c>
    </row>
    <row r="436" spans="2:2">
      <c r="B436" s="5">
        <v>431</v>
      </c>
    </row>
    <row r="437" spans="2:2">
      <c r="B437" s="5">
        <v>432</v>
      </c>
    </row>
    <row r="438" spans="2:2">
      <c r="B438" s="5">
        <v>433</v>
      </c>
    </row>
    <row r="439" spans="2:2">
      <c r="B439" s="5">
        <v>434</v>
      </c>
    </row>
    <row r="440" spans="2:2">
      <c r="B440" s="5">
        <v>435</v>
      </c>
    </row>
    <row r="441" spans="2:2">
      <c r="B441" s="5">
        <v>436</v>
      </c>
    </row>
    <row r="442" spans="2:2">
      <c r="B442" s="5">
        <v>437</v>
      </c>
    </row>
    <row r="443" spans="2:2">
      <c r="B443" s="5">
        <v>438</v>
      </c>
    </row>
    <row r="444" spans="2:2">
      <c r="B444" s="5">
        <v>439</v>
      </c>
    </row>
    <row r="445" spans="2:2">
      <c r="B445" s="5">
        <v>440</v>
      </c>
    </row>
    <row r="446" spans="2:2">
      <c r="B446" s="5">
        <v>441</v>
      </c>
    </row>
    <row r="447" spans="2:2">
      <c r="B447" s="5">
        <v>442</v>
      </c>
    </row>
    <row r="448" spans="2:2">
      <c r="B448" s="5">
        <v>443</v>
      </c>
    </row>
    <row r="449" spans="2:2">
      <c r="B449" s="5">
        <v>444</v>
      </c>
    </row>
    <row r="450" spans="2:2">
      <c r="B450" s="5">
        <v>445</v>
      </c>
    </row>
    <row r="451" spans="2:2">
      <c r="B451" s="5">
        <v>446</v>
      </c>
    </row>
    <row r="452" spans="2:2">
      <c r="B452" s="5">
        <v>447</v>
      </c>
    </row>
    <row r="453" spans="2:2">
      <c r="B453" s="5">
        <v>448</v>
      </c>
    </row>
    <row r="454" spans="2:2">
      <c r="B454" s="5">
        <v>449</v>
      </c>
    </row>
    <row r="455" spans="2:2">
      <c r="B455" s="5">
        <v>450</v>
      </c>
    </row>
    <row r="456" spans="2:2">
      <c r="B456" s="5">
        <v>451</v>
      </c>
    </row>
    <row r="457" spans="2:2">
      <c r="B457" s="5">
        <v>452</v>
      </c>
    </row>
    <row r="458" spans="2:2">
      <c r="B458" s="5">
        <v>453</v>
      </c>
    </row>
    <row r="459" spans="2:2">
      <c r="B459" s="5">
        <v>454</v>
      </c>
    </row>
    <row r="460" spans="2:2">
      <c r="B460" s="5">
        <v>455</v>
      </c>
    </row>
    <row r="461" spans="2:2">
      <c r="B461" s="5">
        <v>456</v>
      </c>
    </row>
    <row r="462" spans="2:2">
      <c r="B462" s="5">
        <v>457</v>
      </c>
    </row>
    <row r="463" spans="2:2">
      <c r="B463" s="5">
        <v>458</v>
      </c>
    </row>
    <row r="464" spans="2:2">
      <c r="B464" s="5">
        <v>459</v>
      </c>
    </row>
    <row r="465" spans="2:2">
      <c r="B465" s="5">
        <v>460</v>
      </c>
    </row>
    <row r="466" spans="2:2">
      <c r="B466" s="5">
        <v>461</v>
      </c>
    </row>
    <row r="467" spans="2:2">
      <c r="B467" s="5">
        <v>462</v>
      </c>
    </row>
    <row r="468" spans="2:2">
      <c r="B468" s="5">
        <v>463</v>
      </c>
    </row>
    <row r="469" spans="2:2">
      <c r="B469" s="5">
        <v>464</v>
      </c>
    </row>
    <row r="470" spans="2:2">
      <c r="B470" s="5">
        <v>465</v>
      </c>
    </row>
    <row r="471" spans="2:2">
      <c r="B471" s="5">
        <v>466</v>
      </c>
    </row>
    <row r="472" spans="2:2">
      <c r="B472" s="5">
        <v>467</v>
      </c>
    </row>
    <row r="473" spans="2:2">
      <c r="B473" s="5">
        <v>468</v>
      </c>
    </row>
    <row r="474" spans="2:2">
      <c r="B474" s="5">
        <v>469</v>
      </c>
    </row>
    <row r="475" spans="2:2">
      <c r="B475" s="5">
        <v>470</v>
      </c>
    </row>
    <row r="476" spans="2:2">
      <c r="B476" s="5">
        <v>471</v>
      </c>
    </row>
    <row r="477" spans="2:2">
      <c r="B477" s="5">
        <v>472</v>
      </c>
    </row>
    <row r="478" spans="2:2">
      <c r="B478" s="5">
        <v>473</v>
      </c>
    </row>
    <row r="479" spans="2:2">
      <c r="B479" s="5">
        <v>474</v>
      </c>
    </row>
    <row r="480" spans="2:2">
      <c r="B480" s="5">
        <v>475</v>
      </c>
    </row>
    <row r="481" spans="2:2">
      <c r="B481" s="5">
        <v>476</v>
      </c>
    </row>
    <row r="482" spans="2:2">
      <c r="B482" s="5">
        <v>477</v>
      </c>
    </row>
    <row r="483" spans="2:2">
      <c r="B483" s="5">
        <v>478</v>
      </c>
    </row>
    <row r="484" spans="2:2">
      <c r="B484" s="5">
        <v>479</v>
      </c>
    </row>
    <row r="485" spans="2:2">
      <c r="B485" s="5">
        <v>480</v>
      </c>
    </row>
    <row r="486" spans="2:2">
      <c r="B486" s="5">
        <v>481</v>
      </c>
    </row>
    <row r="487" spans="2:2">
      <c r="B487" s="5">
        <v>482</v>
      </c>
    </row>
    <row r="488" spans="2:2">
      <c r="B488" s="5">
        <v>483</v>
      </c>
    </row>
    <row r="489" spans="2:2">
      <c r="B489" s="5">
        <v>484</v>
      </c>
    </row>
    <row r="490" spans="2:2">
      <c r="B490" s="5">
        <v>485</v>
      </c>
    </row>
    <row r="491" spans="2:2">
      <c r="B491" s="5">
        <v>486</v>
      </c>
    </row>
    <row r="492" spans="2:2">
      <c r="B492" s="5">
        <v>487</v>
      </c>
    </row>
    <row r="493" spans="2:2">
      <c r="B493" s="5">
        <v>488</v>
      </c>
    </row>
    <row r="494" spans="2:2">
      <c r="B494" s="5">
        <v>489</v>
      </c>
    </row>
    <row r="495" spans="2:2">
      <c r="B495" s="5">
        <v>490</v>
      </c>
    </row>
    <row r="496" spans="2:2">
      <c r="B496" s="5">
        <v>491</v>
      </c>
    </row>
    <row r="497" spans="2:2">
      <c r="B497" s="5">
        <v>492</v>
      </c>
    </row>
    <row r="498" spans="2:2">
      <c r="B498" s="5">
        <v>493</v>
      </c>
    </row>
    <row r="499" spans="2:2">
      <c r="B499" s="5">
        <v>494</v>
      </c>
    </row>
    <row r="500" spans="2:2">
      <c r="B500" s="5">
        <v>495</v>
      </c>
    </row>
    <row r="501" spans="2:2">
      <c r="B501" s="5">
        <v>496</v>
      </c>
    </row>
    <row r="502" spans="2:2">
      <c r="B502" s="5">
        <v>497</v>
      </c>
    </row>
    <row r="503" spans="2:2">
      <c r="B503" s="5">
        <v>498</v>
      </c>
    </row>
    <row r="504" spans="2:2">
      <c r="B504" s="5">
        <v>499</v>
      </c>
    </row>
    <row r="505" spans="2:2">
      <c r="B505" s="5">
        <v>500</v>
      </c>
    </row>
    <row r="506" spans="2:2">
      <c r="B506" s="5">
        <v>501</v>
      </c>
    </row>
    <row r="507" spans="2:2">
      <c r="B507" s="5">
        <v>502</v>
      </c>
    </row>
    <row r="508" spans="2:2">
      <c r="B508" s="5">
        <v>503</v>
      </c>
    </row>
    <row r="509" spans="2:2">
      <c r="B509" s="5">
        <v>504</v>
      </c>
    </row>
    <row r="510" spans="2:2">
      <c r="B510" s="5">
        <v>505</v>
      </c>
    </row>
    <row r="511" spans="2:2">
      <c r="B511" s="5">
        <v>506</v>
      </c>
    </row>
    <row r="512" spans="2:2">
      <c r="B512" s="5">
        <v>507</v>
      </c>
    </row>
    <row r="513" spans="2:2">
      <c r="B513" s="5">
        <v>508</v>
      </c>
    </row>
    <row r="514" spans="2:2">
      <c r="B514" s="5">
        <v>509</v>
      </c>
    </row>
    <row r="515" spans="2:2">
      <c r="B515" s="5">
        <v>510</v>
      </c>
    </row>
    <row r="516" spans="2:2">
      <c r="B516" s="5">
        <v>511</v>
      </c>
    </row>
    <row r="517" spans="2:2">
      <c r="B517" s="5">
        <v>512</v>
      </c>
    </row>
    <row r="518" spans="2:2">
      <c r="B518" s="5">
        <v>513</v>
      </c>
    </row>
    <row r="519" spans="2:2">
      <c r="B519" s="5">
        <v>514</v>
      </c>
    </row>
    <row r="520" spans="2:2">
      <c r="B520" s="5">
        <v>515</v>
      </c>
    </row>
    <row r="521" spans="2:2">
      <c r="B521" s="5">
        <v>516</v>
      </c>
    </row>
    <row r="522" spans="2:2">
      <c r="B522" s="5">
        <v>517</v>
      </c>
    </row>
    <row r="523" spans="2:2">
      <c r="B523" s="5">
        <v>518</v>
      </c>
    </row>
    <row r="524" spans="2:2">
      <c r="B524" s="5">
        <v>519</v>
      </c>
    </row>
    <row r="525" spans="2:2">
      <c r="B525" s="5">
        <v>520</v>
      </c>
    </row>
    <row r="526" spans="2:2">
      <c r="B526" s="5">
        <v>521</v>
      </c>
    </row>
    <row r="527" spans="2:2">
      <c r="B527" s="5">
        <v>522</v>
      </c>
    </row>
    <row r="528" spans="2:2">
      <c r="B528" s="5">
        <v>523</v>
      </c>
    </row>
    <row r="529" spans="2:2">
      <c r="B529" s="5">
        <v>524</v>
      </c>
    </row>
    <row r="530" spans="2:2">
      <c r="B530" s="5">
        <v>525</v>
      </c>
    </row>
    <row r="531" spans="2:2">
      <c r="B531" s="5">
        <v>526</v>
      </c>
    </row>
    <row r="532" spans="2:2">
      <c r="B532" s="5">
        <v>527</v>
      </c>
    </row>
    <row r="533" spans="2:2">
      <c r="B533" s="5">
        <v>528</v>
      </c>
    </row>
    <row r="534" spans="2:2">
      <c r="B534" s="5">
        <v>529</v>
      </c>
    </row>
    <row r="535" spans="2:2">
      <c r="B535" s="5">
        <v>530</v>
      </c>
    </row>
    <row r="536" spans="2:2">
      <c r="B536" s="5">
        <v>531</v>
      </c>
    </row>
    <row r="537" spans="2:2">
      <c r="B537" s="5">
        <v>532</v>
      </c>
    </row>
    <row r="538" spans="2:2">
      <c r="B538" s="5">
        <v>533</v>
      </c>
    </row>
    <row r="539" spans="2:2">
      <c r="B539" s="5">
        <v>534</v>
      </c>
    </row>
    <row r="540" spans="2:2">
      <c r="B540" s="5">
        <v>535</v>
      </c>
    </row>
    <row r="541" spans="2:2">
      <c r="B541" s="5">
        <v>536</v>
      </c>
    </row>
    <row r="542" spans="2:2">
      <c r="B542" s="5">
        <v>537</v>
      </c>
    </row>
    <row r="543" spans="2:2">
      <c r="B543" s="5">
        <v>538</v>
      </c>
    </row>
    <row r="544" spans="2:2">
      <c r="B544" s="5">
        <v>539</v>
      </c>
    </row>
    <row r="545" spans="2:2">
      <c r="B545" s="5">
        <v>540</v>
      </c>
    </row>
    <row r="546" spans="2:2">
      <c r="B546" s="5">
        <v>541</v>
      </c>
    </row>
    <row r="547" spans="2:2">
      <c r="B547" s="5">
        <v>542</v>
      </c>
    </row>
    <row r="548" spans="2:2">
      <c r="B548" s="5">
        <v>543</v>
      </c>
    </row>
    <row r="549" spans="2:2">
      <c r="B549" s="5">
        <v>544</v>
      </c>
    </row>
    <row r="550" spans="2:2">
      <c r="B550" s="5">
        <v>545</v>
      </c>
    </row>
    <row r="551" spans="2:2">
      <c r="B551" s="5">
        <v>546</v>
      </c>
    </row>
    <row r="552" spans="2:2">
      <c r="B552" s="5">
        <v>547</v>
      </c>
    </row>
    <row r="553" spans="2:2">
      <c r="B553" s="5">
        <v>548</v>
      </c>
    </row>
    <row r="554" spans="2:2">
      <c r="B554" s="5">
        <v>549</v>
      </c>
    </row>
    <row r="555" spans="2:2">
      <c r="B555" s="5">
        <v>550</v>
      </c>
    </row>
    <row r="556" spans="2:2">
      <c r="B556" s="5">
        <v>551</v>
      </c>
    </row>
    <row r="557" spans="2:2">
      <c r="B557" s="5">
        <v>552</v>
      </c>
    </row>
    <row r="558" spans="2:2">
      <c r="B558" s="5">
        <v>553</v>
      </c>
    </row>
    <row r="559" spans="2:2">
      <c r="B559" s="5">
        <v>554</v>
      </c>
    </row>
    <row r="560" spans="2:2">
      <c r="B560" s="5">
        <v>555</v>
      </c>
    </row>
    <row r="561" spans="2:2">
      <c r="B561" s="5">
        <v>556</v>
      </c>
    </row>
    <row r="562" spans="2:2">
      <c r="B562" s="5">
        <v>557</v>
      </c>
    </row>
    <row r="563" spans="2:2">
      <c r="B563" s="5">
        <v>558</v>
      </c>
    </row>
    <row r="564" spans="2:2">
      <c r="B564" s="5">
        <v>559</v>
      </c>
    </row>
    <row r="565" spans="2:2">
      <c r="B565" s="5">
        <v>560</v>
      </c>
    </row>
    <row r="566" spans="2:2">
      <c r="B566" s="5">
        <v>561</v>
      </c>
    </row>
    <row r="567" spans="2:2">
      <c r="B567" s="5">
        <v>562</v>
      </c>
    </row>
    <row r="568" spans="2:2">
      <c r="B568" s="5">
        <v>563</v>
      </c>
    </row>
    <row r="569" spans="2:2">
      <c r="B569" s="5">
        <v>564</v>
      </c>
    </row>
    <row r="570" spans="2:2">
      <c r="B570" s="5">
        <v>565</v>
      </c>
    </row>
    <row r="571" spans="2:2">
      <c r="B571" s="5">
        <v>566</v>
      </c>
    </row>
    <row r="572" spans="2:2">
      <c r="B572" s="5">
        <v>567</v>
      </c>
    </row>
    <row r="573" spans="2:2">
      <c r="B573" s="5">
        <v>568</v>
      </c>
    </row>
    <row r="574" spans="2:2">
      <c r="B574" s="5">
        <v>569</v>
      </c>
    </row>
    <row r="575" spans="2:2">
      <c r="B575" s="5">
        <v>570</v>
      </c>
    </row>
    <row r="576" spans="2:2">
      <c r="B576" s="5">
        <v>571</v>
      </c>
    </row>
    <row r="577" spans="2:2">
      <c r="B577" s="5">
        <v>572</v>
      </c>
    </row>
    <row r="578" spans="2:2">
      <c r="B578" s="5">
        <v>573</v>
      </c>
    </row>
    <row r="579" spans="2:2">
      <c r="B579" s="5">
        <v>574</v>
      </c>
    </row>
    <row r="580" spans="2:2">
      <c r="B580" s="5">
        <v>575</v>
      </c>
    </row>
    <row r="581" spans="2:2">
      <c r="B581" s="5">
        <v>576</v>
      </c>
    </row>
    <row r="582" spans="2:2">
      <c r="B582" s="5">
        <v>577</v>
      </c>
    </row>
    <row r="583" spans="2:2">
      <c r="B583" s="5">
        <v>578</v>
      </c>
    </row>
    <row r="584" spans="2:2">
      <c r="B584" s="5">
        <v>579</v>
      </c>
    </row>
    <row r="585" spans="2:2">
      <c r="B585" s="5">
        <v>580</v>
      </c>
    </row>
    <row r="586" spans="2:2">
      <c r="B586" s="5">
        <v>581</v>
      </c>
    </row>
    <row r="587" spans="2:2">
      <c r="B587" s="5">
        <v>582</v>
      </c>
    </row>
    <row r="588" spans="2:2">
      <c r="B588" s="5">
        <v>583</v>
      </c>
    </row>
    <row r="589" spans="2:2">
      <c r="B589" s="5">
        <v>584</v>
      </c>
    </row>
    <row r="590" spans="2:2">
      <c r="B590" s="5">
        <v>585</v>
      </c>
    </row>
    <row r="591" spans="2:2">
      <c r="B591" s="5">
        <v>586</v>
      </c>
    </row>
    <row r="592" spans="2:2">
      <c r="B592" s="5">
        <v>587</v>
      </c>
    </row>
    <row r="593" spans="2:2">
      <c r="B593" s="5">
        <v>588</v>
      </c>
    </row>
    <row r="594" spans="2:2">
      <c r="B594" s="5">
        <v>589</v>
      </c>
    </row>
    <row r="595" spans="2:2">
      <c r="B595" s="5">
        <v>590</v>
      </c>
    </row>
    <row r="596" spans="2:2">
      <c r="B596" s="5">
        <v>591</v>
      </c>
    </row>
    <row r="597" spans="2:2">
      <c r="B597" s="5">
        <v>592</v>
      </c>
    </row>
    <row r="598" spans="2:2">
      <c r="B598" s="5">
        <v>593</v>
      </c>
    </row>
    <row r="599" spans="2:2">
      <c r="B599" s="5">
        <v>594</v>
      </c>
    </row>
    <row r="600" spans="2:2">
      <c r="B600" s="5">
        <v>595</v>
      </c>
    </row>
    <row r="601" spans="2:2">
      <c r="B601" s="5">
        <v>596</v>
      </c>
    </row>
    <row r="602" spans="2:2">
      <c r="B602" s="5">
        <v>597</v>
      </c>
    </row>
    <row r="603" spans="2:2">
      <c r="B603" s="5">
        <v>598</v>
      </c>
    </row>
    <row r="604" spans="2:2">
      <c r="B604" s="5">
        <v>599</v>
      </c>
    </row>
    <row r="605" spans="2:2">
      <c r="B605" s="5">
        <v>600</v>
      </c>
    </row>
    <row r="606" spans="2:2">
      <c r="B606" s="5">
        <v>601</v>
      </c>
    </row>
    <row r="607" spans="2:2">
      <c r="B607" s="5">
        <v>602</v>
      </c>
    </row>
    <row r="608" spans="2:2">
      <c r="B608" s="5">
        <v>603</v>
      </c>
    </row>
    <row r="609" spans="2:2">
      <c r="B609" s="5">
        <v>604</v>
      </c>
    </row>
    <row r="610" spans="2:2">
      <c r="B610" s="5">
        <v>605</v>
      </c>
    </row>
    <row r="611" spans="2:2">
      <c r="B611" s="5">
        <v>606</v>
      </c>
    </row>
    <row r="612" spans="2:2">
      <c r="B612" s="5">
        <v>607</v>
      </c>
    </row>
    <row r="613" spans="2:2">
      <c r="B613" s="5">
        <v>608</v>
      </c>
    </row>
    <row r="614" spans="2:2">
      <c r="B614" s="5">
        <v>609</v>
      </c>
    </row>
    <row r="615" spans="2:2">
      <c r="B615" s="5">
        <v>610</v>
      </c>
    </row>
    <row r="616" spans="2:2">
      <c r="B616" s="5">
        <v>611</v>
      </c>
    </row>
    <row r="617" spans="2:2">
      <c r="B617" s="5">
        <v>612</v>
      </c>
    </row>
    <row r="618" spans="2:2">
      <c r="B618" s="5">
        <v>613</v>
      </c>
    </row>
    <row r="619" spans="2:2">
      <c r="B619" s="5">
        <v>614</v>
      </c>
    </row>
    <row r="620" spans="2:2">
      <c r="B620" s="5">
        <v>615</v>
      </c>
    </row>
    <row r="621" spans="2:2">
      <c r="B621" s="5">
        <v>616</v>
      </c>
    </row>
    <row r="622" spans="2:2">
      <c r="B622" s="5">
        <v>617</v>
      </c>
    </row>
    <row r="623" spans="2:2">
      <c r="B623" s="5">
        <v>618</v>
      </c>
    </row>
    <row r="624" spans="2:2">
      <c r="B624" s="5">
        <v>619</v>
      </c>
    </row>
    <row r="625" spans="2:2">
      <c r="B625" s="5">
        <v>620</v>
      </c>
    </row>
    <row r="626" spans="2:2">
      <c r="B626" s="5">
        <v>621</v>
      </c>
    </row>
    <row r="627" spans="2:2">
      <c r="B627" s="5">
        <v>622</v>
      </c>
    </row>
    <row r="628" spans="2:2">
      <c r="B628" s="5">
        <v>623</v>
      </c>
    </row>
    <row r="629" spans="2:2">
      <c r="B629" s="5">
        <v>624</v>
      </c>
    </row>
    <row r="630" spans="2:2">
      <c r="B630" s="5">
        <v>625</v>
      </c>
    </row>
    <row r="631" spans="2:2">
      <c r="B631" s="5">
        <v>626</v>
      </c>
    </row>
    <row r="632" spans="2:2">
      <c r="B632" s="5">
        <v>627</v>
      </c>
    </row>
    <row r="633" spans="2:2">
      <c r="B633" s="5">
        <v>628</v>
      </c>
    </row>
    <row r="634" spans="2:2">
      <c r="B634" s="5">
        <v>629</v>
      </c>
    </row>
    <row r="635" spans="2:2">
      <c r="B635" s="5">
        <v>630</v>
      </c>
    </row>
    <row r="636" spans="2:2">
      <c r="B636" s="5">
        <v>631</v>
      </c>
    </row>
    <row r="637" spans="2:2">
      <c r="B637" s="5">
        <v>632</v>
      </c>
    </row>
    <row r="638" spans="2:2">
      <c r="B638" s="5">
        <v>633</v>
      </c>
    </row>
    <row r="639" spans="2:2">
      <c r="B639" s="5">
        <v>634</v>
      </c>
    </row>
    <row r="640" spans="2:2">
      <c r="B640" s="5">
        <v>635</v>
      </c>
    </row>
    <row r="641" spans="2:2">
      <c r="B641" s="5">
        <v>636</v>
      </c>
    </row>
    <row r="642" spans="2:2">
      <c r="B642" s="5">
        <v>637</v>
      </c>
    </row>
    <row r="643" spans="2:2">
      <c r="B643" s="5">
        <v>638</v>
      </c>
    </row>
    <row r="644" spans="2:2">
      <c r="B644" s="5">
        <v>639</v>
      </c>
    </row>
    <row r="645" spans="2:2">
      <c r="B645" s="5">
        <v>640</v>
      </c>
    </row>
    <row r="646" spans="2:2">
      <c r="B646" s="5">
        <v>641</v>
      </c>
    </row>
    <row r="647" spans="2:2">
      <c r="B647" s="5">
        <v>642</v>
      </c>
    </row>
    <row r="648" spans="2:2">
      <c r="B648" s="5">
        <v>643</v>
      </c>
    </row>
    <row r="649" spans="2:2">
      <c r="B649" s="5">
        <v>644</v>
      </c>
    </row>
    <row r="650" spans="2:2">
      <c r="B650" s="5">
        <v>645</v>
      </c>
    </row>
    <row r="651" spans="2:2">
      <c r="B651" s="5">
        <v>646</v>
      </c>
    </row>
    <row r="652" spans="2:2">
      <c r="B652" s="5">
        <v>647</v>
      </c>
    </row>
    <row r="653" spans="2:2">
      <c r="B653" s="5">
        <v>648</v>
      </c>
    </row>
    <row r="654" spans="2:2">
      <c r="B654" s="5">
        <v>649</v>
      </c>
    </row>
    <row r="655" spans="2:2">
      <c r="B655" s="5">
        <v>650</v>
      </c>
    </row>
    <row r="656" spans="2:2">
      <c r="B656" s="5">
        <v>651</v>
      </c>
    </row>
    <row r="657" spans="2:2">
      <c r="B657" s="5">
        <v>652</v>
      </c>
    </row>
    <row r="658" spans="2:2">
      <c r="B658" s="5">
        <v>653</v>
      </c>
    </row>
    <row r="659" spans="2:2">
      <c r="B659" s="5">
        <v>654</v>
      </c>
    </row>
    <row r="660" spans="2:2">
      <c r="B660" s="5">
        <v>655</v>
      </c>
    </row>
    <row r="661" spans="2:2">
      <c r="B661" s="5">
        <v>656</v>
      </c>
    </row>
    <row r="662" spans="2:2">
      <c r="B662" s="5">
        <v>657</v>
      </c>
    </row>
    <row r="663" spans="2:2">
      <c r="B663" s="5">
        <v>658</v>
      </c>
    </row>
    <row r="664" spans="2:2">
      <c r="B664" s="5">
        <v>659</v>
      </c>
    </row>
    <row r="665" spans="2:2">
      <c r="B665" s="5">
        <v>660</v>
      </c>
    </row>
    <row r="666" spans="2:2">
      <c r="B666" s="5">
        <v>661</v>
      </c>
    </row>
    <row r="667" spans="2:2">
      <c r="B667" s="5">
        <v>662</v>
      </c>
    </row>
    <row r="668" spans="2:2">
      <c r="B668" s="5">
        <v>663</v>
      </c>
    </row>
    <row r="669" spans="2:2">
      <c r="B669" s="5">
        <v>664</v>
      </c>
    </row>
    <row r="670" spans="2:2">
      <c r="B670" s="5">
        <v>665</v>
      </c>
    </row>
    <row r="671" spans="2:2">
      <c r="B671" s="5">
        <v>666</v>
      </c>
    </row>
    <row r="672" spans="2:2">
      <c r="B672" s="5">
        <v>667</v>
      </c>
    </row>
    <row r="673" spans="2:2">
      <c r="B673" s="5">
        <v>668</v>
      </c>
    </row>
    <row r="674" spans="2:2">
      <c r="B674" s="5">
        <v>669</v>
      </c>
    </row>
    <row r="675" spans="2:2">
      <c r="B675" s="5">
        <v>670</v>
      </c>
    </row>
    <row r="676" spans="2:2">
      <c r="B676" s="5">
        <v>671</v>
      </c>
    </row>
    <row r="677" spans="2:2">
      <c r="B677" s="5">
        <v>672</v>
      </c>
    </row>
    <row r="678" spans="2:2">
      <c r="B678" s="5">
        <v>673</v>
      </c>
    </row>
    <row r="679" spans="2:2">
      <c r="B679" s="5">
        <v>674</v>
      </c>
    </row>
    <row r="680" spans="2:2">
      <c r="B680" s="5">
        <v>675</v>
      </c>
    </row>
    <row r="681" spans="2:2">
      <c r="B681" s="5">
        <v>676</v>
      </c>
    </row>
    <row r="682" spans="2:2">
      <c r="B682" s="5">
        <v>677</v>
      </c>
    </row>
    <row r="683" spans="2:2">
      <c r="B683" s="5">
        <v>678</v>
      </c>
    </row>
    <row r="684" spans="2:2">
      <c r="B684" s="5">
        <v>679</v>
      </c>
    </row>
    <row r="685" spans="2:2">
      <c r="B685" s="5">
        <v>680</v>
      </c>
    </row>
    <row r="686" spans="2:2">
      <c r="B686" s="5">
        <v>681</v>
      </c>
    </row>
    <row r="687" spans="2:2">
      <c r="B687" s="5">
        <v>682</v>
      </c>
    </row>
    <row r="688" spans="2:2">
      <c r="B688" s="5">
        <v>683</v>
      </c>
    </row>
    <row r="689" spans="2:2">
      <c r="B689" s="5">
        <v>684</v>
      </c>
    </row>
    <row r="690" spans="2:2">
      <c r="B690" s="5">
        <v>685</v>
      </c>
    </row>
    <row r="691" spans="2:2">
      <c r="B691" s="5">
        <v>686</v>
      </c>
    </row>
    <row r="692" spans="2:2">
      <c r="B692" s="5">
        <v>687</v>
      </c>
    </row>
    <row r="693" spans="2:2">
      <c r="B693" s="5">
        <v>688</v>
      </c>
    </row>
    <row r="694" spans="2:2">
      <c r="B694" s="5">
        <v>689</v>
      </c>
    </row>
    <row r="695" spans="2:2">
      <c r="B695" s="5">
        <v>690</v>
      </c>
    </row>
    <row r="696" spans="2:2">
      <c r="B696" s="5">
        <v>691</v>
      </c>
    </row>
    <row r="697" spans="2:2">
      <c r="B697" s="5">
        <v>692</v>
      </c>
    </row>
    <row r="698" spans="2:2">
      <c r="B698" s="5">
        <v>693</v>
      </c>
    </row>
    <row r="699" spans="2:2">
      <c r="B699" s="5">
        <v>694</v>
      </c>
    </row>
    <row r="700" spans="2:2">
      <c r="B700" s="5">
        <v>695</v>
      </c>
    </row>
    <row r="701" spans="2:2">
      <c r="B701" s="5">
        <v>696</v>
      </c>
    </row>
    <row r="702" spans="2:2">
      <c r="B702" s="5">
        <v>697</v>
      </c>
    </row>
    <row r="703" spans="2:2">
      <c r="B703" s="5">
        <v>698</v>
      </c>
    </row>
    <row r="704" spans="2:2">
      <c r="B704" s="5">
        <v>699</v>
      </c>
    </row>
    <row r="705" spans="2:2">
      <c r="B705" s="5">
        <v>700</v>
      </c>
    </row>
    <row r="706" spans="2:2">
      <c r="B706" s="5">
        <v>701</v>
      </c>
    </row>
    <row r="707" spans="2:2">
      <c r="B707" s="5">
        <v>702</v>
      </c>
    </row>
    <row r="708" spans="2:2">
      <c r="B708" s="5">
        <v>703</v>
      </c>
    </row>
    <row r="709" spans="2:2">
      <c r="B709" s="5">
        <v>704</v>
      </c>
    </row>
    <row r="710" spans="2:2">
      <c r="B710" s="5">
        <v>705</v>
      </c>
    </row>
    <row r="711" spans="2:2">
      <c r="B711" s="5">
        <v>706</v>
      </c>
    </row>
    <row r="712" spans="2:2">
      <c r="B712" s="5">
        <v>707</v>
      </c>
    </row>
    <row r="713" spans="2:2">
      <c r="B713" s="5">
        <v>708</v>
      </c>
    </row>
    <row r="714" spans="2:2">
      <c r="B714" s="5">
        <v>709</v>
      </c>
    </row>
    <row r="715" spans="2:2">
      <c r="B715" s="5">
        <v>710</v>
      </c>
    </row>
    <row r="716" spans="2:2">
      <c r="B716" s="5">
        <v>711</v>
      </c>
    </row>
    <row r="717" spans="2:2">
      <c r="B717" s="5">
        <v>712</v>
      </c>
    </row>
    <row r="718" spans="2:2">
      <c r="B718" s="5">
        <v>713</v>
      </c>
    </row>
    <row r="719" spans="2:2">
      <c r="B719" s="5">
        <v>714</v>
      </c>
    </row>
    <row r="720" spans="2:2">
      <c r="B720" s="5">
        <v>715</v>
      </c>
    </row>
    <row r="721" spans="2:2">
      <c r="B721" s="5">
        <v>716</v>
      </c>
    </row>
    <row r="722" spans="2:2">
      <c r="B722" s="5">
        <v>717</v>
      </c>
    </row>
    <row r="723" spans="2:2">
      <c r="B723" s="5">
        <v>718</v>
      </c>
    </row>
    <row r="724" spans="2:2">
      <c r="B724" s="5">
        <v>719</v>
      </c>
    </row>
    <row r="725" spans="2:2">
      <c r="B725" s="5">
        <v>720</v>
      </c>
    </row>
    <row r="726" spans="2:2">
      <c r="B726" s="5">
        <v>721</v>
      </c>
    </row>
    <row r="727" spans="2:2">
      <c r="B727" s="5">
        <v>722</v>
      </c>
    </row>
    <row r="728" spans="2:2">
      <c r="B728" s="5">
        <v>723</v>
      </c>
    </row>
    <row r="729" spans="2:2">
      <c r="B729" s="5">
        <v>724</v>
      </c>
    </row>
    <row r="730" spans="2:2">
      <c r="B730" s="5">
        <v>725</v>
      </c>
    </row>
    <row r="731" spans="2:2">
      <c r="B731" s="5">
        <v>726</v>
      </c>
    </row>
    <row r="732" spans="2:2">
      <c r="B732" s="5">
        <v>727</v>
      </c>
    </row>
    <row r="733" spans="2:2">
      <c r="B733" s="5">
        <v>728</v>
      </c>
    </row>
    <row r="734" spans="2:2">
      <c r="B734" s="5">
        <v>729</v>
      </c>
    </row>
    <row r="735" spans="2:2">
      <c r="B735" s="5">
        <v>730</v>
      </c>
    </row>
    <row r="736" spans="2:2">
      <c r="B736" s="5">
        <v>731</v>
      </c>
    </row>
    <row r="737" spans="2:2">
      <c r="B737" s="5">
        <v>732</v>
      </c>
    </row>
    <row r="738" spans="2:2">
      <c r="B738" s="5">
        <v>733</v>
      </c>
    </row>
    <row r="739" spans="2:2">
      <c r="B739" s="5">
        <v>734</v>
      </c>
    </row>
    <row r="740" spans="2:2">
      <c r="B740" s="5">
        <v>735</v>
      </c>
    </row>
    <row r="741" spans="2:2">
      <c r="B741" s="5">
        <v>736</v>
      </c>
    </row>
    <row r="742" spans="2:2">
      <c r="B742" s="5">
        <v>737</v>
      </c>
    </row>
    <row r="743" spans="2:2">
      <c r="B743" s="5">
        <v>738</v>
      </c>
    </row>
    <row r="744" spans="2:2">
      <c r="B744" s="5">
        <v>739</v>
      </c>
    </row>
    <row r="745" spans="2:2">
      <c r="B745" s="5">
        <v>740</v>
      </c>
    </row>
    <row r="746" spans="2:2">
      <c r="B746" s="5">
        <v>741</v>
      </c>
    </row>
    <row r="747" spans="2:2">
      <c r="B747" s="5">
        <v>742</v>
      </c>
    </row>
    <row r="748" spans="2:2">
      <c r="B748" s="5">
        <v>743</v>
      </c>
    </row>
    <row r="749" spans="2:2">
      <c r="B749" s="5">
        <v>744</v>
      </c>
    </row>
    <row r="750" spans="2:2">
      <c r="B750" s="5">
        <v>745</v>
      </c>
    </row>
    <row r="751" spans="2:2">
      <c r="B751" s="5">
        <v>746</v>
      </c>
    </row>
    <row r="752" spans="2:2">
      <c r="B752" s="5">
        <v>747</v>
      </c>
    </row>
    <row r="753" spans="2:2">
      <c r="B753" s="5">
        <v>748</v>
      </c>
    </row>
    <row r="754" spans="2:2">
      <c r="B754" s="5">
        <v>749</v>
      </c>
    </row>
    <row r="755" spans="2:2">
      <c r="B755" s="5">
        <v>750</v>
      </c>
    </row>
    <row r="756" spans="2:2">
      <c r="B756" s="5">
        <v>751</v>
      </c>
    </row>
    <row r="757" spans="2:2">
      <c r="B757" s="5">
        <v>752</v>
      </c>
    </row>
    <row r="758" spans="2:2">
      <c r="B758" s="5">
        <v>753</v>
      </c>
    </row>
    <row r="759" spans="2:2">
      <c r="B759" s="5">
        <v>754</v>
      </c>
    </row>
    <row r="760" spans="2:2">
      <c r="B760" s="5">
        <v>755</v>
      </c>
    </row>
    <row r="761" spans="2:2">
      <c r="B761" s="5">
        <v>756</v>
      </c>
    </row>
    <row r="762" spans="2:2">
      <c r="B762" s="5">
        <v>757</v>
      </c>
    </row>
    <row r="763" spans="2:2">
      <c r="B763" s="5">
        <v>758</v>
      </c>
    </row>
    <row r="764" spans="2:2">
      <c r="B764" s="5">
        <v>759</v>
      </c>
    </row>
    <row r="765" spans="2:2">
      <c r="B765" s="5">
        <v>760</v>
      </c>
    </row>
    <row r="766" spans="2:2">
      <c r="B766" s="5">
        <v>761</v>
      </c>
    </row>
    <row r="767" spans="2:2">
      <c r="B767" s="5">
        <v>762</v>
      </c>
    </row>
    <row r="768" spans="2:2">
      <c r="B768" s="5">
        <v>763</v>
      </c>
    </row>
    <row r="769" spans="2:2">
      <c r="B769" s="5">
        <v>764</v>
      </c>
    </row>
    <row r="770" spans="2:2">
      <c r="B770" s="5">
        <v>765</v>
      </c>
    </row>
    <row r="771" spans="2:2">
      <c r="B771" s="5">
        <v>766</v>
      </c>
    </row>
    <row r="772" spans="2:2">
      <c r="B772" s="5">
        <v>767</v>
      </c>
    </row>
    <row r="773" spans="2:2">
      <c r="B773" s="5">
        <v>768</v>
      </c>
    </row>
    <row r="774" spans="2:2">
      <c r="B774" s="5">
        <v>769</v>
      </c>
    </row>
    <row r="775" spans="2:2">
      <c r="B775" s="5">
        <v>770</v>
      </c>
    </row>
    <row r="776" spans="2:2">
      <c r="B776" s="5">
        <v>771</v>
      </c>
    </row>
    <row r="777" spans="2:2">
      <c r="B777" s="5">
        <v>772</v>
      </c>
    </row>
    <row r="778" spans="2:2">
      <c r="B778" s="5">
        <v>773</v>
      </c>
    </row>
    <row r="779" spans="2:2">
      <c r="B779" s="5">
        <v>774</v>
      </c>
    </row>
    <row r="780" spans="2:2">
      <c r="B780" s="5">
        <v>775</v>
      </c>
    </row>
    <row r="781" spans="2:2">
      <c r="B781" s="5">
        <v>776</v>
      </c>
    </row>
    <row r="782" spans="2:2">
      <c r="B782" s="5">
        <v>777</v>
      </c>
    </row>
    <row r="783" spans="2:2">
      <c r="B783" s="5">
        <v>778</v>
      </c>
    </row>
    <row r="784" spans="2:2">
      <c r="B784" s="5">
        <v>779</v>
      </c>
    </row>
    <row r="785" spans="2:2">
      <c r="B785" s="5">
        <v>780</v>
      </c>
    </row>
    <row r="786" spans="2:2">
      <c r="B786" s="5">
        <v>781</v>
      </c>
    </row>
    <row r="787" spans="2:2">
      <c r="B787" s="5">
        <v>782</v>
      </c>
    </row>
    <row r="788" spans="2:2">
      <c r="B788" s="5">
        <v>783</v>
      </c>
    </row>
    <row r="789" spans="2:2">
      <c r="B789" s="5">
        <v>784</v>
      </c>
    </row>
    <row r="790" spans="2:2">
      <c r="B790" s="5">
        <v>785</v>
      </c>
    </row>
    <row r="791" spans="2:2">
      <c r="B791" s="5">
        <v>786</v>
      </c>
    </row>
    <row r="792" spans="2:2">
      <c r="B792" s="5">
        <v>787</v>
      </c>
    </row>
    <row r="793" spans="2:2">
      <c r="B793" s="5">
        <v>788</v>
      </c>
    </row>
    <row r="794" spans="2:2">
      <c r="B794" s="5">
        <v>789</v>
      </c>
    </row>
    <row r="795" spans="2:2">
      <c r="B795" s="5">
        <v>790</v>
      </c>
    </row>
    <row r="796" spans="2:2">
      <c r="B796" s="5">
        <v>791</v>
      </c>
    </row>
    <row r="797" spans="2:2">
      <c r="B797" s="5">
        <v>792</v>
      </c>
    </row>
    <row r="798" spans="2:2">
      <c r="B798" s="5">
        <v>793</v>
      </c>
    </row>
    <row r="799" spans="2:2">
      <c r="B799" s="5">
        <v>794</v>
      </c>
    </row>
    <row r="800" spans="2:2">
      <c r="B800" s="5">
        <v>795</v>
      </c>
    </row>
    <row r="801" spans="2:2">
      <c r="B801" s="5">
        <v>796</v>
      </c>
    </row>
    <row r="802" spans="2:2">
      <c r="B802" s="5">
        <v>797</v>
      </c>
    </row>
    <row r="803" spans="2:2">
      <c r="B803" s="5">
        <v>798</v>
      </c>
    </row>
    <row r="804" spans="2:2">
      <c r="B804" s="5">
        <v>799</v>
      </c>
    </row>
    <row r="805" spans="2:2">
      <c r="B805" s="5">
        <v>800</v>
      </c>
    </row>
    <row r="806" spans="2:2">
      <c r="B806" s="5">
        <v>801</v>
      </c>
    </row>
    <row r="807" spans="2:2">
      <c r="B807" s="5">
        <v>802</v>
      </c>
    </row>
    <row r="808" spans="2:2">
      <c r="B808" s="5">
        <v>803</v>
      </c>
    </row>
    <row r="809" spans="2:2">
      <c r="B809" s="5">
        <v>804</v>
      </c>
    </row>
    <row r="810" spans="2:2">
      <c r="B810" s="5">
        <v>805</v>
      </c>
    </row>
    <row r="811" spans="2:2">
      <c r="B811" s="5">
        <v>806</v>
      </c>
    </row>
    <row r="812" spans="2:2">
      <c r="B812" s="5">
        <v>807</v>
      </c>
    </row>
    <row r="813" spans="2:2">
      <c r="B813" s="5">
        <v>808</v>
      </c>
    </row>
    <row r="814" spans="2:2">
      <c r="B814" s="5">
        <v>809</v>
      </c>
    </row>
    <row r="815" spans="2:2">
      <c r="B815" s="5">
        <v>810</v>
      </c>
    </row>
    <row r="816" spans="2:2">
      <c r="B816" s="5">
        <v>811</v>
      </c>
    </row>
    <row r="817" spans="2:2">
      <c r="B817" s="5">
        <v>812</v>
      </c>
    </row>
    <row r="818" spans="2:2">
      <c r="B818" s="5">
        <v>813</v>
      </c>
    </row>
    <row r="819" spans="2:2">
      <c r="B819" s="5">
        <v>814</v>
      </c>
    </row>
    <row r="820" spans="2:2">
      <c r="B820" s="5">
        <v>815</v>
      </c>
    </row>
    <row r="821" spans="2:2">
      <c r="B821" s="5">
        <v>816</v>
      </c>
    </row>
    <row r="822" spans="2:2">
      <c r="B822" s="5">
        <v>817</v>
      </c>
    </row>
    <row r="823" spans="2:2">
      <c r="B823" s="5">
        <v>818</v>
      </c>
    </row>
    <row r="824" spans="2:2">
      <c r="B824" s="5">
        <v>819</v>
      </c>
    </row>
    <row r="825" spans="2:2">
      <c r="B825" s="5">
        <v>820</v>
      </c>
    </row>
    <row r="826" spans="2:2">
      <c r="B826" s="5">
        <v>821</v>
      </c>
    </row>
    <row r="827" spans="2:2">
      <c r="B827" s="5">
        <v>822</v>
      </c>
    </row>
    <row r="828" spans="2:2">
      <c r="B828" s="5">
        <v>823</v>
      </c>
    </row>
    <row r="829" spans="2:2">
      <c r="B829" s="5">
        <v>824</v>
      </c>
    </row>
    <row r="830" spans="2:2">
      <c r="B830" s="5">
        <v>825</v>
      </c>
    </row>
    <row r="831" spans="2:2">
      <c r="B831" s="5">
        <v>826</v>
      </c>
    </row>
    <row r="832" spans="2:2">
      <c r="B832" s="5">
        <v>827</v>
      </c>
    </row>
    <row r="833" spans="2:2">
      <c r="B833" s="5">
        <v>828</v>
      </c>
    </row>
    <row r="834" spans="2:2">
      <c r="B834" s="5">
        <v>829</v>
      </c>
    </row>
    <row r="835" spans="2:2">
      <c r="B835" s="5">
        <v>830</v>
      </c>
    </row>
    <row r="836" spans="2:2">
      <c r="B836" s="5">
        <v>831</v>
      </c>
    </row>
    <row r="837" spans="2:2">
      <c r="B837" s="5">
        <v>832</v>
      </c>
    </row>
    <row r="838" spans="2:2">
      <c r="B838" s="5">
        <v>833</v>
      </c>
    </row>
    <row r="839" spans="2:2">
      <c r="B839" s="5">
        <v>834</v>
      </c>
    </row>
    <row r="840" spans="2:2">
      <c r="B840" s="5">
        <v>835</v>
      </c>
    </row>
    <row r="841" spans="2:2">
      <c r="B841" s="5">
        <v>836</v>
      </c>
    </row>
    <row r="842" spans="2:2">
      <c r="B842" s="5">
        <v>837</v>
      </c>
    </row>
    <row r="843" spans="2:2">
      <c r="B843" s="5">
        <v>838</v>
      </c>
    </row>
    <row r="844" spans="2:2">
      <c r="B844" s="5">
        <v>839</v>
      </c>
    </row>
    <row r="845" spans="2:2">
      <c r="B845" s="5">
        <v>840</v>
      </c>
    </row>
    <row r="846" spans="2:2">
      <c r="B846" s="5">
        <v>841</v>
      </c>
    </row>
    <row r="847" spans="2:2">
      <c r="B847" s="5">
        <v>842</v>
      </c>
    </row>
    <row r="848" spans="2:2">
      <c r="B848" s="5">
        <v>843</v>
      </c>
    </row>
    <row r="849" spans="2:2">
      <c r="B849" s="5">
        <v>844</v>
      </c>
    </row>
    <row r="850" spans="2:2">
      <c r="B850" s="5">
        <v>845</v>
      </c>
    </row>
    <row r="851" spans="2:2">
      <c r="B851" s="5">
        <v>846</v>
      </c>
    </row>
    <row r="852" spans="2:2">
      <c r="B852" s="5">
        <v>847</v>
      </c>
    </row>
    <row r="853" spans="2:2">
      <c r="B853" s="5">
        <v>848</v>
      </c>
    </row>
    <row r="854" spans="2:2">
      <c r="B854" s="5">
        <v>849</v>
      </c>
    </row>
    <row r="855" spans="2:2">
      <c r="B855" s="5">
        <v>850</v>
      </c>
    </row>
    <row r="856" spans="2:2">
      <c r="B856" s="5">
        <v>851</v>
      </c>
    </row>
    <row r="857" spans="2:2">
      <c r="B857" s="5">
        <v>852</v>
      </c>
    </row>
    <row r="858" spans="2:2">
      <c r="B858" s="5">
        <v>853</v>
      </c>
    </row>
    <row r="859" spans="2:2">
      <c r="B859" s="5">
        <v>854</v>
      </c>
    </row>
    <row r="860" spans="2:2">
      <c r="B860" s="5">
        <v>855</v>
      </c>
    </row>
    <row r="861" spans="2:2">
      <c r="B861" s="5">
        <v>856</v>
      </c>
    </row>
    <row r="862" spans="2:2">
      <c r="B862" s="5">
        <v>857</v>
      </c>
    </row>
    <row r="863" spans="2:2">
      <c r="B863" s="5">
        <v>858</v>
      </c>
    </row>
    <row r="864" spans="2:2">
      <c r="B864" s="5">
        <v>859</v>
      </c>
    </row>
    <row r="865" spans="2:2">
      <c r="B865" s="5">
        <v>860</v>
      </c>
    </row>
    <row r="866" spans="2:2">
      <c r="B866" s="5">
        <v>861</v>
      </c>
    </row>
    <row r="867" spans="2:2">
      <c r="B867" s="5">
        <v>862</v>
      </c>
    </row>
    <row r="868" spans="2:2">
      <c r="B868" s="5">
        <v>863</v>
      </c>
    </row>
    <row r="869" spans="2:2">
      <c r="B869" s="5">
        <v>864</v>
      </c>
    </row>
    <row r="870" spans="2:2">
      <c r="B870" s="5">
        <v>865</v>
      </c>
    </row>
    <row r="871" spans="2:2">
      <c r="B871" s="5">
        <v>866</v>
      </c>
    </row>
    <row r="872" spans="2:2">
      <c r="B872" s="5">
        <v>867</v>
      </c>
    </row>
    <row r="873" spans="2:2">
      <c r="B873" s="5">
        <v>868</v>
      </c>
    </row>
    <row r="874" spans="2:2">
      <c r="B874" s="5">
        <v>869</v>
      </c>
    </row>
    <row r="875" spans="2:2">
      <c r="B875" s="5">
        <v>870</v>
      </c>
    </row>
    <row r="876" spans="2:2">
      <c r="B876" s="5">
        <v>871</v>
      </c>
    </row>
    <row r="877" spans="2:2">
      <c r="B877" s="5">
        <v>872</v>
      </c>
    </row>
    <row r="878" spans="2:2">
      <c r="B878" s="5">
        <v>873</v>
      </c>
    </row>
    <row r="879" spans="2:2">
      <c r="B879" s="5">
        <v>874</v>
      </c>
    </row>
    <row r="880" spans="2:2">
      <c r="B880" s="5">
        <v>875</v>
      </c>
    </row>
    <row r="881" spans="2:2">
      <c r="B881" s="5">
        <v>876</v>
      </c>
    </row>
    <row r="882" spans="2:2">
      <c r="B882" s="5">
        <v>877</v>
      </c>
    </row>
    <row r="883" spans="2:2">
      <c r="B883" s="5">
        <v>878</v>
      </c>
    </row>
    <row r="884" spans="2:2">
      <c r="B884" s="5">
        <v>879</v>
      </c>
    </row>
    <row r="885" spans="2:2">
      <c r="B885" s="5">
        <v>880</v>
      </c>
    </row>
    <row r="886" spans="2:2">
      <c r="B886" s="5">
        <v>881</v>
      </c>
    </row>
    <row r="887" spans="2:2">
      <c r="B887" s="5">
        <v>882</v>
      </c>
    </row>
    <row r="888" spans="2:2">
      <c r="B888" s="5">
        <v>883</v>
      </c>
    </row>
    <row r="889" spans="2:2">
      <c r="B889" s="5">
        <v>884</v>
      </c>
    </row>
    <row r="890" spans="2:2">
      <c r="B890" s="5">
        <v>885</v>
      </c>
    </row>
    <row r="891" spans="2:2">
      <c r="B891" s="5">
        <v>886</v>
      </c>
    </row>
    <row r="892" spans="2:2">
      <c r="B892" s="5">
        <v>887</v>
      </c>
    </row>
    <row r="893" spans="2:2">
      <c r="B893" s="5">
        <v>888</v>
      </c>
    </row>
    <row r="894" spans="2:2">
      <c r="B894" s="5">
        <v>889</v>
      </c>
    </row>
    <row r="895" spans="2:2">
      <c r="B895" s="5">
        <v>890</v>
      </c>
    </row>
    <row r="896" spans="2:2">
      <c r="B896" s="5">
        <v>891</v>
      </c>
    </row>
    <row r="897" spans="2:17">
      <c r="B897" s="5">
        <v>892</v>
      </c>
    </row>
    <row r="898" spans="2:17">
      <c r="B898" s="5">
        <v>893</v>
      </c>
    </row>
    <row r="899" spans="2:17">
      <c r="B899" s="5">
        <v>894</v>
      </c>
    </row>
    <row r="900" spans="2:17">
      <c r="B900" s="5">
        <v>895</v>
      </c>
      <c r="Q900" s="5" t="s">
        <v>360</v>
      </c>
    </row>
    <row r="901" spans="2:17">
      <c r="B901" s="5">
        <v>896</v>
      </c>
    </row>
    <row r="902" spans="2:17">
      <c r="B902" s="5">
        <v>897</v>
      </c>
    </row>
    <row r="903" spans="2:17">
      <c r="B903" s="5">
        <v>898</v>
      </c>
    </row>
    <row r="904" spans="2:17">
      <c r="B904" s="5">
        <v>899</v>
      </c>
    </row>
    <row r="905" spans="2:17">
      <c r="B905" s="5">
        <v>900</v>
      </c>
    </row>
    <row r="906" spans="2:17">
      <c r="B906" s="5">
        <v>901</v>
      </c>
    </row>
    <row r="907" spans="2:17">
      <c r="B907" s="5">
        <v>902</v>
      </c>
    </row>
    <row r="908" spans="2:17">
      <c r="B908" s="5">
        <v>903</v>
      </c>
    </row>
    <row r="909" spans="2:17">
      <c r="B909" s="5">
        <v>904</v>
      </c>
    </row>
    <row r="910" spans="2:17">
      <c r="B910" s="5">
        <v>905</v>
      </c>
    </row>
    <row r="911" spans="2:17">
      <c r="B911" s="5">
        <v>906</v>
      </c>
    </row>
    <row r="912" spans="2:17">
      <c r="B912" s="5">
        <v>907</v>
      </c>
    </row>
    <row r="913" spans="2:2">
      <c r="B913" s="5">
        <v>908</v>
      </c>
    </row>
    <row r="914" spans="2:2">
      <c r="B914" s="5">
        <v>909</v>
      </c>
    </row>
    <row r="915" spans="2:2">
      <c r="B915" s="5">
        <v>910</v>
      </c>
    </row>
    <row r="916" spans="2:2">
      <c r="B916" s="5">
        <v>911</v>
      </c>
    </row>
    <row r="917" spans="2:2">
      <c r="B917" s="5">
        <v>912</v>
      </c>
    </row>
    <row r="918" spans="2:2">
      <c r="B918" s="5">
        <v>913</v>
      </c>
    </row>
    <row r="919" spans="2:2">
      <c r="B919" s="5">
        <v>914</v>
      </c>
    </row>
    <row r="920" spans="2:2">
      <c r="B920" s="5">
        <v>915</v>
      </c>
    </row>
    <row r="921" spans="2:2">
      <c r="B921" s="5">
        <v>916</v>
      </c>
    </row>
    <row r="922" spans="2:2">
      <c r="B922" s="5">
        <v>917</v>
      </c>
    </row>
    <row r="923" spans="2:2">
      <c r="B923" s="5">
        <v>918</v>
      </c>
    </row>
    <row r="924" spans="2:2">
      <c r="B924" s="5">
        <v>919</v>
      </c>
    </row>
    <row r="925" spans="2:2">
      <c r="B925" s="5">
        <v>920</v>
      </c>
    </row>
    <row r="926" spans="2:2">
      <c r="B926" s="5">
        <v>921</v>
      </c>
    </row>
    <row r="927" spans="2:2">
      <c r="B927" s="5">
        <v>922</v>
      </c>
    </row>
    <row r="928" spans="2:2">
      <c r="B928" s="5">
        <v>923</v>
      </c>
    </row>
    <row r="929" spans="2:2">
      <c r="B929" s="5">
        <v>924</v>
      </c>
    </row>
    <row r="930" spans="2:2">
      <c r="B930" s="5">
        <v>925</v>
      </c>
    </row>
    <row r="931" spans="2:2">
      <c r="B931" s="5">
        <v>926</v>
      </c>
    </row>
    <row r="932" spans="2:2">
      <c r="B932" s="5">
        <v>927</v>
      </c>
    </row>
    <row r="933" spans="2:2">
      <c r="B933" s="5">
        <v>928</v>
      </c>
    </row>
    <row r="934" spans="2:2">
      <c r="B934" s="5">
        <v>929</v>
      </c>
    </row>
    <row r="935" spans="2:2">
      <c r="B935" s="5">
        <v>930</v>
      </c>
    </row>
    <row r="936" spans="2:2">
      <c r="B936" s="5">
        <v>931</v>
      </c>
    </row>
    <row r="937" spans="2:2">
      <c r="B937" s="5">
        <v>932</v>
      </c>
    </row>
    <row r="938" spans="2:2">
      <c r="B938" s="5">
        <v>933</v>
      </c>
    </row>
    <row r="939" spans="2:2">
      <c r="B939" s="5">
        <v>934</v>
      </c>
    </row>
    <row r="940" spans="2:2">
      <c r="B940" s="5">
        <v>935</v>
      </c>
    </row>
    <row r="941" spans="2:2">
      <c r="B941" s="5">
        <v>936</v>
      </c>
    </row>
    <row r="942" spans="2:2">
      <c r="B942" s="5">
        <v>937</v>
      </c>
    </row>
    <row r="943" spans="2:2">
      <c r="B943" s="5">
        <v>938</v>
      </c>
    </row>
    <row r="944" spans="2:2">
      <c r="B944" s="5">
        <v>939</v>
      </c>
    </row>
    <row r="945" spans="2:2">
      <c r="B945" s="5">
        <v>940</v>
      </c>
    </row>
    <row r="946" spans="2:2">
      <c r="B946" s="5">
        <v>941</v>
      </c>
    </row>
    <row r="947" spans="2:2">
      <c r="B947" s="5">
        <v>942</v>
      </c>
    </row>
    <row r="948" spans="2:2">
      <c r="B948" s="5">
        <v>943</v>
      </c>
    </row>
    <row r="949" spans="2:2">
      <c r="B949" s="5">
        <v>944</v>
      </c>
    </row>
    <row r="950" spans="2:2">
      <c r="B950" s="5">
        <v>945</v>
      </c>
    </row>
    <row r="951" spans="2:2">
      <c r="B951" s="5">
        <v>946</v>
      </c>
    </row>
    <row r="952" spans="2:2">
      <c r="B952" s="5">
        <v>947</v>
      </c>
    </row>
    <row r="953" spans="2:2">
      <c r="B953" s="5">
        <v>948</v>
      </c>
    </row>
    <row r="954" spans="2:2">
      <c r="B954" s="5">
        <v>949</v>
      </c>
    </row>
    <row r="955" spans="2:2">
      <c r="B955" s="5">
        <v>950</v>
      </c>
    </row>
    <row r="956" spans="2:2">
      <c r="B956" s="5">
        <v>951</v>
      </c>
    </row>
    <row r="957" spans="2:2">
      <c r="B957" s="5">
        <v>952</v>
      </c>
    </row>
    <row r="958" spans="2:2">
      <c r="B958" s="5">
        <v>953</v>
      </c>
    </row>
    <row r="959" spans="2:2">
      <c r="B959" s="5">
        <v>954</v>
      </c>
    </row>
    <row r="960" spans="2:2">
      <c r="B960" s="5">
        <v>955</v>
      </c>
    </row>
    <row r="961" spans="2:2">
      <c r="B961" s="5">
        <v>956</v>
      </c>
    </row>
    <row r="962" spans="2:2">
      <c r="B962" s="5">
        <v>957</v>
      </c>
    </row>
    <row r="963" spans="2:2">
      <c r="B963" s="5">
        <v>958</v>
      </c>
    </row>
    <row r="964" spans="2:2">
      <c r="B964" s="5">
        <v>959</v>
      </c>
    </row>
    <row r="965" spans="2:2">
      <c r="B965" s="5">
        <v>960</v>
      </c>
    </row>
    <row r="966" spans="2:2">
      <c r="B966" s="5">
        <v>961</v>
      </c>
    </row>
    <row r="967" spans="2:2">
      <c r="B967" s="5">
        <v>962</v>
      </c>
    </row>
    <row r="968" spans="2:2">
      <c r="B968" s="5">
        <v>963</v>
      </c>
    </row>
    <row r="969" spans="2:2">
      <c r="B969" s="5">
        <v>964</v>
      </c>
    </row>
    <row r="970" spans="2:2">
      <c r="B970" s="5">
        <v>965</v>
      </c>
    </row>
    <row r="971" spans="2:2">
      <c r="B971" s="5">
        <v>966</v>
      </c>
    </row>
    <row r="972" spans="2:2">
      <c r="B972" s="5">
        <v>967</v>
      </c>
    </row>
    <row r="973" spans="2:2">
      <c r="B973" s="5">
        <v>968</v>
      </c>
    </row>
    <row r="974" spans="2:2">
      <c r="B974" s="5">
        <v>969</v>
      </c>
    </row>
    <row r="975" spans="2:2">
      <c r="B975" s="5">
        <v>970</v>
      </c>
    </row>
    <row r="976" spans="2:2">
      <c r="B976" s="5">
        <v>971</v>
      </c>
    </row>
    <row r="977" spans="2:2">
      <c r="B977" s="5">
        <v>972</v>
      </c>
    </row>
    <row r="978" spans="2:2">
      <c r="B978" s="5">
        <v>973</v>
      </c>
    </row>
    <row r="979" spans="2:2">
      <c r="B979" s="5">
        <v>974</v>
      </c>
    </row>
    <row r="980" spans="2:2">
      <c r="B980" s="5">
        <v>975</v>
      </c>
    </row>
    <row r="981" spans="2:2">
      <c r="B981" s="5">
        <v>976</v>
      </c>
    </row>
    <row r="982" spans="2:2">
      <c r="B982" s="5">
        <v>977</v>
      </c>
    </row>
    <row r="983" spans="2:2">
      <c r="B983" s="5">
        <v>978</v>
      </c>
    </row>
    <row r="984" spans="2:2">
      <c r="B984" s="5">
        <v>979</v>
      </c>
    </row>
    <row r="985" spans="2:2">
      <c r="B985" s="5">
        <v>980</v>
      </c>
    </row>
    <row r="986" spans="2:2">
      <c r="B986" s="5">
        <v>981</v>
      </c>
    </row>
    <row r="987" spans="2:2">
      <c r="B987" s="5">
        <v>982</v>
      </c>
    </row>
    <row r="988" spans="2:2">
      <c r="B988" s="5">
        <v>983</v>
      </c>
    </row>
    <row r="989" spans="2:2">
      <c r="B989" s="5">
        <v>984</v>
      </c>
    </row>
    <row r="990" spans="2:2">
      <c r="B990" s="5">
        <v>985</v>
      </c>
    </row>
    <row r="991" spans="2:2">
      <c r="B991" s="5">
        <v>986</v>
      </c>
    </row>
    <row r="992" spans="2:2">
      <c r="B992" s="5">
        <v>987</v>
      </c>
    </row>
    <row r="993" spans="2:2">
      <c r="B993" s="5">
        <v>988</v>
      </c>
    </row>
    <row r="994" spans="2:2">
      <c r="B994" s="5">
        <v>989</v>
      </c>
    </row>
    <row r="995" spans="2:2">
      <c r="B995" s="5">
        <v>990</v>
      </c>
    </row>
    <row r="996" spans="2:2">
      <c r="B996" s="5">
        <v>991</v>
      </c>
    </row>
    <row r="997" spans="2:2">
      <c r="B997" s="5">
        <v>992</v>
      </c>
    </row>
    <row r="998" spans="2:2">
      <c r="B998" s="5">
        <v>993</v>
      </c>
    </row>
    <row r="999" spans="2:2">
      <c r="B999" s="5">
        <v>994</v>
      </c>
    </row>
    <row r="1000" spans="2:2">
      <c r="B1000" s="5">
        <v>995</v>
      </c>
    </row>
    <row r="1001" spans="2:2">
      <c r="B1001" s="5">
        <v>996</v>
      </c>
    </row>
    <row r="1002" spans="2:2">
      <c r="B1002" s="5">
        <v>997</v>
      </c>
    </row>
    <row r="1003" spans="2:2">
      <c r="B1003" s="5">
        <v>998</v>
      </c>
    </row>
    <row r="1004" spans="2:2">
      <c r="B1004" s="5">
        <v>999</v>
      </c>
    </row>
    <row r="1005" spans="2:2">
      <c r="B1005" s="5">
        <v>1000</v>
      </c>
    </row>
    <row r="1006" spans="2:2">
      <c r="B1006" s="5">
        <v>1001</v>
      </c>
    </row>
    <row r="1007" spans="2:2">
      <c r="B1007" s="5">
        <v>1002</v>
      </c>
    </row>
    <row r="1008" spans="2:2">
      <c r="B1008" s="5">
        <v>1003</v>
      </c>
    </row>
    <row r="1009" spans="2:2">
      <c r="B1009" s="5">
        <v>1004</v>
      </c>
    </row>
    <row r="1010" spans="2:2">
      <c r="B1010" s="5">
        <v>1005</v>
      </c>
    </row>
    <row r="1011" spans="2:2">
      <c r="B1011" s="5">
        <v>1006</v>
      </c>
    </row>
    <row r="1012" spans="2:2">
      <c r="B1012" s="5">
        <v>1007</v>
      </c>
    </row>
    <row r="1013" spans="2:2">
      <c r="B1013" s="5">
        <v>1008</v>
      </c>
    </row>
    <row r="1014" spans="2:2">
      <c r="B1014" s="5">
        <v>1009</v>
      </c>
    </row>
    <row r="1015" spans="2:2">
      <c r="B1015" s="5">
        <v>1010</v>
      </c>
    </row>
    <row r="1016" spans="2:2">
      <c r="B1016" s="5">
        <v>1011</v>
      </c>
    </row>
    <row r="1017" spans="2:2">
      <c r="B1017" s="5">
        <v>1012</v>
      </c>
    </row>
    <row r="1018" spans="2:2">
      <c r="B1018" s="5">
        <v>1013</v>
      </c>
    </row>
    <row r="1019" spans="2:2">
      <c r="B1019" s="5">
        <v>1014</v>
      </c>
    </row>
    <row r="1020" spans="2:2">
      <c r="B1020" s="5">
        <v>1015</v>
      </c>
    </row>
    <row r="1021" spans="2:2">
      <c r="B1021" s="5">
        <v>1016</v>
      </c>
    </row>
    <row r="1022" spans="2:2">
      <c r="B1022" s="5">
        <v>1017</v>
      </c>
    </row>
    <row r="1023" spans="2:2">
      <c r="B1023" s="5">
        <v>1018</v>
      </c>
    </row>
    <row r="1024" spans="2:2">
      <c r="B1024" s="5">
        <v>1019</v>
      </c>
    </row>
    <row r="1025" spans="2:2">
      <c r="B1025" s="5">
        <v>1020</v>
      </c>
    </row>
    <row r="1026" spans="2:2">
      <c r="B1026" s="5">
        <v>1021</v>
      </c>
    </row>
    <row r="1027" spans="2:2">
      <c r="B1027" s="5">
        <v>1022</v>
      </c>
    </row>
    <row r="1028" spans="2:2">
      <c r="B1028" s="5">
        <v>1023</v>
      </c>
    </row>
    <row r="1029" spans="2:2">
      <c r="B1029" s="5">
        <v>1024</v>
      </c>
    </row>
    <row r="1030" spans="2:2">
      <c r="B1030" s="5">
        <v>1025</v>
      </c>
    </row>
    <row r="1031" spans="2:2">
      <c r="B1031" s="5">
        <v>1026</v>
      </c>
    </row>
    <row r="1032" spans="2:2">
      <c r="B1032" s="5">
        <v>1027</v>
      </c>
    </row>
    <row r="1033" spans="2:2">
      <c r="B1033" s="5">
        <v>1028</v>
      </c>
    </row>
    <row r="1034" spans="2:2">
      <c r="B1034" s="5">
        <v>1029</v>
      </c>
    </row>
    <row r="1035" spans="2:2">
      <c r="B1035" s="5">
        <v>1030</v>
      </c>
    </row>
    <row r="1036" spans="2:2">
      <c r="B1036" s="5">
        <v>1031</v>
      </c>
    </row>
    <row r="1037" spans="2:2">
      <c r="B1037" s="5">
        <v>1032</v>
      </c>
    </row>
    <row r="1038" spans="2:2">
      <c r="B1038" s="5">
        <v>1033</v>
      </c>
    </row>
    <row r="1039" spans="2:2">
      <c r="B1039" s="5">
        <v>1034</v>
      </c>
    </row>
    <row r="1040" spans="2:2">
      <c r="B1040" s="5">
        <v>1035</v>
      </c>
    </row>
    <row r="1041" spans="2:2">
      <c r="B1041" s="5">
        <v>1036</v>
      </c>
    </row>
    <row r="1042" spans="2:2">
      <c r="B1042" s="5">
        <v>1037</v>
      </c>
    </row>
    <row r="1043" spans="2:2">
      <c r="B1043" s="5">
        <v>1038</v>
      </c>
    </row>
    <row r="1044" spans="2:2">
      <c r="B1044" s="5">
        <v>1039</v>
      </c>
    </row>
    <row r="1045" spans="2:2">
      <c r="B1045" s="5">
        <v>1040</v>
      </c>
    </row>
    <row r="1046" spans="2:2">
      <c r="B1046" s="5">
        <v>1041</v>
      </c>
    </row>
    <row r="1047" spans="2:2">
      <c r="B1047" s="5">
        <v>1042</v>
      </c>
    </row>
    <row r="1048" spans="2:2">
      <c r="B1048" s="5">
        <v>1043</v>
      </c>
    </row>
    <row r="1049" spans="2:2">
      <c r="B1049" s="5">
        <v>1044</v>
      </c>
    </row>
    <row r="1050" spans="2:2">
      <c r="B1050" s="5">
        <v>1045</v>
      </c>
    </row>
    <row r="1051" spans="2:2">
      <c r="B1051" s="5">
        <v>1046</v>
      </c>
    </row>
    <row r="1052" spans="2:2">
      <c r="B1052" s="5">
        <v>1047</v>
      </c>
    </row>
    <row r="1053" spans="2:2">
      <c r="B1053" s="5">
        <v>1048</v>
      </c>
    </row>
    <row r="1054" spans="2:2">
      <c r="B1054" s="5">
        <v>1049</v>
      </c>
    </row>
    <row r="1055" spans="2:2">
      <c r="B1055" s="5">
        <v>1050</v>
      </c>
    </row>
    <row r="1056" spans="2:2">
      <c r="B1056" s="5">
        <v>1051</v>
      </c>
    </row>
    <row r="1057" spans="2:2">
      <c r="B1057" s="5">
        <v>1052</v>
      </c>
    </row>
    <row r="1058" spans="2:2">
      <c r="B1058" s="5">
        <v>1053</v>
      </c>
    </row>
    <row r="1059" spans="2:2">
      <c r="B1059" s="5">
        <v>1054</v>
      </c>
    </row>
    <row r="1060" spans="2:2">
      <c r="B1060" s="5">
        <v>1055</v>
      </c>
    </row>
    <row r="1061" spans="2:2">
      <c r="B1061" s="5">
        <v>1056</v>
      </c>
    </row>
    <row r="1062" spans="2:2">
      <c r="B1062" s="5">
        <v>1057</v>
      </c>
    </row>
    <row r="1063" spans="2:2">
      <c r="B1063" s="5">
        <v>1058</v>
      </c>
    </row>
    <row r="1064" spans="2:2">
      <c r="B1064" s="5">
        <v>1059</v>
      </c>
    </row>
    <row r="1065" spans="2:2">
      <c r="B1065" s="5">
        <v>1060</v>
      </c>
    </row>
    <row r="1066" spans="2:2">
      <c r="B1066" s="5">
        <v>1061</v>
      </c>
    </row>
    <row r="1067" spans="2:2">
      <c r="B1067" s="5">
        <v>1062</v>
      </c>
    </row>
    <row r="1068" spans="2:2">
      <c r="B1068" s="5">
        <v>1063</v>
      </c>
    </row>
    <row r="1069" spans="2:2">
      <c r="B1069" s="5">
        <v>1064</v>
      </c>
    </row>
    <row r="1070" spans="2:2">
      <c r="B1070" s="5">
        <v>1065</v>
      </c>
    </row>
    <row r="1071" spans="2:2">
      <c r="B1071" s="5">
        <v>1066</v>
      </c>
    </row>
    <row r="1072" spans="2:2">
      <c r="B1072" s="5">
        <v>1067</v>
      </c>
    </row>
    <row r="1073" spans="2:2">
      <c r="B1073" s="5">
        <v>1068</v>
      </c>
    </row>
    <row r="1074" spans="2:2">
      <c r="B1074" s="5">
        <v>1069</v>
      </c>
    </row>
    <row r="1075" spans="2:2">
      <c r="B1075" s="5">
        <v>1070</v>
      </c>
    </row>
    <row r="1076" spans="2:2">
      <c r="B1076" s="5">
        <v>1071</v>
      </c>
    </row>
    <row r="1077" spans="2:2">
      <c r="B1077" s="5">
        <v>1072</v>
      </c>
    </row>
    <row r="1078" spans="2:2">
      <c r="B1078" s="5">
        <v>1073</v>
      </c>
    </row>
    <row r="1079" spans="2:2">
      <c r="B1079" s="5">
        <v>1074</v>
      </c>
    </row>
    <row r="1080" spans="2:2">
      <c r="B1080" s="5">
        <v>1075</v>
      </c>
    </row>
    <row r="1081" spans="2:2">
      <c r="B1081" s="5">
        <v>1076</v>
      </c>
    </row>
    <row r="1082" spans="2:2">
      <c r="B1082" s="5">
        <v>1077</v>
      </c>
    </row>
    <row r="1083" spans="2:2">
      <c r="B1083" s="5">
        <v>1078</v>
      </c>
    </row>
    <row r="1084" spans="2:2">
      <c r="B1084" s="5">
        <v>1079</v>
      </c>
    </row>
    <row r="1085" spans="2:2">
      <c r="B1085" s="5">
        <v>1080</v>
      </c>
    </row>
    <row r="1086" spans="2:2">
      <c r="B1086" s="5">
        <v>1081</v>
      </c>
    </row>
    <row r="1087" spans="2:2">
      <c r="B1087" s="5">
        <v>1082</v>
      </c>
    </row>
    <row r="1088" spans="2:2">
      <c r="B1088" s="5">
        <v>1083</v>
      </c>
    </row>
    <row r="1089" spans="2:2">
      <c r="B1089" s="5">
        <v>1084</v>
      </c>
    </row>
    <row r="1090" spans="2:2">
      <c r="B1090" s="5">
        <v>1085</v>
      </c>
    </row>
    <row r="1091" spans="2:2">
      <c r="B1091" s="5">
        <v>1086</v>
      </c>
    </row>
    <row r="1092" spans="2:2">
      <c r="B1092" s="5">
        <v>1087</v>
      </c>
    </row>
    <row r="1093" spans="2:2">
      <c r="B1093" s="5">
        <v>1088</v>
      </c>
    </row>
    <row r="1094" spans="2:2">
      <c r="B1094" s="5">
        <v>1089</v>
      </c>
    </row>
    <row r="1095" spans="2:2">
      <c r="B1095" s="5">
        <v>1090</v>
      </c>
    </row>
    <row r="1096" spans="2:2">
      <c r="B1096" s="5">
        <v>1091</v>
      </c>
    </row>
    <row r="1097" spans="2:2">
      <c r="B1097" s="5">
        <v>1092</v>
      </c>
    </row>
    <row r="1098" spans="2:2">
      <c r="B1098" s="5">
        <v>1093</v>
      </c>
    </row>
    <row r="1099" spans="2:2">
      <c r="B1099" s="5">
        <v>1094</v>
      </c>
    </row>
    <row r="1100" spans="2:2">
      <c r="B1100" s="5">
        <v>1095</v>
      </c>
    </row>
    <row r="1101" spans="2:2">
      <c r="B1101" s="5">
        <v>1096</v>
      </c>
    </row>
    <row r="1102" spans="2:2">
      <c r="B1102" s="5">
        <v>1097</v>
      </c>
    </row>
    <row r="1103" spans="2:2">
      <c r="B1103" s="5">
        <v>1098</v>
      </c>
    </row>
    <row r="1104" spans="2:2">
      <c r="B1104" s="5">
        <v>1099</v>
      </c>
    </row>
    <row r="1105" spans="2:2">
      <c r="B1105" s="5">
        <v>1100</v>
      </c>
    </row>
    <row r="1106" spans="2:2">
      <c r="B1106" s="5">
        <v>1101</v>
      </c>
    </row>
    <row r="1107" spans="2:2">
      <c r="B1107" s="5">
        <v>1102</v>
      </c>
    </row>
    <row r="1108" spans="2:2">
      <c r="B1108" s="5">
        <v>1103</v>
      </c>
    </row>
    <row r="1109" spans="2:2">
      <c r="B1109" s="5">
        <v>1104</v>
      </c>
    </row>
    <row r="1110" spans="2:2">
      <c r="B1110" s="5">
        <v>1105</v>
      </c>
    </row>
    <row r="1111" spans="2:2">
      <c r="B1111" s="5">
        <v>1106</v>
      </c>
    </row>
    <row r="1112" spans="2:2">
      <c r="B1112" s="5">
        <v>1107</v>
      </c>
    </row>
    <row r="1113" spans="2:2">
      <c r="B1113" s="5">
        <v>1108</v>
      </c>
    </row>
    <row r="1114" spans="2:2">
      <c r="B1114" s="5">
        <v>1109</v>
      </c>
    </row>
    <row r="1115" spans="2:2">
      <c r="B1115" s="5">
        <v>1110</v>
      </c>
    </row>
    <row r="1116" spans="2:2">
      <c r="B1116" s="5">
        <v>1111</v>
      </c>
    </row>
    <row r="1117" spans="2:2">
      <c r="B1117" s="5">
        <v>1112</v>
      </c>
    </row>
    <row r="1118" spans="2:2">
      <c r="B1118" s="5">
        <v>1113</v>
      </c>
    </row>
    <row r="1119" spans="2:2">
      <c r="B1119" s="5">
        <v>1114</v>
      </c>
    </row>
    <row r="1120" spans="2:2">
      <c r="B1120" s="5">
        <v>1115</v>
      </c>
    </row>
    <row r="1121" spans="2:2">
      <c r="B1121" s="5">
        <v>1116</v>
      </c>
    </row>
    <row r="1122" spans="2:2">
      <c r="B1122" s="5">
        <v>1117</v>
      </c>
    </row>
    <row r="1123" spans="2:2">
      <c r="B1123" s="5">
        <v>1118</v>
      </c>
    </row>
    <row r="1124" spans="2:2">
      <c r="B1124" s="5">
        <v>1119</v>
      </c>
    </row>
    <row r="1125" spans="2:2">
      <c r="B1125" s="5">
        <v>1120</v>
      </c>
    </row>
    <row r="1126" spans="2:2">
      <c r="B1126" s="5">
        <v>1121</v>
      </c>
    </row>
    <row r="1127" spans="2:2">
      <c r="B1127" s="5">
        <v>1122</v>
      </c>
    </row>
    <row r="1128" spans="2:2">
      <c r="B1128" s="5">
        <v>1123</v>
      </c>
    </row>
    <row r="1129" spans="2:2">
      <c r="B1129" s="5">
        <v>1124</v>
      </c>
    </row>
    <row r="1130" spans="2:2">
      <c r="B1130" s="5">
        <v>1125</v>
      </c>
    </row>
    <row r="1131" spans="2:2">
      <c r="B1131" s="5">
        <v>1126</v>
      </c>
    </row>
    <row r="1132" spans="2:2">
      <c r="B1132" s="5">
        <v>1127</v>
      </c>
    </row>
    <row r="1133" spans="2:2">
      <c r="B1133" s="5">
        <v>1128</v>
      </c>
    </row>
    <row r="1134" spans="2:2">
      <c r="B1134" s="5">
        <v>1129</v>
      </c>
    </row>
    <row r="1135" spans="2:2">
      <c r="B1135" s="5">
        <v>1130</v>
      </c>
    </row>
    <row r="1136" spans="2:2">
      <c r="B1136" s="5">
        <v>1131</v>
      </c>
    </row>
    <row r="1137" spans="2:2">
      <c r="B1137" s="5">
        <v>1132</v>
      </c>
    </row>
    <row r="1138" spans="2:2">
      <c r="B1138" s="5">
        <v>1133</v>
      </c>
    </row>
    <row r="1139" spans="2:2">
      <c r="B1139" s="5">
        <v>1134</v>
      </c>
    </row>
    <row r="1140" spans="2:2">
      <c r="B1140" s="5">
        <v>1135</v>
      </c>
    </row>
    <row r="1141" spans="2:2">
      <c r="B1141" s="5">
        <v>1136</v>
      </c>
    </row>
    <row r="1142" spans="2:2">
      <c r="B1142" s="5">
        <v>1137</v>
      </c>
    </row>
    <row r="1143" spans="2:2">
      <c r="B1143" s="5">
        <v>1138</v>
      </c>
    </row>
    <row r="1144" spans="2:2">
      <c r="B1144" s="5">
        <v>1139</v>
      </c>
    </row>
    <row r="1145" spans="2:2">
      <c r="B1145" s="5">
        <v>1140</v>
      </c>
    </row>
    <row r="1146" spans="2:2">
      <c r="B1146" s="5">
        <v>1141</v>
      </c>
    </row>
    <row r="1147" spans="2:2">
      <c r="B1147" s="5">
        <v>1142</v>
      </c>
    </row>
    <row r="1148" spans="2:2">
      <c r="B1148" s="5">
        <v>1143</v>
      </c>
    </row>
    <row r="1149" spans="2:2">
      <c r="B1149" s="5">
        <v>1144</v>
      </c>
    </row>
    <row r="1150" spans="2:2">
      <c r="B1150" s="5">
        <v>1145</v>
      </c>
    </row>
    <row r="1151" spans="2:2">
      <c r="B1151" s="5">
        <v>1146</v>
      </c>
    </row>
    <row r="1152" spans="2:2">
      <c r="B1152" s="5">
        <v>1147</v>
      </c>
    </row>
    <row r="1153" spans="2:2">
      <c r="B1153" s="5">
        <v>1148</v>
      </c>
    </row>
    <row r="1154" spans="2:2">
      <c r="B1154" s="5">
        <v>1149</v>
      </c>
    </row>
    <row r="1155" spans="2:2">
      <c r="B1155" s="5">
        <v>1150</v>
      </c>
    </row>
    <row r="1156" spans="2:2">
      <c r="B1156" s="5">
        <v>1151</v>
      </c>
    </row>
    <row r="1157" spans="2:2">
      <c r="B1157" s="5">
        <v>1152</v>
      </c>
    </row>
    <row r="1158" spans="2:2">
      <c r="B1158" s="5">
        <v>1153</v>
      </c>
    </row>
    <row r="1159" spans="2:2">
      <c r="B1159" s="5">
        <v>1154</v>
      </c>
    </row>
    <row r="1160" spans="2:2">
      <c r="B1160" s="5">
        <v>1155</v>
      </c>
    </row>
    <row r="1161" spans="2:2">
      <c r="B1161" s="5">
        <v>1156</v>
      </c>
    </row>
    <row r="1162" spans="2:2">
      <c r="B1162" s="5">
        <v>1157</v>
      </c>
    </row>
    <row r="1163" spans="2:2">
      <c r="B1163" s="5">
        <v>1158</v>
      </c>
    </row>
    <row r="1164" spans="2:2">
      <c r="B1164" s="5">
        <v>1159</v>
      </c>
    </row>
    <row r="1165" spans="2:2">
      <c r="B1165" s="5">
        <v>1160</v>
      </c>
    </row>
    <row r="1166" spans="2:2">
      <c r="B1166" s="5">
        <v>1161</v>
      </c>
    </row>
    <row r="1167" spans="2:2">
      <c r="B1167" s="5">
        <v>1162</v>
      </c>
    </row>
    <row r="1168" spans="2:2">
      <c r="B1168" s="5">
        <v>1163</v>
      </c>
    </row>
    <row r="1169" spans="2:2">
      <c r="B1169" s="5">
        <v>1164</v>
      </c>
    </row>
    <row r="1170" spans="2:2">
      <c r="B1170" s="5">
        <v>1165</v>
      </c>
    </row>
    <row r="1171" spans="2:2">
      <c r="B1171" s="5">
        <v>1166</v>
      </c>
    </row>
    <row r="1172" spans="2:2">
      <c r="B1172" s="5">
        <v>1167</v>
      </c>
    </row>
    <row r="1173" spans="2:2">
      <c r="B1173" s="5">
        <v>1168</v>
      </c>
    </row>
    <row r="1174" spans="2:2">
      <c r="B1174" s="5">
        <v>1169</v>
      </c>
    </row>
    <row r="1175" spans="2:2">
      <c r="B1175" s="5">
        <v>1170</v>
      </c>
    </row>
    <row r="1176" spans="2:2">
      <c r="B1176" s="5">
        <v>1171</v>
      </c>
    </row>
    <row r="1177" spans="2:2">
      <c r="B1177" s="5">
        <v>1172</v>
      </c>
    </row>
    <row r="1178" spans="2:2">
      <c r="B1178" s="5">
        <v>1173</v>
      </c>
    </row>
    <row r="1179" spans="2:2">
      <c r="B1179" s="5">
        <v>1174</v>
      </c>
    </row>
    <row r="1180" spans="2:2">
      <c r="B1180" s="5">
        <v>1175</v>
      </c>
    </row>
    <row r="1181" spans="2:2">
      <c r="B1181" s="5">
        <v>1176</v>
      </c>
    </row>
    <row r="1182" spans="2:2">
      <c r="B1182" s="5">
        <v>1177</v>
      </c>
    </row>
    <row r="1183" spans="2:2">
      <c r="B1183" s="5">
        <v>1178</v>
      </c>
    </row>
    <row r="1184" spans="2:2">
      <c r="B1184" s="5">
        <v>1179</v>
      </c>
    </row>
    <row r="1185" spans="2:21">
      <c r="B1185" s="5">
        <v>1180</v>
      </c>
    </row>
    <row r="1186" spans="2:21">
      <c r="B1186" s="5">
        <v>1181</v>
      </c>
    </row>
    <row r="1187" spans="2:21">
      <c r="B1187" s="5">
        <v>1182</v>
      </c>
    </row>
    <row r="1188" spans="2:21">
      <c r="B1188" s="5">
        <v>1183</v>
      </c>
    </row>
    <row r="1189" spans="2:21">
      <c r="B1189" s="5">
        <v>1184</v>
      </c>
    </row>
    <row r="1190" spans="2:21">
      <c r="B1190" s="5">
        <v>1185</v>
      </c>
    </row>
    <row r="1191" spans="2:21">
      <c r="B1191" s="5">
        <v>1186</v>
      </c>
    </row>
    <row r="1192" spans="2:21">
      <c r="B1192" s="5">
        <v>1187</v>
      </c>
    </row>
    <row r="1193" spans="2:21">
      <c r="B1193" s="5">
        <v>1188</v>
      </c>
    </row>
    <row r="1194" spans="2:21">
      <c r="B1194" s="5">
        <v>1189</v>
      </c>
    </row>
    <row r="1195" spans="2:21">
      <c r="B1195" s="5">
        <v>1190</v>
      </c>
    </row>
    <row r="1196" spans="2:21">
      <c r="B1196" s="5">
        <v>1191</v>
      </c>
    </row>
    <row r="1197" spans="2:21">
      <c r="B1197" s="5">
        <v>1192</v>
      </c>
    </row>
    <row r="1198" spans="2:21">
      <c r="B1198" s="5">
        <v>1193</v>
      </c>
    </row>
    <row r="1199" spans="2:21">
      <c r="B1199" s="5">
        <v>1194</v>
      </c>
      <c r="J1199" s="28" t="s">
        <v>13</v>
      </c>
    </row>
    <row r="1200" spans="2:21">
      <c r="B1200" s="5">
        <v>1195</v>
      </c>
      <c r="J1200" s="5">
        <v>1</v>
      </c>
      <c r="K1200" s="5">
        <v>2</v>
      </c>
      <c r="L1200" s="5">
        <v>3</v>
      </c>
      <c r="M1200" s="5">
        <v>4</v>
      </c>
      <c r="N1200" s="5">
        <v>5</v>
      </c>
      <c r="O1200" s="5">
        <v>6</v>
      </c>
      <c r="P1200" s="5">
        <v>7</v>
      </c>
      <c r="Q1200" s="5">
        <v>8</v>
      </c>
      <c r="R1200" s="5">
        <v>9</v>
      </c>
      <c r="S1200" s="5">
        <v>10</v>
      </c>
      <c r="T1200" s="5">
        <v>11</v>
      </c>
      <c r="U1200" s="5" t="s">
        <v>361</v>
      </c>
    </row>
    <row r="1201" spans="2:2">
      <c r="B1201" s="5">
        <v>1196</v>
      </c>
    </row>
    <row r="1202" spans="2:2">
      <c r="B1202" s="5">
        <v>1197</v>
      </c>
    </row>
    <row r="1203" spans="2:2">
      <c r="B1203" s="5">
        <v>1198</v>
      </c>
    </row>
    <row r="1204" spans="2:2">
      <c r="B1204" s="5">
        <v>1199</v>
      </c>
    </row>
    <row r="1205" spans="2:2">
      <c r="B1205" s="5">
        <v>1200</v>
      </c>
    </row>
    <row r="1206" spans="2:2">
      <c r="B1206" s="5">
        <v>1201</v>
      </c>
    </row>
    <row r="1207" spans="2:2">
      <c r="B1207" s="5">
        <v>1202</v>
      </c>
    </row>
    <row r="1208" spans="2:2">
      <c r="B1208" s="5">
        <v>1203</v>
      </c>
    </row>
    <row r="1209" spans="2:2">
      <c r="B1209" s="5">
        <v>1204</v>
      </c>
    </row>
    <row r="1210" spans="2:2">
      <c r="B1210" s="5">
        <v>1205</v>
      </c>
    </row>
    <row r="1211" spans="2:2">
      <c r="B1211" s="5">
        <v>1206</v>
      </c>
    </row>
    <row r="1212" spans="2:2">
      <c r="B1212" s="5">
        <v>1207</v>
      </c>
    </row>
    <row r="1213" spans="2:2">
      <c r="B1213" s="5">
        <v>1208</v>
      </c>
    </row>
    <row r="1214" spans="2:2">
      <c r="B1214" s="5">
        <v>1209</v>
      </c>
    </row>
    <row r="1215" spans="2:2">
      <c r="B1215" s="5">
        <v>1210</v>
      </c>
    </row>
    <row r="1216" spans="2:2">
      <c r="B1216" s="5">
        <v>1211</v>
      </c>
    </row>
    <row r="1217" spans="2:2">
      <c r="B1217" s="5">
        <v>1212</v>
      </c>
    </row>
    <row r="1218" spans="2:2">
      <c r="B1218" s="5">
        <v>1213</v>
      </c>
    </row>
    <row r="1219" spans="2:2">
      <c r="B1219" s="5">
        <v>1214</v>
      </c>
    </row>
    <row r="1220" spans="2:2">
      <c r="B1220" s="5">
        <v>1215</v>
      </c>
    </row>
    <row r="1221" spans="2:2">
      <c r="B1221" s="5">
        <v>1216</v>
      </c>
    </row>
    <row r="1222" spans="2:2">
      <c r="B1222" s="5">
        <v>1217</v>
      </c>
    </row>
    <row r="1223" spans="2:2">
      <c r="B1223" s="5">
        <v>1218</v>
      </c>
    </row>
    <row r="1224" spans="2:2">
      <c r="B1224" s="5">
        <v>1219</v>
      </c>
    </row>
    <row r="1225" spans="2:2">
      <c r="B1225" s="5">
        <v>1220</v>
      </c>
    </row>
    <row r="1226" spans="2:2">
      <c r="B1226" s="5">
        <v>1221</v>
      </c>
    </row>
    <row r="1227" spans="2:2">
      <c r="B1227" s="5">
        <v>1222</v>
      </c>
    </row>
    <row r="1228" spans="2:2">
      <c r="B1228" s="5">
        <v>1223</v>
      </c>
    </row>
    <row r="1229" spans="2:2">
      <c r="B1229" s="5">
        <v>1224</v>
      </c>
    </row>
    <row r="1230" spans="2:2">
      <c r="B1230" s="5">
        <v>1225</v>
      </c>
    </row>
    <row r="1231" spans="2:2">
      <c r="B1231" s="5">
        <v>1226</v>
      </c>
    </row>
    <row r="1232" spans="2:2">
      <c r="B1232" s="5">
        <v>1227</v>
      </c>
    </row>
    <row r="1233" spans="2:2">
      <c r="B1233" s="5">
        <v>1228</v>
      </c>
    </row>
    <row r="1234" spans="2:2">
      <c r="B1234" s="5">
        <v>1229</v>
      </c>
    </row>
    <row r="1235" spans="2:2">
      <c r="B1235" s="5">
        <v>1230</v>
      </c>
    </row>
    <row r="1236" spans="2:2">
      <c r="B1236" s="5">
        <v>1231</v>
      </c>
    </row>
    <row r="1237" spans="2:2">
      <c r="B1237" s="5">
        <v>1232</v>
      </c>
    </row>
    <row r="1238" spans="2:2">
      <c r="B1238" s="5">
        <v>1233</v>
      </c>
    </row>
    <row r="1239" spans="2:2">
      <c r="B1239" s="5">
        <v>1234</v>
      </c>
    </row>
    <row r="1240" spans="2:2">
      <c r="B1240" s="5">
        <v>1235</v>
      </c>
    </row>
    <row r="1241" spans="2:2">
      <c r="B1241" s="5">
        <v>1236</v>
      </c>
    </row>
    <row r="1242" spans="2:2">
      <c r="B1242" s="5">
        <v>1237</v>
      </c>
    </row>
    <row r="1243" spans="2:2">
      <c r="B1243" s="5">
        <v>1238</v>
      </c>
    </row>
    <row r="1244" spans="2:2">
      <c r="B1244" s="5">
        <v>1239</v>
      </c>
    </row>
    <row r="1245" spans="2:2">
      <c r="B1245" s="5">
        <v>1240</v>
      </c>
    </row>
    <row r="1246" spans="2:2">
      <c r="B1246" s="5">
        <v>1241</v>
      </c>
    </row>
    <row r="1247" spans="2:2">
      <c r="B1247" s="5">
        <v>1242</v>
      </c>
    </row>
    <row r="1248" spans="2:2">
      <c r="B1248" s="5">
        <v>1243</v>
      </c>
    </row>
    <row r="1249" spans="2:2">
      <c r="B1249" s="5">
        <v>1244</v>
      </c>
    </row>
    <row r="1250" spans="2:2">
      <c r="B1250" s="5">
        <v>1245</v>
      </c>
    </row>
    <row r="1251" spans="2:2">
      <c r="B1251" s="5">
        <v>1246</v>
      </c>
    </row>
    <row r="1252" spans="2:2">
      <c r="B1252" s="5">
        <v>1247</v>
      </c>
    </row>
    <row r="1253" spans="2:2">
      <c r="B1253" s="5">
        <v>1248</v>
      </c>
    </row>
    <row r="1254" spans="2:2">
      <c r="B1254" s="5">
        <v>1249</v>
      </c>
    </row>
    <row r="1255" spans="2:2">
      <c r="B1255" s="5">
        <v>1250</v>
      </c>
    </row>
    <row r="1256" spans="2:2">
      <c r="B1256" s="5">
        <v>1251</v>
      </c>
    </row>
    <row r="1257" spans="2:2">
      <c r="B1257" s="5">
        <v>1252</v>
      </c>
    </row>
    <row r="1258" spans="2:2">
      <c r="B1258" s="5">
        <v>1253</v>
      </c>
    </row>
    <row r="1259" spans="2:2">
      <c r="B1259" s="5">
        <v>1254</v>
      </c>
    </row>
    <row r="1260" spans="2:2">
      <c r="B1260" s="5">
        <v>1255</v>
      </c>
    </row>
    <row r="1261" spans="2:2">
      <c r="B1261" s="5">
        <v>1256</v>
      </c>
    </row>
    <row r="1262" spans="2:2">
      <c r="B1262" s="5">
        <v>1257</v>
      </c>
    </row>
    <row r="1263" spans="2:2">
      <c r="B1263" s="5">
        <v>1258</v>
      </c>
    </row>
    <row r="1264" spans="2:2">
      <c r="B1264" s="5">
        <v>1259</v>
      </c>
    </row>
    <row r="1265" spans="2:2">
      <c r="B1265" s="5">
        <v>1260</v>
      </c>
    </row>
    <row r="1266" spans="2:2">
      <c r="B1266" s="5">
        <v>1261</v>
      </c>
    </row>
    <row r="1267" spans="2:2">
      <c r="B1267" s="5">
        <v>1262</v>
      </c>
    </row>
    <row r="1268" spans="2:2">
      <c r="B1268" s="5">
        <v>1263</v>
      </c>
    </row>
    <row r="1269" spans="2:2">
      <c r="B1269" s="5">
        <v>1264</v>
      </c>
    </row>
    <row r="1270" spans="2:2">
      <c r="B1270" s="5">
        <v>1265</v>
      </c>
    </row>
    <row r="1271" spans="2:2">
      <c r="B1271" s="5">
        <v>1266</v>
      </c>
    </row>
    <row r="1272" spans="2:2">
      <c r="B1272" s="5">
        <v>1267</v>
      </c>
    </row>
    <row r="1273" spans="2:2">
      <c r="B1273" s="5">
        <v>1268</v>
      </c>
    </row>
    <row r="1274" spans="2:2">
      <c r="B1274" s="5">
        <v>1269</v>
      </c>
    </row>
    <row r="1275" spans="2:2">
      <c r="B1275" s="5">
        <v>1270</v>
      </c>
    </row>
    <row r="1276" spans="2:2">
      <c r="B1276" s="5">
        <v>1271</v>
      </c>
    </row>
    <row r="1277" spans="2:2">
      <c r="B1277" s="5">
        <v>1272</v>
      </c>
    </row>
    <row r="1278" spans="2:2">
      <c r="B1278" s="5">
        <v>1273</v>
      </c>
    </row>
    <row r="1279" spans="2:2">
      <c r="B1279" s="5">
        <v>1274</v>
      </c>
    </row>
    <row r="1280" spans="2:2">
      <c r="B1280" s="5">
        <v>1275</v>
      </c>
    </row>
    <row r="1281" spans="2:2">
      <c r="B1281" s="5">
        <v>1276</v>
      </c>
    </row>
    <row r="1282" spans="2:2">
      <c r="B1282" s="5">
        <v>1277</v>
      </c>
    </row>
    <row r="1283" spans="2:2">
      <c r="B1283" s="5">
        <v>1278</v>
      </c>
    </row>
    <row r="1284" spans="2:2">
      <c r="B1284" s="5">
        <v>1279</v>
      </c>
    </row>
    <row r="1285" spans="2:2">
      <c r="B1285" s="5">
        <v>1280</v>
      </c>
    </row>
    <row r="1286" spans="2:2">
      <c r="B1286" s="5">
        <v>1281</v>
      </c>
    </row>
    <row r="1287" spans="2:2">
      <c r="B1287" s="5">
        <v>1282</v>
      </c>
    </row>
    <row r="1288" spans="2:2">
      <c r="B1288" s="5">
        <v>1283</v>
      </c>
    </row>
    <row r="1289" spans="2:2">
      <c r="B1289" s="5">
        <v>1284</v>
      </c>
    </row>
    <row r="1290" spans="2:2">
      <c r="B1290" s="5">
        <v>1285</v>
      </c>
    </row>
    <row r="1291" spans="2:2">
      <c r="B1291" s="5">
        <v>1286</v>
      </c>
    </row>
    <row r="1292" spans="2:2">
      <c r="B1292" s="5">
        <v>1287</v>
      </c>
    </row>
    <row r="1293" spans="2:2">
      <c r="B1293" s="5">
        <v>1288</v>
      </c>
    </row>
    <row r="1294" spans="2:2">
      <c r="B1294" s="5">
        <v>1289</v>
      </c>
    </row>
    <row r="1295" spans="2:2">
      <c r="B1295" s="5">
        <v>1290</v>
      </c>
    </row>
    <row r="1296" spans="2:2">
      <c r="B1296" s="5">
        <v>1291</v>
      </c>
    </row>
    <row r="1297" spans="2:2">
      <c r="B1297" s="5">
        <v>1292</v>
      </c>
    </row>
    <row r="1298" spans="2:2">
      <c r="B1298" s="5">
        <v>1293</v>
      </c>
    </row>
    <row r="1299" spans="2:2">
      <c r="B1299" s="5">
        <v>1294</v>
      </c>
    </row>
    <row r="1300" spans="2:2">
      <c r="B1300" s="5">
        <v>1295</v>
      </c>
    </row>
    <row r="1301" spans="2:2">
      <c r="B1301" s="5">
        <v>1296</v>
      </c>
    </row>
    <row r="1302" spans="2:2">
      <c r="B1302" s="5">
        <v>1297</v>
      </c>
    </row>
    <row r="1303" spans="2:2">
      <c r="B1303" s="5">
        <v>1298</v>
      </c>
    </row>
    <row r="1304" spans="2:2">
      <c r="B1304" s="5">
        <v>1299</v>
      </c>
    </row>
    <row r="1305" spans="2:2">
      <c r="B1305" s="5">
        <v>1300</v>
      </c>
    </row>
    <row r="1306" spans="2:2">
      <c r="B1306" s="5">
        <v>1301</v>
      </c>
    </row>
    <row r="1307" spans="2:2">
      <c r="B1307" s="5">
        <v>1302</v>
      </c>
    </row>
    <row r="1308" spans="2:2">
      <c r="B1308" s="5">
        <v>1303</v>
      </c>
    </row>
    <row r="1309" spans="2:2">
      <c r="B1309" s="5">
        <v>1304</v>
      </c>
    </row>
    <row r="1310" spans="2:2">
      <c r="B1310" s="5">
        <v>1305</v>
      </c>
    </row>
    <row r="1311" spans="2:2">
      <c r="B1311" s="5">
        <v>1306</v>
      </c>
    </row>
    <row r="1312" spans="2:2">
      <c r="B1312" s="5">
        <v>1307</v>
      </c>
    </row>
    <row r="1313" spans="2:2">
      <c r="B1313" s="5">
        <v>1308</v>
      </c>
    </row>
    <row r="1314" spans="2:2">
      <c r="B1314" s="5">
        <v>1309</v>
      </c>
    </row>
    <row r="1315" spans="2:2">
      <c r="B1315" s="5">
        <v>1310</v>
      </c>
    </row>
    <row r="1316" spans="2:2">
      <c r="B1316" s="5">
        <v>1311</v>
      </c>
    </row>
    <row r="1317" spans="2:2">
      <c r="B1317" s="5">
        <v>1312</v>
      </c>
    </row>
    <row r="1318" spans="2:2">
      <c r="B1318" s="5">
        <v>1313</v>
      </c>
    </row>
    <row r="1319" spans="2:2">
      <c r="B1319" s="5">
        <v>1314</v>
      </c>
    </row>
    <row r="1320" spans="2:2">
      <c r="B1320" s="5">
        <v>1315</v>
      </c>
    </row>
    <row r="1321" spans="2:2">
      <c r="B1321" s="5">
        <v>1316</v>
      </c>
    </row>
    <row r="1322" spans="2:2">
      <c r="B1322" s="5">
        <v>1317</v>
      </c>
    </row>
    <row r="1323" spans="2:2">
      <c r="B1323" s="5">
        <v>1318</v>
      </c>
    </row>
    <row r="1324" spans="2:2">
      <c r="B1324" s="5">
        <v>1319</v>
      </c>
    </row>
    <row r="1325" spans="2:2">
      <c r="B1325" s="5">
        <v>1320</v>
      </c>
    </row>
    <row r="1326" spans="2:2">
      <c r="B1326" s="5">
        <v>1321</v>
      </c>
    </row>
    <row r="1327" spans="2:2">
      <c r="B1327" s="5">
        <v>1322</v>
      </c>
    </row>
    <row r="1328" spans="2:2">
      <c r="B1328" s="5">
        <v>1323</v>
      </c>
    </row>
    <row r="1329" spans="2:2">
      <c r="B1329" s="5">
        <v>1324</v>
      </c>
    </row>
    <row r="1330" spans="2:2">
      <c r="B1330" s="5">
        <v>1325</v>
      </c>
    </row>
    <row r="1331" spans="2:2">
      <c r="B1331" s="5">
        <v>1326</v>
      </c>
    </row>
    <row r="1332" spans="2:2">
      <c r="B1332" s="5">
        <v>1327</v>
      </c>
    </row>
    <row r="1333" spans="2:2">
      <c r="B1333" s="5">
        <v>1328</v>
      </c>
    </row>
    <row r="1334" spans="2:2">
      <c r="B1334" s="5">
        <v>1329</v>
      </c>
    </row>
    <row r="1335" spans="2:2">
      <c r="B1335" s="5">
        <v>1330</v>
      </c>
    </row>
    <row r="1336" spans="2:2">
      <c r="B1336" s="5">
        <v>1331</v>
      </c>
    </row>
    <row r="1337" spans="2:2">
      <c r="B1337" s="5">
        <v>1332</v>
      </c>
    </row>
    <row r="1338" spans="2:2">
      <c r="B1338" s="5">
        <v>1333</v>
      </c>
    </row>
    <row r="1339" spans="2:2">
      <c r="B1339" s="5">
        <v>1334</v>
      </c>
    </row>
    <row r="1340" spans="2:2">
      <c r="B1340" s="5">
        <v>1335</v>
      </c>
    </row>
    <row r="1341" spans="2:2">
      <c r="B1341" s="5">
        <v>1336</v>
      </c>
    </row>
    <row r="1342" spans="2:2">
      <c r="B1342" s="5">
        <v>1337</v>
      </c>
    </row>
    <row r="1343" spans="2:2">
      <c r="B1343" s="5">
        <v>1338</v>
      </c>
    </row>
    <row r="1344" spans="2:2">
      <c r="B1344" s="5">
        <v>1339</v>
      </c>
    </row>
    <row r="1345" spans="2:2">
      <c r="B1345" s="5">
        <v>1340</v>
      </c>
    </row>
    <row r="1346" spans="2:2">
      <c r="B1346" s="5">
        <v>1341</v>
      </c>
    </row>
    <row r="1347" spans="2:2">
      <c r="B1347" s="5">
        <v>1342</v>
      </c>
    </row>
    <row r="1348" spans="2:2">
      <c r="B1348" s="5">
        <v>1343</v>
      </c>
    </row>
    <row r="1349" spans="2:2">
      <c r="B1349" s="5">
        <v>1344</v>
      </c>
    </row>
    <row r="1350" spans="2:2">
      <c r="B1350" s="5">
        <v>1345</v>
      </c>
    </row>
    <row r="1351" spans="2:2">
      <c r="B1351" s="5">
        <v>1346</v>
      </c>
    </row>
    <row r="1352" spans="2:2">
      <c r="B1352" s="5">
        <v>1347</v>
      </c>
    </row>
    <row r="1353" spans="2:2">
      <c r="B1353" s="5">
        <v>1348</v>
      </c>
    </row>
    <row r="1354" spans="2:2">
      <c r="B1354" s="5">
        <v>1349</v>
      </c>
    </row>
    <row r="1355" spans="2:2">
      <c r="B1355" s="5">
        <v>1350</v>
      </c>
    </row>
    <row r="1356" spans="2:2">
      <c r="B1356" s="5">
        <v>1351</v>
      </c>
    </row>
    <row r="1357" spans="2:2">
      <c r="B1357" s="5">
        <v>1352</v>
      </c>
    </row>
    <row r="1358" spans="2:2">
      <c r="B1358" s="5">
        <v>1353</v>
      </c>
    </row>
    <row r="1359" spans="2:2">
      <c r="B1359" s="5">
        <v>1354</v>
      </c>
    </row>
    <row r="1360" spans="2:2">
      <c r="B1360" s="5">
        <v>1355</v>
      </c>
    </row>
    <row r="1361" spans="2:2">
      <c r="B1361" s="5">
        <v>1356</v>
      </c>
    </row>
    <row r="1362" spans="2:2">
      <c r="B1362" s="5">
        <v>1357</v>
      </c>
    </row>
    <row r="1363" spans="2:2">
      <c r="B1363" s="5">
        <v>1358</v>
      </c>
    </row>
    <row r="1364" spans="2:2">
      <c r="B1364" s="5">
        <v>1359</v>
      </c>
    </row>
    <row r="1365" spans="2:2">
      <c r="B1365" s="5">
        <v>1360</v>
      </c>
    </row>
    <row r="1366" spans="2:2">
      <c r="B1366" s="5">
        <v>1361</v>
      </c>
    </row>
    <row r="1367" spans="2:2">
      <c r="B1367" s="5">
        <v>1362</v>
      </c>
    </row>
    <row r="1368" spans="2:2">
      <c r="B1368" s="5">
        <v>1363</v>
      </c>
    </row>
    <row r="1369" spans="2:2">
      <c r="B1369" s="5">
        <v>1364</v>
      </c>
    </row>
    <row r="1370" spans="2:2">
      <c r="B1370" s="5">
        <v>1365</v>
      </c>
    </row>
    <row r="1371" spans="2:2">
      <c r="B1371" s="5">
        <v>1366</v>
      </c>
    </row>
    <row r="1372" spans="2:2">
      <c r="B1372" s="5">
        <v>1367</v>
      </c>
    </row>
    <row r="1373" spans="2:2">
      <c r="B1373" s="5">
        <v>1368</v>
      </c>
    </row>
    <row r="1374" spans="2:2">
      <c r="B1374" s="5">
        <v>1369</v>
      </c>
    </row>
    <row r="1375" spans="2:2">
      <c r="B1375" s="5">
        <v>1370</v>
      </c>
    </row>
    <row r="1376" spans="2:2">
      <c r="B1376" s="5">
        <v>1371</v>
      </c>
    </row>
    <row r="1377" spans="2:2">
      <c r="B1377" s="5">
        <v>1372</v>
      </c>
    </row>
    <row r="1378" spans="2:2">
      <c r="B1378" s="5">
        <v>1373</v>
      </c>
    </row>
    <row r="1379" spans="2:2">
      <c r="B1379" s="5">
        <v>1374</v>
      </c>
    </row>
    <row r="1380" spans="2:2">
      <c r="B1380" s="5">
        <v>1375</v>
      </c>
    </row>
    <row r="1381" spans="2:2">
      <c r="B1381" s="5">
        <v>1376</v>
      </c>
    </row>
    <row r="1382" spans="2:2">
      <c r="B1382" s="5">
        <v>1377</v>
      </c>
    </row>
    <row r="1383" spans="2:2">
      <c r="B1383" s="5">
        <v>1378</v>
      </c>
    </row>
    <row r="1384" spans="2:2">
      <c r="B1384" s="5">
        <v>1379</v>
      </c>
    </row>
    <row r="1385" spans="2:2">
      <c r="B1385" s="5">
        <v>1380</v>
      </c>
    </row>
    <row r="1386" spans="2:2">
      <c r="B1386" s="5">
        <v>1381</v>
      </c>
    </row>
    <row r="1387" spans="2:2">
      <c r="B1387" s="5">
        <v>1382</v>
      </c>
    </row>
    <row r="1388" spans="2:2">
      <c r="B1388" s="5">
        <v>1383</v>
      </c>
    </row>
    <row r="1389" spans="2:2">
      <c r="B1389" s="5">
        <v>1384</v>
      </c>
    </row>
    <row r="1390" spans="2:2">
      <c r="B1390" s="5">
        <v>1385</v>
      </c>
    </row>
    <row r="1391" spans="2:2">
      <c r="B1391" s="5">
        <v>1386</v>
      </c>
    </row>
    <row r="1392" spans="2:2">
      <c r="B1392" s="5">
        <v>1387</v>
      </c>
    </row>
    <row r="1393" spans="2:2">
      <c r="B1393" s="5">
        <v>1388</v>
      </c>
    </row>
    <row r="1394" spans="2:2">
      <c r="B1394" s="5">
        <v>1389</v>
      </c>
    </row>
    <row r="1395" spans="2:2">
      <c r="B1395" s="5">
        <v>1390</v>
      </c>
    </row>
    <row r="1396" spans="2:2">
      <c r="B1396" s="5">
        <v>1391</v>
      </c>
    </row>
    <row r="1397" spans="2:2">
      <c r="B1397" s="5">
        <v>1392</v>
      </c>
    </row>
    <row r="1398" spans="2:2">
      <c r="B1398" s="5">
        <v>1393</v>
      </c>
    </row>
    <row r="1399" spans="2:2">
      <c r="B1399" s="5">
        <v>1394</v>
      </c>
    </row>
    <row r="1400" spans="2:2">
      <c r="B1400" s="5">
        <v>1395</v>
      </c>
    </row>
    <row r="1401" spans="2:2">
      <c r="B1401" s="5">
        <v>1396</v>
      </c>
    </row>
    <row r="1402" spans="2:2">
      <c r="B1402" s="5">
        <v>1397</v>
      </c>
    </row>
    <row r="1403" spans="2:2">
      <c r="B1403" s="5">
        <v>1398</v>
      </c>
    </row>
    <row r="1404" spans="2:2">
      <c r="B1404" s="5">
        <v>1399</v>
      </c>
    </row>
    <row r="1405" spans="2:2">
      <c r="B1405" s="5">
        <v>1400</v>
      </c>
    </row>
    <row r="1406" spans="2:2">
      <c r="B1406" s="5">
        <v>1401</v>
      </c>
    </row>
    <row r="1407" spans="2:2">
      <c r="B1407" s="5">
        <v>1402</v>
      </c>
    </row>
    <row r="1408" spans="2:2">
      <c r="B1408" s="5">
        <v>1403</v>
      </c>
    </row>
    <row r="1409" spans="2:2">
      <c r="B1409" s="5">
        <v>1404</v>
      </c>
    </row>
    <row r="1410" spans="2:2">
      <c r="B1410" s="5">
        <v>1405</v>
      </c>
    </row>
    <row r="1411" spans="2:2">
      <c r="B1411" s="5">
        <v>1406</v>
      </c>
    </row>
    <row r="1412" spans="2:2">
      <c r="B1412" s="5">
        <v>1407</v>
      </c>
    </row>
    <row r="1413" spans="2:2">
      <c r="B1413" s="5">
        <v>1408</v>
      </c>
    </row>
    <row r="1414" spans="2:2">
      <c r="B1414" s="5">
        <v>1409</v>
      </c>
    </row>
    <row r="1415" spans="2:2">
      <c r="B1415" s="5">
        <v>1410</v>
      </c>
    </row>
    <row r="1416" spans="2:2">
      <c r="B1416" s="5">
        <v>1411</v>
      </c>
    </row>
    <row r="1417" spans="2:2">
      <c r="B1417" s="5">
        <v>1412</v>
      </c>
    </row>
    <row r="1418" spans="2:2">
      <c r="B1418" s="5">
        <v>1413</v>
      </c>
    </row>
    <row r="1419" spans="2:2">
      <c r="B1419" s="5">
        <v>1414</v>
      </c>
    </row>
    <row r="1420" spans="2:2">
      <c r="B1420" s="5">
        <v>1415</v>
      </c>
    </row>
    <row r="1421" spans="2:2">
      <c r="B1421" s="5">
        <v>1416</v>
      </c>
    </row>
    <row r="1422" spans="2:2">
      <c r="B1422" s="5">
        <v>1417</v>
      </c>
    </row>
    <row r="1423" spans="2:2">
      <c r="B1423" s="5">
        <v>1418</v>
      </c>
    </row>
    <row r="1424" spans="2:2">
      <c r="B1424" s="5">
        <v>1419</v>
      </c>
    </row>
    <row r="1425" spans="2:2">
      <c r="B1425" s="5">
        <v>1420</v>
      </c>
    </row>
    <row r="1426" spans="2:2">
      <c r="B1426" s="5">
        <v>1421</v>
      </c>
    </row>
    <row r="1427" spans="2:2">
      <c r="B1427" s="5">
        <v>1422</v>
      </c>
    </row>
    <row r="1428" spans="2:2">
      <c r="B1428" s="5">
        <v>1423</v>
      </c>
    </row>
    <row r="1429" spans="2:2">
      <c r="B1429" s="5">
        <v>1424</v>
      </c>
    </row>
    <row r="1430" spans="2:2">
      <c r="B1430" s="5">
        <v>1425</v>
      </c>
    </row>
    <row r="1431" spans="2:2">
      <c r="B1431" s="5">
        <v>1426</v>
      </c>
    </row>
    <row r="1432" spans="2:2">
      <c r="B1432" s="5">
        <v>1427</v>
      </c>
    </row>
    <row r="1433" spans="2:2">
      <c r="B1433" s="5">
        <v>1428</v>
      </c>
    </row>
    <row r="1434" spans="2:2">
      <c r="B1434" s="5">
        <v>1429</v>
      </c>
    </row>
    <row r="1435" spans="2:2">
      <c r="B1435" s="5">
        <v>1430</v>
      </c>
    </row>
    <row r="1436" spans="2:2">
      <c r="B1436" s="5">
        <v>1431</v>
      </c>
    </row>
    <row r="1437" spans="2:2">
      <c r="B1437" s="5">
        <v>1432</v>
      </c>
    </row>
    <row r="1438" spans="2:2">
      <c r="B1438" s="5">
        <v>1433</v>
      </c>
    </row>
    <row r="1439" spans="2:2">
      <c r="B1439" s="5">
        <v>1434</v>
      </c>
    </row>
    <row r="1440" spans="2:2">
      <c r="B1440" s="5">
        <v>1435</v>
      </c>
    </row>
    <row r="1441" spans="2:2">
      <c r="B1441" s="5">
        <v>1436</v>
      </c>
    </row>
    <row r="1442" spans="2:2">
      <c r="B1442" s="5">
        <v>1437</v>
      </c>
    </row>
    <row r="1443" spans="2:2">
      <c r="B1443" s="5">
        <v>1438</v>
      </c>
    </row>
    <row r="1444" spans="2:2">
      <c r="B1444" s="5">
        <v>1439</v>
      </c>
    </row>
    <row r="1445" spans="2:2">
      <c r="B1445" s="5">
        <v>1440</v>
      </c>
    </row>
    <row r="1446" spans="2:2">
      <c r="B1446" s="5">
        <v>1441</v>
      </c>
    </row>
    <row r="1447" spans="2:2">
      <c r="B1447" s="5">
        <v>1442</v>
      </c>
    </row>
    <row r="1448" spans="2:2">
      <c r="B1448" s="5">
        <v>1443</v>
      </c>
    </row>
    <row r="1449" spans="2:2">
      <c r="B1449" s="5">
        <v>1444</v>
      </c>
    </row>
    <row r="1450" spans="2:2">
      <c r="B1450" s="5">
        <v>1445</v>
      </c>
    </row>
    <row r="1451" spans="2:2">
      <c r="B1451" s="5">
        <v>1446</v>
      </c>
    </row>
    <row r="1452" spans="2:2">
      <c r="B1452" s="5">
        <v>1447</v>
      </c>
    </row>
    <row r="1453" spans="2:2">
      <c r="B1453" s="5">
        <v>1448</v>
      </c>
    </row>
    <row r="1454" spans="2:2">
      <c r="B1454" s="5">
        <v>1449</v>
      </c>
    </row>
    <row r="1455" spans="2:2">
      <c r="B1455" s="5">
        <v>1450</v>
      </c>
    </row>
    <row r="1456" spans="2:2">
      <c r="B1456" s="5">
        <v>1451</v>
      </c>
    </row>
    <row r="1457" spans="2:2">
      <c r="B1457" s="5">
        <v>1452</v>
      </c>
    </row>
    <row r="1458" spans="2:2">
      <c r="B1458" s="5">
        <v>1453</v>
      </c>
    </row>
    <row r="1459" spans="2:2">
      <c r="B1459" s="5">
        <v>1454</v>
      </c>
    </row>
    <row r="1460" spans="2:2">
      <c r="B1460" s="5">
        <v>1455</v>
      </c>
    </row>
    <row r="1461" spans="2:2">
      <c r="B1461" s="5">
        <v>1456</v>
      </c>
    </row>
    <row r="1462" spans="2:2">
      <c r="B1462" s="5">
        <v>1457</v>
      </c>
    </row>
    <row r="1463" spans="2:2">
      <c r="B1463" s="5">
        <v>1458</v>
      </c>
    </row>
    <row r="1464" spans="2:2">
      <c r="B1464" s="5">
        <v>1459</v>
      </c>
    </row>
    <row r="1465" spans="2:2">
      <c r="B1465" s="5">
        <v>1460</v>
      </c>
    </row>
    <row r="1466" spans="2:2">
      <c r="B1466" s="5">
        <v>1461</v>
      </c>
    </row>
    <row r="1467" spans="2:2">
      <c r="B1467" s="5">
        <v>1462</v>
      </c>
    </row>
    <row r="1468" spans="2:2">
      <c r="B1468" s="5">
        <v>1463</v>
      </c>
    </row>
    <row r="1469" spans="2:2">
      <c r="B1469" s="5">
        <v>1464</v>
      </c>
    </row>
    <row r="1470" spans="2:2">
      <c r="B1470" s="5">
        <v>1465</v>
      </c>
    </row>
    <row r="1471" spans="2:2">
      <c r="B1471" s="5">
        <v>1466</v>
      </c>
    </row>
    <row r="1472" spans="2:2">
      <c r="B1472" s="5">
        <v>1467</v>
      </c>
    </row>
    <row r="1473" spans="2:2">
      <c r="B1473" s="5">
        <v>1468</v>
      </c>
    </row>
    <row r="1474" spans="2:2">
      <c r="B1474" s="5">
        <v>1469</v>
      </c>
    </row>
    <row r="1475" spans="2:2">
      <c r="B1475" s="5">
        <v>1470</v>
      </c>
    </row>
    <row r="1476" spans="2:2">
      <c r="B1476" s="5">
        <v>1471</v>
      </c>
    </row>
    <row r="1477" spans="2:2">
      <c r="B1477" s="5">
        <v>1472</v>
      </c>
    </row>
    <row r="1478" spans="2:2">
      <c r="B1478" s="5">
        <v>1473</v>
      </c>
    </row>
    <row r="1479" spans="2:2">
      <c r="B1479" s="5">
        <v>1474</v>
      </c>
    </row>
    <row r="1480" spans="2:2">
      <c r="B1480" s="5">
        <v>1475</v>
      </c>
    </row>
    <row r="1481" spans="2:2">
      <c r="B1481" s="5">
        <v>1476</v>
      </c>
    </row>
    <row r="1482" spans="2:2">
      <c r="B1482" s="5">
        <v>1477</v>
      </c>
    </row>
    <row r="1483" spans="2:2">
      <c r="B1483" s="5">
        <v>1478</v>
      </c>
    </row>
    <row r="1484" spans="2:2">
      <c r="B1484" s="5">
        <v>1479</v>
      </c>
    </row>
    <row r="1485" spans="2:2">
      <c r="B1485" s="5">
        <v>1480</v>
      </c>
    </row>
    <row r="1486" spans="2:2">
      <c r="B1486" s="5">
        <v>1481</v>
      </c>
    </row>
    <row r="1487" spans="2:2">
      <c r="B1487" s="5">
        <v>1482</v>
      </c>
    </row>
    <row r="1488" spans="2:2">
      <c r="B1488" s="5">
        <v>1483</v>
      </c>
    </row>
    <row r="1489" spans="2:2">
      <c r="B1489" s="5">
        <v>1484</v>
      </c>
    </row>
    <row r="1490" spans="2:2">
      <c r="B1490" s="5">
        <v>1485</v>
      </c>
    </row>
    <row r="1491" spans="2:2">
      <c r="B1491" s="5">
        <v>1486</v>
      </c>
    </row>
    <row r="1492" spans="2:2">
      <c r="B1492" s="5">
        <v>1487</v>
      </c>
    </row>
    <row r="1493" spans="2:2">
      <c r="B1493" s="5">
        <v>1488</v>
      </c>
    </row>
    <row r="1494" spans="2:2">
      <c r="B1494" s="5">
        <v>1489</v>
      </c>
    </row>
    <row r="1495" spans="2:2">
      <c r="B1495" s="5">
        <v>1490</v>
      </c>
    </row>
    <row r="1496" spans="2:2">
      <c r="B1496" s="5">
        <v>1491</v>
      </c>
    </row>
    <row r="1497" spans="2:2">
      <c r="B1497" s="5">
        <v>1492</v>
      </c>
    </row>
    <row r="1498" spans="2:2">
      <c r="B1498" s="5">
        <v>1493</v>
      </c>
    </row>
    <row r="1499" spans="2:2">
      <c r="B1499" s="5">
        <v>1494</v>
      </c>
    </row>
    <row r="1500" spans="2:2">
      <c r="B1500" s="5">
        <v>1495</v>
      </c>
    </row>
    <row r="1501" spans="2:2">
      <c r="B1501" s="5">
        <v>1496</v>
      </c>
    </row>
    <row r="1502" spans="2:2">
      <c r="B1502" s="5">
        <v>1497</v>
      </c>
    </row>
    <row r="1503" spans="2:2">
      <c r="B1503" s="5">
        <v>1498</v>
      </c>
    </row>
    <row r="1504" spans="2:2">
      <c r="B1504" s="5">
        <v>1499</v>
      </c>
    </row>
    <row r="1505" spans="2:2">
      <c r="B1505" s="5">
        <v>1500</v>
      </c>
    </row>
    <row r="1506" spans="2:2">
      <c r="B1506" s="5">
        <v>1501</v>
      </c>
    </row>
    <row r="1507" spans="2:2">
      <c r="B1507" s="5">
        <v>1502</v>
      </c>
    </row>
    <row r="1508" spans="2:2">
      <c r="B1508" s="5">
        <v>1503</v>
      </c>
    </row>
    <row r="1509" spans="2:2">
      <c r="B1509" s="5">
        <v>1504</v>
      </c>
    </row>
    <row r="1510" spans="2:2">
      <c r="B1510" s="5">
        <v>1505</v>
      </c>
    </row>
    <row r="1511" spans="2:2">
      <c r="B1511" s="5">
        <v>1506</v>
      </c>
    </row>
    <row r="1512" spans="2:2">
      <c r="B1512" s="5">
        <v>1507</v>
      </c>
    </row>
    <row r="1513" spans="2:2">
      <c r="B1513" s="5">
        <v>1508</v>
      </c>
    </row>
    <row r="1514" spans="2:2">
      <c r="B1514" s="5">
        <v>1509</v>
      </c>
    </row>
    <row r="1515" spans="2:2">
      <c r="B1515" s="5">
        <v>1510</v>
      </c>
    </row>
    <row r="1516" spans="2:2">
      <c r="B1516" s="5">
        <v>1511</v>
      </c>
    </row>
    <row r="1517" spans="2:2">
      <c r="B1517" s="5">
        <v>1512</v>
      </c>
    </row>
    <row r="1518" spans="2:2">
      <c r="B1518" s="5">
        <v>1513</v>
      </c>
    </row>
    <row r="1519" spans="2:2">
      <c r="B1519" s="5">
        <v>1514</v>
      </c>
    </row>
    <row r="1520" spans="2:2">
      <c r="B1520" s="5">
        <v>1515</v>
      </c>
    </row>
    <row r="1521" spans="2:2">
      <c r="B1521" s="5">
        <v>1516</v>
      </c>
    </row>
    <row r="1522" spans="2:2">
      <c r="B1522" s="5">
        <v>1517</v>
      </c>
    </row>
    <row r="1523" spans="2:2">
      <c r="B1523" s="5">
        <v>1518</v>
      </c>
    </row>
    <row r="1524" spans="2:2">
      <c r="B1524" s="5">
        <v>1519</v>
      </c>
    </row>
    <row r="1525" spans="2:2">
      <c r="B1525" s="5">
        <v>1520</v>
      </c>
    </row>
    <row r="1526" spans="2:2">
      <c r="B1526" s="5">
        <v>1521</v>
      </c>
    </row>
    <row r="1527" spans="2:2">
      <c r="B1527" s="5">
        <v>1522</v>
      </c>
    </row>
    <row r="1528" spans="2:2">
      <c r="B1528" s="5">
        <v>1523</v>
      </c>
    </row>
    <row r="1529" spans="2:2">
      <c r="B1529" s="5">
        <v>1524</v>
      </c>
    </row>
    <row r="1530" spans="2:2">
      <c r="B1530" s="5">
        <v>1525</v>
      </c>
    </row>
    <row r="1531" spans="2:2">
      <c r="B1531" s="5">
        <v>1526</v>
      </c>
    </row>
    <row r="1532" spans="2:2">
      <c r="B1532" s="5">
        <v>1527</v>
      </c>
    </row>
    <row r="1533" spans="2:2">
      <c r="B1533" s="5">
        <v>1528</v>
      </c>
    </row>
    <row r="1534" spans="2:2">
      <c r="B1534" s="5">
        <v>1529</v>
      </c>
    </row>
    <row r="1535" spans="2:2">
      <c r="B1535" s="5">
        <v>1530</v>
      </c>
    </row>
    <row r="1536" spans="2:2">
      <c r="B1536" s="5">
        <v>1531</v>
      </c>
    </row>
    <row r="1537" spans="2:2">
      <c r="B1537" s="5">
        <v>1532</v>
      </c>
    </row>
    <row r="1538" spans="2:2">
      <c r="B1538" s="5">
        <v>1533</v>
      </c>
    </row>
    <row r="1539" spans="2:2">
      <c r="B1539" s="5">
        <v>1534</v>
      </c>
    </row>
    <row r="1540" spans="2:2">
      <c r="B1540" s="5">
        <v>1535</v>
      </c>
    </row>
    <row r="1541" spans="2:2">
      <c r="B1541" s="5">
        <v>1536</v>
      </c>
    </row>
    <row r="1542" spans="2:2">
      <c r="B1542" s="5">
        <v>1537</v>
      </c>
    </row>
    <row r="1543" spans="2:2">
      <c r="B1543" s="5">
        <v>1538</v>
      </c>
    </row>
    <row r="1544" spans="2:2">
      <c r="B1544" s="5">
        <v>1539</v>
      </c>
    </row>
    <row r="1545" spans="2:2">
      <c r="B1545" s="5">
        <v>1540</v>
      </c>
    </row>
    <row r="1546" spans="2:2">
      <c r="B1546" s="5">
        <v>1541</v>
      </c>
    </row>
    <row r="1547" spans="2:2">
      <c r="B1547" s="5">
        <v>1542</v>
      </c>
    </row>
    <row r="1548" spans="2:2">
      <c r="B1548" s="5">
        <v>1543</v>
      </c>
    </row>
    <row r="1549" spans="2:2">
      <c r="B1549" s="5">
        <v>1544</v>
      </c>
    </row>
    <row r="1550" spans="2:2">
      <c r="B1550" s="5">
        <v>1545</v>
      </c>
    </row>
    <row r="1551" spans="2:2">
      <c r="B1551" s="5">
        <v>1546</v>
      </c>
    </row>
    <row r="1552" spans="2:2">
      <c r="B1552" s="5">
        <v>1547</v>
      </c>
    </row>
    <row r="1553" spans="2:2">
      <c r="B1553" s="5">
        <v>1548</v>
      </c>
    </row>
    <row r="1554" spans="2:2">
      <c r="B1554" s="5">
        <v>1549</v>
      </c>
    </row>
    <row r="1555" spans="2:2">
      <c r="B1555" s="5">
        <v>1550</v>
      </c>
    </row>
    <row r="1556" spans="2:2">
      <c r="B1556" s="5">
        <v>1551</v>
      </c>
    </row>
    <row r="1557" spans="2:2">
      <c r="B1557" s="5">
        <v>1552</v>
      </c>
    </row>
    <row r="1558" spans="2:2">
      <c r="B1558" s="5">
        <v>1553</v>
      </c>
    </row>
    <row r="1559" spans="2:2">
      <c r="B1559" s="5">
        <v>1554</v>
      </c>
    </row>
    <row r="1560" spans="2:2">
      <c r="B1560" s="5">
        <v>1555</v>
      </c>
    </row>
    <row r="1561" spans="2:2">
      <c r="B1561" s="5">
        <v>1556</v>
      </c>
    </row>
    <row r="1562" spans="2:2">
      <c r="B1562" s="5">
        <v>1557</v>
      </c>
    </row>
    <row r="1563" spans="2:2">
      <c r="B1563" s="5">
        <v>1558</v>
      </c>
    </row>
    <row r="1564" spans="2:2">
      <c r="B1564" s="5">
        <v>1559</v>
      </c>
    </row>
    <row r="1565" spans="2:2">
      <c r="B1565" s="5">
        <v>1560</v>
      </c>
    </row>
    <row r="1566" spans="2:2">
      <c r="B1566" s="5">
        <v>1561</v>
      </c>
    </row>
    <row r="1567" spans="2:2">
      <c r="B1567" s="5">
        <v>1562</v>
      </c>
    </row>
    <row r="1568" spans="2:2">
      <c r="B1568" s="5">
        <v>1563</v>
      </c>
    </row>
    <row r="1569" spans="2:2">
      <c r="B1569" s="5">
        <v>1564</v>
      </c>
    </row>
    <row r="1570" spans="2:2">
      <c r="B1570" s="5">
        <v>1565</v>
      </c>
    </row>
    <row r="1571" spans="2:2">
      <c r="B1571" s="5">
        <v>1566</v>
      </c>
    </row>
    <row r="1572" spans="2:2">
      <c r="B1572" s="5">
        <v>1567</v>
      </c>
    </row>
    <row r="1573" spans="2:2">
      <c r="B1573" s="5">
        <v>1568</v>
      </c>
    </row>
    <row r="1574" spans="2:2">
      <c r="B1574" s="5">
        <v>1569</v>
      </c>
    </row>
    <row r="1575" spans="2:2">
      <c r="B1575" s="5">
        <v>1570</v>
      </c>
    </row>
    <row r="1576" spans="2:2">
      <c r="B1576" s="5">
        <v>1571</v>
      </c>
    </row>
    <row r="1577" spans="2:2">
      <c r="B1577" s="5">
        <v>1572</v>
      </c>
    </row>
    <row r="1578" spans="2:2">
      <c r="B1578" s="5">
        <v>1573</v>
      </c>
    </row>
    <row r="1579" spans="2:2">
      <c r="B1579" s="5">
        <v>1574</v>
      </c>
    </row>
    <row r="1580" spans="2:2">
      <c r="B1580" s="5">
        <v>1575</v>
      </c>
    </row>
    <row r="1581" spans="2:2">
      <c r="B1581" s="5">
        <v>1576</v>
      </c>
    </row>
    <row r="1582" spans="2:2">
      <c r="B1582" s="5">
        <v>1577</v>
      </c>
    </row>
    <row r="1583" spans="2:2">
      <c r="B1583" s="5">
        <v>1578</v>
      </c>
    </row>
    <row r="1584" spans="2:2">
      <c r="B1584" s="5">
        <v>1579</v>
      </c>
    </row>
    <row r="1585" spans="2:2">
      <c r="B1585" s="5">
        <v>1580</v>
      </c>
    </row>
    <row r="1586" spans="2:2">
      <c r="B1586" s="5">
        <v>1581</v>
      </c>
    </row>
    <row r="1587" spans="2:2">
      <c r="B1587" s="5">
        <v>1582</v>
      </c>
    </row>
    <row r="1588" spans="2:2">
      <c r="B1588" s="5">
        <v>1583</v>
      </c>
    </row>
    <row r="1589" spans="2:2">
      <c r="B1589" s="5">
        <v>1584</v>
      </c>
    </row>
    <row r="1590" spans="2:2">
      <c r="B1590" s="5">
        <v>1585</v>
      </c>
    </row>
    <row r="1591" spans="2:2">
      <c r="B1591" s="5">
        <v>1586</v>
      </c>
    </row>
    <row r="1592" spans="2:2">
      <c r="B1592" s="5">
        <v>1587</v>
      </c>
    </row>
    <row r="1593" spans="2:2">
      <c r="B1593" s="5">
        <v>1588</v>
      </c>
    </row>
    <row r="1594" spans="2:2">
      <c r="B1594" s="5">
        <v>1589</v>
      </c>
    </row>
    <row r="1595" spans="2:2">
      <c r="B1595" s="5">
        <v>1590</v>
      </c>
    </row>
    <row r="1596" spans="2:2">
      <c r="B1596" s="5">
        <v>1591</v>
      </c>
    </row>
    <row r="1597" spans="2:2">
      <c r="B1597" s="5">
        <v>1592</v>
      </c>
    </row>
    <row r="1598" spans="2:2">
      <c r="B1598" s="5">
        <v>1593</v>
      </c>
    </row>
    <row r="1599" spans="2:2">
      <c r="B1599" s="5">
        <v>1594</v>
      </c>
    </row>
    <row r="1600" spans="2:2">
      <c r="B1600" s="5">
        <v>1595</v>
      </c>
    </row>
    <row r="1601" spans="2:2">
      <c r="B1601" s="5">
        <v>1596</v>
      </c>
    </row>
    <row r="1602" spans="2:2">
      <c r="B1602" s="5">
        <v>1597</v>
      </c>
    </row>
    <row r="1603" spans="2:2">
      <c r="B1603" s="5">
        <v>1598</v>
      </c>
    </row>
    <row r="1604" spans="2:2">
      <c r="B1604" s="5">
        <v>1599</v>
      </c>
    </row>
    <row r="1605" spans="2:2">
      <c r="B1605" s="5">
        <v>1600</v>
      </c>
    </row>
    <row r="1606" spans="2:2">
      <c r="B1606" s="5">
        <v>1601</v>
      </c>
    </row>
    <row r="1607" spans="2:2">
      <c r="B1607" s="5">
        <v>1602</v>
      </c>
    </row>
    <row r="1608" spans="2:2">
      <c r="B1608" s="5">
        <v>1603</v>
      </c>
    </row>
    <row r="1609" spans="2:2">
      <c r="B1609" s="5">
        <v>1604</v>
      </c>
    </row>
    <row r="1610" spans="2:2">
      <c r="B1610" s="5">
        <v>1605</v>
      </c>
    </row>
    <row r="1611" spans="2:2">
      <c r="B1611" s="5">
        <v>1606</v>
      </c>
    </row>
    <row r="1612" spans="2:2">
      <c r="B1612" s="5">
        <v>1607</v>
      </c>
    </row>
    <row r="1613" spans="2:2">
      <c r="B1613" s="5">
        <v>1608</v>
      </c>
    </row>
    <row r="1614" spans="2:2">
      <c r="B1614" s="5">
        <v>1609</v>
      </c>
    </row>
    <row r="1615" spans="2:2">
      <c r="B1615" s="5">
        <v>1610</v>
      </c>
    </row>
    <row r="1616" spans="2:2">
      <c r="B1616" s="5">
        <v>1611</v>
      </c>
    </row>
    <row r="1617" spans="2:2">
      <c r="B1617" s="5">
        <v>1612</v>
      </c>
    </row>
    <row r="1618" spans="2:2">
      <c r="B1618" s="5">
        <v>1613</v>
      </c>
    </row>
    <row r="1619" spans="2:2">
      <c r="B1619" s="5">
        <v>1614</v>
      </c>
    </row>
    <row r="1620" spans="2:2">
      <c r="B1620" s="5">
        <v>1615</v>
      </c>
    </row>
    <row r="1621" spans="2:2">
      <c r="B1621" s="5">
        <v>1616</v>
      </c>
    </row>
    <row r="1622" spans="2:2">
      <c r="B1622" s="5">
        <v>1617</v>
      </c>
    </row>
    <row r="1623" spans="2:2">
      <c r="B1623" s="5">
        <v>1618</v>
      </c>
    </row>
    <row r="1624" spans="2:2">
      <c r="B1624" s="5">
        <v>1619</v>
      </c>
    </row>
    <row r="1625" spans="2:2">
      <c r="B1625" s="5">
        <v>1620</v>
      </c>
    </row>
    <row r="1626" spans="2:2">
      <c r="B1626" s="5">
        <v>1621</v>
      </c>
    </row>
    <row r="1627" spans="2:2">
      <c r="B1627" s="5">
        <v>1622</v>
      </c>
    </row>
    <row r="1628" spans="2:2">
      <c r="B1628" s="5">
        <v>1623</v>
      </c>
    </row>
    <row r="1629" spans="2:2">
      <c r="B1629" s="5">
        <v>1624</v>
      </c>
    </row>
    <row r="1630" spans="2:2">
      <c r="B1630" s="5">
        <v>1625</v>
      </c>
    </row>
    <row r="1631" spans="2:2">
      <c r="B1631" s="5">
        <v>1626</v>
      </c>
    </row>
    <row r="1632" spans="2:2">
      <c r="B1632" s="5">
        <v>1627</v>
      </c>
    </row>
    <row r="1633" spans="2:2">
      <c r="B1633" s="5">
        <v>1628</v>
      </c>
    </row>
    <row r="1634" spans="2:2">
      <c r="B1634" s="5">
        <v>1629</v>
      </c>
    </row>
    <row r="1635" spans="2:2">
      <c r="B1635" s="5">
        <v>1630</v>
      </c>
    </row>
    <row r="1636" spans="2:2">
      <c r="B1636" s="5">
        <v>1631</v>
      </c>
    </row>
    <row r="1637" spans="2:2">
      <c r="B1637" s="5">
        <v>1632</v>
      </c>
    </row>
    <row r="1638" spans="2:2">
      <c r="B1638" s="5">
        <v>1633</v>
      </c>
    </row>
    <row r="1639" spans="2:2">
      <c r="B1639" s="5">
        <v>1634</v>
      </c>
    </row>
    <row r="1640" spans="2:2">
      <c r="B1640" s="5">
        <v>1635</v>
      </c>
    </row>
    <row r="1641" spans="2:2">
      <c r="B1641" s="5">
        <v>1636</v>
      </c>
    </row>
    <row r="1642" spans="2:2">
      <c r="B1642" s="5">
        <v>1637</v>
      </c>
    </row>
    <row r="1643" spans="2:2">
      <c r="B1643" s="5">
        <v>1638</v>
      </c>
    </row>
    <row r="1644" spans="2:2">
      <c r="B1644" s="5">
        <v>1639</v>
      </c>
    </row>
    <row r="1645" spans="2:2">
      <c r="B1645" s="5">
        <v>1640</v>
      </c>
    </row>
    <row r="1646" spans="2:2">
      <c r="B1646" s="5">
        <v>1641</v>
      </c>
    </row>
    <row r="1647" spans="2:2">
      <c r="B1647" s="5">
        <v>1642</v>
      </c>
    </row>
    <row r="1648" spans="2:2">
      <c r="B1648" s="5">
        <v>1643</v>
      </c>
    </row>
    <row r="1649" spans="2:2">
      <c r="B1649" s="5">
        <v>1644</v>
      </c>
    </row>
    <row r="1650" spans="2:2">
      <c r="B1650" s="5">
        <v>1645</v>
      </c>
    </row>
    <row r="1651" spans="2:2">
      <c r="B1651" s="5">
        <v>1646</v>
      </c>
    </row>
    <row r="1652" spans="2:2">
      <c r="B1652" s="5">
        <v>1647</v>
      </c>
    </row>
    <row r="1653" spans="2:2">
      <c r="B1653" s="5">
        <v>1648</v>
      </c>
    </row>
    <row r="1654" spans="2:2">
      <c r="B1654" s="5">
        <v>1649</v>
      </c>
    </row>
    <row r="1655" spans="2:2">
      <c r="B1655" s="5">
        <v>1650</v>
      </c>
    </row>
    <row r="1656" spans="2:2">
      <c r="B1656" s="5">
        <v>1651</v>
      </c>
    </row>
    <row r="1657" spans="2:2">
      <c r="B1657" s="5">
        <v>1652</v>
      </c>
    </row>
    <row r="1658" spans="2:2">
      <c r="B1658" s="5">
        <v>1653</v>
      </c>
    </row>
    <row r="1659" spans="2:2">
      <c r="B1659" s="5">
        <v>1654</v>
      </c>
    </row>
    <row r="1660" spans="2:2">
      <c r="B1660" s="5">
        <v>1655</v>
      </c>
    </row>
    <row r="1661" spans="2:2">
      <c r="B1661" s="5">
        <v>1656</v>
      </c>
    </row>
    <row r="1662" spans="2:2">
      <c r="B1662" s="5">
        <v>1657</v>
      </c>
    </row>
    <row r="1663" spans="2:2">
      <c r="B1663" s="5">
        <v>1658</v>
      </c>
    </row>
    <row r="1664" spans="2:2">
      <c r="B1664" s="5">
        <v>1659</v>
      </c>
    </row>
    <row r="1665" spans="2:2">
      <c r="B1665" s="5">
        <v>1660</v>
      </c>
    </row>
    <row r="1666" spans="2:2">
      <c r="B1666" s="5">
        <v>1661</v>
      </c>
    </row>
    <row r="1667" spans="2:2">
      <c r="B1667" s="5">
        <v>1662</v>
      </c>
    </row>
    <row r="1668" spans="2:2">
      <c r="B1668" s="5">
        <v>1663</v>
      </c>
    </row>
    <row r="1669" spans="2:2">
      <c r="B1669" s="5">
        <v>1664</v>
      </c>
    </row>
    <row r="1670" spans="2:2">
      <c r="B1670" s="5">
        <v>1665</v>
      </c>
    </row>
    <row r="1671" spans="2:2">
      <c r="B1671" s="5">
        <v>1666</v>
      </c>
    </row>
    <row r="1672" spans="2:2">
      <c r="B1672" s="5">
        <v>1667</v>
      </c>
    </row>
    <row r="1673" spans="2:2">
      <c r="B1673" s="5">
        <v>1668</v>
      </c>
    </row>
    <row r="1674" spans="2:2">
      <c r="B1674" s="5">
        <v>1669</v>
      </c>
    </row>
    <row r="1675" spans="2:2">
      <c r="B1675" s="5">
        <v>1670</v>
      </c>
    </row>
    <row r="1676" spans="2:2">
      <c r="B1676" s="5">
        <v>1671</v>
      </c>
    </row>
    <row r="1677" spans="2:2">
      <c r="B1677" s="5">
        <v>1672</v>
      </c>
    </row>
    <row r="1678" spans="2:2">
      <c r="B1678" s="5">
        <v>1673</v>
      </c>
    </row>
    <row r="1679" spans="2:2">
      <c r="B1679" s="5">
        <v>1674</v>
      </c>
    </row>
    <row r="1680" spans="2:2">
      <c r="B1680" s="5">
        <v>1675</v>
      </c>
    </row>
    <row r="1681" spans="2:2">
      <c r="B1681" s="5">
        <v>1676</v>
      </c>
    </row>
    <row r="1682" spans="2:2">
      <c r="B1682" s="5">
        <v>1677</v>
      </c>
    </row>
    <row r="1683" spans="2:2">
      <c r="B1683" s="5">
        <v>1678</v>
      </c>
    </row>
    <row r="1684" spans="2:2">
      <c r="B1684" s="5">
        <v>1679</v>
      </c>
    </row>
    <row r="1685" spans="2:2">
      <c r="B1685" s="5">
        <v>1680</v>
      </c>
    </row>
    <row r="1686" spans="2:2">
      <c r="B1686" s="5">
        <v>1681</v>
      </c>
    </row>
    <row r="1687" spans="2:2">
      <c r="B1687" s="5">
        <v>1682</v>
      </c>
    </row>
    <row r="1688" spans="2:2">
      <c r="B1688" s="5">
        <v>1683</v>
      </c>
    </row>
    <row r="1689" spans="2:2">
      <c r="B1689" s="5">
        <v>1684</v>
      </c>
    </row>
    <row r="1690" spans="2:2">
      <c r="B1690" s="5">
        <v>1685</v>
      </c>
    </row>
    <row r="1691" spans="2:2">
      <c r="B1691" s="5">
        <v>1686</v>
      </c>
    </row>
    <row r="1692" spans="2:2">
      <c r="B1692" s="5">
        <v>1687</v>
      </c>
    </row>
    <row r="1693" spans="2:2">
      <c r="B1693" s="5">
        <v>1688</v>
      </c>
    </row>
    <row r="1694" spans="2:2">
      <c r="B1694" s="5">
        <v>1689</v>
      </c>
    </row>
    <row r="1695" spans="2:2">
      <c r="B1695" s="5">
        <v>1690</v>
      </c>
    </row>
    <row r="1696" spans="2:2">
      <c r="B1696" s="5">
        <v>1691</v>
      </c>
    </row>
    <row r="1697" spans="2:2">
      <c r="B1697" s="5">
        <v>1692</v>
      </c>
    </row>
    <row r="1698" spans="2:2">
      <c r="B1698" s="5">
        <v>1693</v>
      </c>
    </row>
    <row r="1699" spans="2:2">
      <c r="B1699" s="5">
        <v>1694</v>
      </c>
    </row>
    <row r="1700" spans="2:2">
      <c r="B1700" s="5">
        <v>1695</v>
      </c>
    </row>
    <row r="1701" spans="2:2">
      <c r="B1701" s="5">
        <v>1696</v>
      </c>
    </row>
    <row r="1702" spans="2:2">
      <c r="B1702" s="5">
        <v>1697</v>
      </c>
    </row>
    <row r="1703" spans="2:2">
      <c r="B1703" s="5">
        <v>1698</v>
      </c>
    </row>
    <row r="1704" spans="2:2">
      <c r="B1704" s="5">
        <v>1699</v>
      </c>
    </row>
    <row r="1705" spans="2:2">
      <c r="B1705" s="5">
        <v>1700</v>
      </c>
    </row>
    <row r="1706" spans="2:2">
      <c r="B1706" s="5">
        <v>1701</v>
      </c>
    </row>
    <row r="1707" spans="2:2">
      <c r="B1707" s="5">
        <v>1702</v>
      </c>
    </row>
    <row r="1708" spans="2:2">
      <c r="B1708" s="5">
        <v>1703</v>
      </c>
    </row>
    <row r="1709" spans="2:2">
      <c r="B1709" s="5">
        <v>1704</v>
      </c>
    </row>
    <row r="1710" spans="2:2">
      <c r="B1710" s="5">
        <v>1705</v>
      </c>
    </row>
    <row r="1711" spans="2:2">
      <c r="B1711" s="5">
        <v>1706</v>
      </c>
    </row>
    <row r="1712" spans="2:2">
      <c r="B1712" s="5">
        <v>1707</v>
      </c>
    </row>
    <row r="1713" spans="2:2">
      <c r="B1713" s="5">
        <v>1708</v>
      </c>
    </row>
    <row r="1714" spans="2:2">
      <c r="B1714" s="5">
        <v>1709</v>
      </c>
    </row>
    <row r="1715" spans="2:2">
      <c r="B1715" s="5">
        <v>1710</v>
      </c>
    </row>
    <row r="1716" spans="2:2">
      <c r="B1716" s="5">
        <v>1711</v>
      </c>
    </row>
    <row r="1717" spans="2:2">
      <c r="B1717" s="5">
        <v>1712</v>
      </c>
    </row>
    <row r="1718" spans="2:2">
      <c r="B1718" s="5">
        <v>1713</v>
      </c>
    </row>
    <row r="1719" spans="2:2">
      <c r="B1719" s="5">
        <v>1714</v>
      </c>
    </row>
    <row r="1720" spans="2:2">
      <c r="B1720" s="5">
        <v>1715</v>
      </c>
    </row>
    <row r="1721" spans="2:2">
      <c r="B1721" s="5">
        <v>1716</v>
      </c>
    </row>
    <row r="1722" spans="2:2">
      <c r="B1722" s="5">
        <v>1717</v>
      </c>
    </row>
    <row r="1723" spans="2:2">
      <c r="B1723" s="5">
        <v>1718</v>
      </c>
    </row>
    <row r="1724" spans="2:2">
      <c r="B1724" s="5">
        <v>1719</v>
      </c>
    </row>
    <row r="1725" spans="2:2">
      <c r="B1725" s="5">
        <v>1720</v>
      </c>
    </row>
    <row r="1726" spans="2:2">
      <c r="B1726" s="5">
        <v>1721</v>
      </c>
    </row>
    <row r="1727" spans="2:2">
      <c r="B1727" s="5">
        <v>1722</v>
      </c>
    </row>
    <row r="1728" spans="2:2">
      <c r="B1728" s="5">
        <v>1723</v>
      </c>
    </row>
    <row r="1729" spans="2:2">
      <c r="B1729" s="5">
        <v>1724</v>
      </c>
    </row>
    <row r="1730" spans="2:2">
      <c r="B1730" s="5">
        <v>1725</v>
      </c>
    </row>
    <row r="1731" spans="2:2">
      <c r="B1731" s="5">
        <v>1726</v>
      </c>
    </row>
    <row r="1732" spans="2:2">
      <c r="B1732" s="5">
        <v>1727</v>
      </c>
    </row>
    <row r="1733" spans="2:2">
      <c r="B1733" s="5">
        <v>1728</v>
      </c>
    </row>
    <row r="1734" spans="2:2">
      <c r="B1734" s="5">
        <v>1729</v>
      </c>
    </row>
    <row r="1735" spans="2:2">
      <c r="B1735" s="5">
        <v>1730</v>
      </c>
    </row>
    <row r="1736" spans="2:2">
      <c r="B1736" s="5">
        <v>1731</v>
      </c>
    </row>
    <row r="1737" spans="2:2">
      <c r="B1737" s="5">
        <v>1732</v>
      </c>
    </row>
    <row r="1738" spans="2:2">
      <c r="B1738" s="5">
        <v>1733</v>
      </c>
    </row>
    <row r="1739" spans="2:2">
      <c r="B1739" s="5">
        <v>1734</v>
      </c>
    </row>
    <row r="1740" spans="2:2">
      <c r="B1740" s="5">
        <v>1735</v>
      </c>
    </row>
    <row r="1741" spans="2:2">
      <c r="B1741" s="5">
        <v>1736</v>
      </c>
    </row>
    <row r="1742" spans="2:2">
      <c r="B1742" s="5">
        <v>1737</v>
      </c>
    </row>
    <row r="1743" spans="2:2">
      <c r="B1743" s="5">
        <v>1738</v>
      </c>
    </row>
    <row r="1744" spans="2:2">
      <c r="B1744" s="5">
        <v>1739</v>
      </c>
    </row>
    <row r="1745" spans="2:2">
      <c r="B1745" s="5">
        <v>1740</v>
      </c>
    </row>
    <row r="1746" spans="2:2">
      <c r="B1746" s="5">
        <v>1741</v>
      </c>
    </row>
    <row r="1747" spans="2:2">
      <c r="B1747" s="5">
        <v>1742</v>
      </c>
    </row>
    <row r="1748" spans="2:2">
      <c r="B1748" s="5">
        <v>1743</v>
      </c>
    </row>
    <row r="1749" spans="2:2">
      <c r="B1749" s="5">
        <v>1744</v>
      </c>
    </row>
    <row r="1750" spans="2:2">
      <c r="B1750" s="5">
        <v>1745</v>
      </c>
    </row>
    <row r="1751" spans="2:2">
      <c r="B1751" s="5">
        <v>1746</v>
      </c>
    </row>
    <row r="1752" spans="2:2">
      <c r="B1752" s="5">
        <v>1747</v>
      </c>
    </row>
    <row r="1753" spans="2:2">
      <c r="B1753" s="5">
        <v>1748</v>
      </c>
    </row>
    <row r="1754" spans="2:2">
      <c r="B1754" s="5">
        <v>1749</v>
      </c>
    </row>
    <row r="1755" spans="2:2">
      <c r="B1755" s="5">
        <v>1750</v>
      </c>
    </row>
    <row r="1756" spans="2:2">
      <c r="B1756" s="5">
        <v>1751</v>
      </c>
    </row>
    <row r="1757" spans="2:2">
      <c r="B1757" s="5">
        <v>1752</v>
      </c>
    </row>
    <row r="1758" spans="2:2">
      <c r="B1758" s="5">
        <v>1753</v>
      </c>
    </row>
    <row r="1759" spans="2:2">
      <c r="B1759" s="5">
        <v>1754</v>
      </c>
    </row>
    <row r="1760" spans="2:2">
      <c r="B1760" s="5">
        <v>1755</v>
      </c>
    </row>
    <row r="1761" spans="2:2">
      <c r="B1761" s="5">
        <v>1756</v>
      </c>
    </row>
    <row r="1762" spans="2:2">
      <c r="B1762" s="5">
        <v>1757</v>
      </c>
    </row>
    <row r="1763" spans="2:2">
      <c r="B1763" s="5">
        <v>1758</v>
      </c>
    </row>
    <row r="1764" spans="2:2">
      <c r="B1764" s="5">
        <v>1759</v>
      </c>
    </row>
    <row r="1765" spans="2:2">
      <c r="B1765" s="5">
        <v>1760</v>
      </c>
    </row>
    <row r="1766" spans="2:2">
      <c r="B1766" s="5">
        <v>1761</v>
      </c>
    </row>
    <row r="1767" spans="2:2">
      <c r="B1767" s="5">
        <v>1762</v>
      </c>
    </row>
    <row r="1768" spans="2:2">
      <c r="B1768" s="5">
        <v>1763</v>
      </c>
    </row>
    <row r="1769" spans="2:2">
      <c r="B1769" s="5">
        <v>1764</v>
      </c>
    </row>
    <row r="1770" spans="2:2">
      <c r="B1770" s="5">
        <v>1765</v>
      </c>
    </row>
    <row r="1771" spans="2:2">
      <c r="B1771" s="5">
        <v>1766</v>
      </c>
    </row>
    <row r="1772" spans="2:2">
      <c r="B1772" s="5">
        <v>1767</v>
      </c>
    </row>
    <row r="1773" spans="2:2">
      <c r="B1773" s="5">
        <v>1768</v>
      </c>
    </row>
    <row r="1774" spans="2:2">
      <c r="B1774" s="5">
        <v>1769</v>
      </c>
    </row>
    <row r="1775" spans="2:2">
      <c r="B1775" s="5">
        <v>1770</v>
      </c>
    </row>
    <row r="1776" spans="2:2">
      <c r="B1776" s="5">
        <v>1771</v>
      </c>
    </row>
    <row r="1777" spans="2:2">
      <c r="B1777" s="5">
        <v>1772</v>
      </c>
    </row>
    <row r="1778" spans="2:2">
      <c r="B1778" s="5">
        <v>1773</v>
      </c>
    </row>
    <row r="1779" spans="2:2">
      <c r="B1779" s="5">
        <v>1774</v>
      </c>
    </row>
    <row r="1780" spans="2:2">
      <c r="B1780" s="5">
        <v>1775</v>
      </c>
    </row>
    <row r="1781" spans="2:2">
      <c r="B1781" s="5">
        <v>1776</v>
      </c>
    </row>
    <row r="1782" spans="2:2">
      <c r="B1782" s="5">
        <v>1777</v>
      </c>
    </row>
    <row r="1783" spans="2:2">
      <c r="B1783" s="5">
        <v>1778</v>
      </c>
    </row>
    <row r="1784" spans="2:2">
      <c r="B1784" s="5">
        <v>1779</v>
      </c>
    </row>
    <row r="1785" spans="2:2">
      <c r="B1785" s="5">
        <v>1780</v>
      </c>
    </row>
    <row r="1786" spans="2:2">
      <c r="B1786" s="5">
        <v>1781</v>
      </c>
    </row>
    <row r="1787" spans="2:2">
      <c r="B1787" s="5">
        <v>1782</v>
      </c>
    </row>
    <row r="1788" spans="2:2">
      <c r="B1788" s="5">
        <v>1783</v>
      </c>
    </row>
    <row r="1789" spans="2:2">
      <c r="B1789" s="5">
        <v>1784</v>
      </c>
    </row>
    <row r="1790" spans="2:2">
      <c r="B1790" s="5">
        <v>1785</v>
      </c>
    </row>
    <row r="1791" spans="2:2">
      <c r="B1791" s="5">
        <v>1786</v>
      </c>
    </row>
    <row r="1792" spans="2:2">
      <c r="B1792" s="5">
        <v>1787</v>
      </c>
    </row>
    <row r="1793" spans="2:2">
      <c r="B1793" s="5">
        <v>1788</v>
      </c>
    </row>
    <row r="1794" spans="2:2">
      <c r="B1794" s="5">
        <v>1789</v>
      </c>
    </row>
    <row r="1795" spans="2:2">
      <c r="B1795" s="5">
        <v>1790</v>
      </c>
    </row>
    <row r="1796" spans="2:2">
      <c r="B1796" s="5">
        <v>1791</v>
      </c>
    </row>
    <row r="1797" spans="2:2">
      <c r="B1797" s="5">
        <v>1792</v>
      </c>
    </row>
    <row r="1798" spans="2:2">
      <c r="B1798" s="5">
        <v>1793</v>
      </c>
    </row>
    <row r="1799" spans="2:2">
      <c r="B1799" s="5">
        <v>1794</v>
      </c>
    </row>
    <row r="1800" spans="2:2">
      <c r="B1800" s="5">
        <v>1795</v>
      </c>
    </row>
    <row r="1801" spans="2:2">
      <c r="B1801" s="5">
        <v>1796</v>
      </c>
    </row>
    <row r="1802" spans="2:2">
      <c r="B1802" s="5">
        <v>1797</v>
      </c>
    </row>
    <row r="1803" spans="2:2">
      <c r="B1803" s="5">
        <v>1798</v>
      </c>
    </row>
    <row r="1804" spans="2:2">
      <c r="B1804" s="5">
        <v>1799</v>
      </c>
    </row>
    <row r="1805" spans="2:2">
      <c r="B1805" s="5">
        <v>1800</v>
      </c>
    </row>
    <row r="1806" spans="2:2">
      <c r="B1806" s="5">
        <v>1801</v>
      </c>
    </row>
    <row r="1807" spans="2:2">
      <c r="B1807" s="5">
        <v>1802</v>
      </c>
    </row>
    <row r="1808" spans="2:2">
      <c r="B1808" s="5">
        <v>1803</v>
      </c>
    </row>
    <row r="1809" spans="2:2">
      <c r="B1809" s="5">
        <v>1804</v>
      </c>
    </row>
    <row r="1810" spans="2:2">
      <c r="B1810" s="5">
        <v>1805</v>
      </c>
    </row>
    <row r="1811" spans="2:2">
      <c r="B1811" s="5">
        <v>1806</v>
      </c>
    </row>
    <row r="1812" spans="2:2">
      <c r="B1812" s="5">
        <v>1807</v>
      </c>
    </row>
    <row r="1813" spans="2:2">
      <c r="B1813" s="5">
        <v>1808</v>
      </c>
    </row>
    <row r="1814" spans="2:2">
      <c r="B1814" s="5">
        <v>1809</v>
      </c>
    </row>
    <row r="1815" spans="2:2">
      <c r="B1815" s="5">
        <v>1810</v>
      </c>
    </row>
    <row r="1816" spans="2:2">
      <c r="B1816" s="5">
        <v>1811</v>
      </c>
    </row>
    <row r="1817" spans="2:2">
      <c r="B1817" s="5">
        <v>1812</v>
      </c>
    </row>
    <row r="1818" spans="2:2">
      <c r="B1818" s="5">
        <v>1813</v>
      </c>
    </row>
    <row r="1819" spans="2:2">
      <c r="B1819" s="5">
        <v>1814</v>
      </c>
    </row>
    <row r="1820" spans="2:2">
      <c r="B1820" s="5">
        <v>1815</v>
      </c>
    </row>
    <row r="1821" spans="2:2">
      <c r="B1821" s="5">
        <v>1816</v>
      </c>
    </row>
    <row r="1822" spans="2:2">
      <c r="B1822" s="5">
        <v>1817</v>
      </c>
    </row>
    <row r="1823" spans="2:2">
      <c r="B1823" s="5">
        <v>1818</v>
      </c>
    </row>
    <row r="1824" spans="2:2">
      <c r="B1824" s="5">
        <v>1819</v>
      </c>
    </row>
    <row r="1825" spans="2:2">
      <c r="B1825" s="5">
        <v>1820</v>
      </c>
    </row>
    <row r="1826" spans="2:2">
      <c r="B1826" s="5">
        <v>1821</v>
      </c>
    </row>
    <row r="1827" spans="2:2">
      <c r="B1827" s="5">
        <v>1822</v>
      </c>
    </row>
    <row r="1828" spans="2:2">
      <c r="B1828" s="5">
        <v>1823</v>
      </c>
    </row>
    <row r="1829" spans="2:2">
      <c r="B1829" s="5">
        <v>1824</v>
      </c>
    </row>
    <row r="1830" spans="2:2">
      <c r="B1830" s="5">
        <v>1825</v>
      </c>
    </row>
    <row r="1831" spans="2:2">
      <c r="B1831" s="5">
        <v>1826</v>
      </c>
    </row>
    <row r="1832" spans="2:2">
      <c r="B1832" s="5">
        <v>1827</v>
      </c>
    </row>
    <row r="1833" spans="2:2">
      <c r="B1833" s="5">
        <v>1828</v>
      </c>
    </row>
    <row r="1834" spans="2:2">
      <c r="B1834" s="5">
        <v>1829</v>
      </c>
    </row>
    <row r="1835" spans="2:2">
      <c r="B1835" s="5">
        <v>1830</v>
      </c>
    </row>
    <row r="1836" spans="2:2">
      <c r="B1836" s="5">
        <v>1831</v>
      </c>
    </row>
    <row r="1837" spans="2:2">
      <c r="B1837" s="5">
        <v>1832</v>
      </c>
    </row>
    <row r="1838" spans="2:2">
      <c r="B1838" s="5">
        <v>1833</v>
      </c>
    </row>
    <row r="1839" spans="2:2">
      <c r="B1839" s="5">
        <v>1834</v>
      </c>
    </row>
    <row r="1840" spans="2:2">
      <c r="B1840" s="5">
        <v>1835</v>
      </c>
    </row>
    <row r="1841" spans="2:2">
      <c r="B1841" s="5">
        <v>1836</v>
      </c>
    </row>
    <row r="1842" spans="2:2">
      <c r="B1842" s="5">
        <v>1837</v>
      </c>
    </row>
    <row r="1843" spans="2:2">
      <c r="B1843" s="5">
        <v>1838</v>
      </c>
    </row>
    <row r="1844" spans="2:2">
      <c r="B1844" s="5">
        <v>1839</v>
      </c>
    </row>
    <row r="1845" spans="2:2">
      <c r="B1845" s="5">
        <v>1840</v>
      </c>
    </row>
    <row r="1846" spans="2:2">
      <c r="B1846" s="5">
        <v>1841</v>
      </c>
    </row>
    <row r="1847" spans="2:2">
      <c r="B1847" s="5">
        <v>1842</v>
      </c>
    </row>
    <row r="1848" spans="2:2">
      <c r="B1848" s="5">
        <v>1843</v>
      </c>
    </row>
    <row r="1849" spans="2:2">
      <c r="B1849" s="5">
        <v>1844</v>
      </c>
    </row>
    <row r="1850" spans="2:2">
      <c r="B1850" s="5">
        <v>1845</v>
      </c>
    </row>
    <row r="1851" spans="2:2">
      <c r="B1851" s="5">
        <v>1846</v>
      </c>
    </row>
    <row r="1852" spans="2:2">
      <c r="B1852" s="5">
        <v>1847</v>
      </c>
    </row>
    <row r="1853" spans="2:2">
      <c r="B1853" s="5">
        <v>1848</v>
      </c>
    </row>
    <row r="1854" spans="2:2">
      <c r="B1854" s="5">
        <v>1849</v>
      </c>
    </row>
    <row r="1855" spans="2:2">
      <c r="B1855" s="5">
        <v>1850</v>
      </c>
    </row>
    <row r="1856" spans="2:2">
      <c r="B1856" s="5">
        <v>1851</v>
      </c>
    </row>
    <row r="1857" spans="2:2">
      <c r="B1857" s="5">
        <v>1852</v>
      </c>
    </row>
    <row r="1858" spans="2:2">
      <c r="B1858" s="5">
        <v>1853</v>
      </c>
    </row>
    <row r="1859" spans="2:2">
      <c r="B1859" s="5">
        <v>1854</v>
      </c>
    </row>
    <row r="1860" spans="2:2">
      <c r="B1860" s="5">
        <v>1855</v>
      </c>
    </row>
    <row r="1861" spans="2:2">
      <c r="B1861" s="5">
        <v>1856</v>
      </c>
    </row>
    <row r="1862" spans="2:2">
      <c r="B1862" s="5">
        <v>1857</v>
      </c>
    </row>
    <row r="1863" spans="2:2">
      <c r="B1863" s="5">
        <v>1858</v>
      </c>
    </row>
    <row r="1864" spans="2:2">
      <c r="B1864" s="5">
        <v>1859</v>
      </c>
    </row>
    <row r="1865" spans="2:2">
      <c r="B1865" s="5">
        <v>1860</v>
      </c>
    </row>
    <row r="1866" spans="2:2">
      <c r="B1866" s="5">
        <v>1861</v>
      </c>
    </row>
    <row r="1867" spans="2:2">
      <c r="B1867" s="5">
        <v>1862</v>
      </c>
    </row>
    <row r="1868" spans="2:2">
      <c r="B1868" s="5">
        <v>1863</v>
      </c>
    </row>
    <row r="1869" spans="2:2">
      <c r="B1869" s="5">
        <v>1864</v>
      </c>
    </row>
    <row r="1870" spans="2:2">
      <c r="B1870" s="5">
        <v>1865</v>
      </c>
    </row>
    <row r="1871" spans="2:2">
      <c r="B1871" s="5">
        <v>1866</v>
      </c>
    </row>
    <row r="1872" spans="2:2">
      <c r="B1872" s="5">
        <v>1867</v>
      </c>
    </row>
    <row r="1873" spans="2:2">
      <c r="B1873" s="5">
        <v>1868</v>
      </c>
    </row>
    <row r="1874" spans="2:2">
      <c r="B1874" s="5">
        <v>1869</v>
      </c>
    </row>
    <row r="1875" spans="2:2">
      <c r="B1875" s="5">
        <v>1870</v>
      </c>
    </row>
    <row r="1876" spans="2:2">
      <c r="B1876" s="5">
        <v>1871</v>
      </c>
    </row>
    <row r="1877" spans="2:2">
      <c r="B1877" s="5">
        <v>1872</v>
      </c>
    </row>
    <row r="1878" spans="2:2">
      <c r="B1878" s="5">
        <v>1873</v>
      </c>
    </row>
    <row r="1879" spans="2:2">
      <c r="B1879" s="5">
        <v>1874</v>
      </c>
    </row>
    <row r="1880" spans="2:2">
      <c r="B1880" s="5">
        <v>1875</v>
      </c>
    </row>
    <row r="1881" spans="2:2">
      <c r="B1881" s="5">
        <v>1876</v>
      </c>
    </row>
    <row r="1882" spans="2:2">
      <c r="B1882" s="5">
        <v>1877</v>
      </c>
    </row>
    <row r="1883" spans="2:2">
      <c r="B1883" s="5">
        <v>1878</v>
      </c>
    </row>
    <row r="1884" spans="2:2">
      <c r="B1884" s="5">
        <v>1879</v>
      </c>
    </row>
    <row r="1885" spans="2:2">
      <c r="B1885" s="5">
        <v>1880</v>
      </c>
    </row>
    <row r="1886" spans="2:2">
      <c r="B1886" s="5">
        <v>1881</v>
      </c>
    </row>
    <row r="1887" spans="2:2">
      <c r="B1887" s="5">
        <v>1882</v>
      </c>
    </row>
    <row r="1888" spans="2:2">
      <c r="B1888" s="5">
        <v>1883</v>
      </c>
    </row>
    <row r="1889" spans="2:2">
      <c r="B1889" s="5">
        <v>1884</v>
      </c>
    </row>
    <row r="1890" spans="2:2">
      <c r="B1890" s="5">
        <v>1885</v>
      </c>
    </row>
    <row r="1891" spans="2:2">
      <c r="B1891" s="5">
        <v>1886</v>
      </c>
    </row>
    <row r="1892" spans="2:2">
      <c r="B1892" s="5">
        <v>1887</v>
      </c>
    </row>
    <row r="1893" spans="2:2">
      <c r="B1893" s="5">
        <v>1888</v>
      </c>
    </row>
    <row r="1894" spans="2:2">
      <c r="B1894" s="5">
        <v>1889</v>
      </c>
    </row>
    <row r="1895" spans="2:2">
      <c r="B1895" s="5">
        <v>1890</v>
      </c>
    </row>
    <row r="1896" spans="2:2">
      <c r="B1896" s="5">
        <v>1891</v>
      </c>
    </row>
    <row r="1897" spans="2:2">
      <c r="B1897" s="5">
        <v>1892</v>
      </c>
    </row>
    <row r="1898" spans="2:2">
      <c r="B1898" s="5">
        <v>1893</v>
      </c>
    </row>
    <row r="1899" spans="2:2">
      <c r="B1899" s="5">
        <v>1894</v>
      </c>
    </row>
    <row r="1900" spans="2:2">
      <c r="B1900" s="5">
        <v>1895</v>
      </c>
    </row>
    <row r="1901" spans="2:2">
      <c r="B1901" s="5">
        <v>1896</v>
      </c>
    </row>
    <row r="1902" spans="2:2">
      <c r="B1902" s="5">
        <v>1897</v>
      </c>
    </row>
    <row r="1903" spans="2:2">
      <c r="B1903" s="5">
        <v>1898</v>
      </c>
    </row>
    <row r="1904" spans="2:2">
      <c r="B1904" s="5">
        <v>1899</v>
      </c>
    </row>
    <row r="1905" spans="2:2">
      <c r="B1905" s="5">
        <v>1900</v>
      </c>
    </row>
    <row r="1906" spans="2:2">
      <c r="B1906" s="5">
        <v>1901</v>
      </c>
    </row>
    <row r="1907" spans="2:2">
      <c r="B1907" s="5">
        <v>1902</v>
      </c>
    </row>
    <row r="1908" spans="2:2">
      <c r="B1908" s="5">
        <v>1903</v>
      </c>
    </row>
    <row r="1909" spans="2:2">
      <c r="B1909" s="5">
        <v>1904</v>
      </c>
    </row>
    <row r="1910" spans="2:2">
      <c r="B1910" s="5">
        <v>1905</v>
      </c>
    </row>
    <row r="1911" spans="2:2">
      <c r="B1911" s="5">
        <v>1906</v>
      </c>
    </row>
    <row r="1912" spans="2:2">
      <c r="B1912" s="5">
        <v>1907</v>
      </c>
    </row>
    <row r="1913" spans="2:2">
      <c r="B1913" s="5">
        <v>1908</v>
      </c>
    </row>
    <row r="1914" spans="2:2">
      <c r="B1914" s="5">
        <v>1909</v>
      </c>
    </row>
    <row r="1915" spans="2:2">
      <c r="B1915" s="5">
        <v>1910</v>
      </c>
    </row>
    <row r="1916" spans="2:2">
      <c r="B1916" s="5">
        <v>1911</v>
      </c>
    </row>
    <row r="1917" spans="2:2">
      <c r="B1917" s="5">
        <v>1912</v>
      </c>
    </row>
    <row r="1918" spans="2:2">
      <c r="B1918" s="5">
        <v>1913</v>
      </c>
    </row>
    <row r="1919" spans="2:2">
      <c r="B1919" s="5">
        <v>1914</v>
      </c>
    </row>
    <row r="1920" spans="2:2">
      <c r="B1920" s="5">
        <v>1915</v>
      </c>
    </row>
    <row r="1921" spans="2:2">
      <c r="B1921" s="5">
        <v>1916</v>
      </c>
    </row>
    <row r="1922" spans="2:2">
      <c r="B1922" s="5">
        <v>1917</v>
      </c>
    </row>
    <row r="1923" spans="2:2">
      <c r="B1923" s="5">
        <v>1918</v>
      </c>
    </row>
    <row r="1924" spans="2:2">
      <c r="B1924" s="5">
        <v>1919</v>
      </c>
    </row>
    <row r="1925" spans="2:2">
      <c r="B1925" s="5">
        <v>1920</v>
      </c>
    </row>
    <row r="1926" spans="2:2">
      <c r="B1926" s="5">
        <v>1921</v>
      </c>
    </row>
    <row r="1927" spans="2:2">
      <c r="B1927" s="5">
        <v>1922</v>
      </c>
    </row>
    <row r="1928" spans="2:2">
      <c r="B1928" s="5">
        <v>1923</v>
      </c>
    </row>
    <row r="1929" spans="2:2">
      <c r="B1929" s="5">
        <v>1924</v>
      </c>
    </row>
    <row r="1930" spans="2:2">
      <c r="B1930" s="5">
        <v>1925</v>
      </c>
    </row>
    <row r="1931" spans="2:2">
      <c r="B1931" s="5">
        <v>1926</v>
      </c>
    </row>
    <row r="1932" spans="2:2">
      <c r="B1932" s="5">
        <v>1927</v>
      </c>
    </row>
    <row r="1933" spans="2:2">
      <c r="B1933" s="5">
        <v>1928</v>
      </c>
    </row>
    <row r="1934" spans="2:2">
      <c r="B1934" s="5">
        <v>1929</v>
      </c>
    </row>
    <row r="1935" spans="2:2">
      <c r="B1935" s="5">
        <v>1930</v>
      </c>
    </row>
    <row r="1936" spans="2:2">
      <c r="B1936" s="5">
        <v>1931</v>
      </c>
    </row>
    <row r="1937" spans="2:2">
      <c r="B1937" s="5">
        <v>1932</v>
      </c>
    </row>
    <row r="1938" spans="2:2">
      <c r="B1938" s="5">
        <v>1933</v>
      </c>
    </row>
    <row r="1939" spans="2:2">
      <c r="B1939" s="5">
        <v>1934</v>
      </c>
    </row>
    <row r="1940" spans="2:2">
      <c r="B1940" s="5">
        <v>1935</v>
      </c>
    </row>
    <row r="1941" spans="2:2">
      <c r="B1941" s="5">
        <v>1936</v>
      </c>
    </row>
    <row r="1942" spans="2:2">
      <c r="B1942" s="5">
        <v>1937</v>
      </c>
    </row>
    <row r="1943" spans="2:2">
      <c r="B1943" s="5">
        <v>1938</v>
      </c>
    </row>
    <row r="1944" spans="2:2">
      <c r="B1944" s="5">
        <v>1939</v>
      </c>
    </row>
    <row r="1945" spans="2:2">
      <c r="B1945" s="5">
        <v>1940</v>
      </c>
    </row>
    <row r="1946" spans="2:2">
      <c r="B1946" s="5">
        <v>1941</v>
      </c>
    </row>
    <row r="1947" spans="2:2">
      <c r="B1947" s="5">
        <v>1942</v>
      </c>
    </row>
    <row r="1948" spans="2:2">
      <c r="B1948" s="5">
        <v>1943</v>
      </c>
    </row>
    <row r="1949" spans="2:2">
      <c r="B1949" s="5">
        <v>1944</v>
      </c>
    </row>
    <row r="1950" spans="2:2">
      <c r="B1950" s="5">
        <v>1945</v>
      </c>
    </row>
    <row r="1951" spans="2:2">
      <c r="B1951" s="5">
        <v>1946</v>
      </c>
    </row>
    <row r="1952" spans="2:2">
      <c r="B1952" s="5">
        <v>1947</v>
      </c>
    </row>
    <row r="1953" spans="2:2">
      <c r="B1953" s="5">
        <v>1948</v>
      </c>
    </row>
    <row r="1954" spans="2:2">
      <c r="B1954" s="5">
        <v>1949</v>
      </c>
    </row>
    <row r="1955" spans="2:2">
      <c r="B1955" s="5">
        <v>1950</v>
      </c>
    </row>
    <row r="1956" spans="2:2">
      <c r="B1956" s="5">
        <v>1951</v>
      </c>
    </row>
    <row r="1957" spans="2:2">
      <c r="B1957" s="5">
        <v>1952</v>
      </c>
    </row>
    <row r="1958" spans="2:2">
      <c r="B1958" s="5">
        <v>1953</v>
      </c>
    </row>
    <row r="1959" spans="2:2">
      <c r="B1959" s="5">
        <v>1954</v>
      </c>
    </row>
    <row r="1960" spans="2:2">
      <c r="B1960" s="5">
        <v>1955</v>
      </c>
    </row>
    <row r="1961" spans="2:2">
      <c r="B1961" s="5">
        <v>1956</v>
      </c>
    </row>
    <row r="1962" spans="2:2">
      <c r="B1962" s="5">
        <v>1957</v>
      </c>
    </row>
    <row r="1963" spans="2:2">
      <c r="B1963" s="5">
        <v>1958</v>
      </c>
    </row>
    <row r="1964" spans="2:2">
      <c r="B1964" s="5">
        <v>1959</v>
      </c>
    </row>
    <row r="1965" spans="2:2">
      <c r="B1965" s="5">
        <v>1960</v>
      </c>
    </row>
    <row r="1966" spans="2:2">
      <c r="B1966" s="5">
        <v>1961</v>
      </c>
    </row>
    <row r="1967" spans="2:2">
      <c r="B1967" s="5">
        <v>1962</v>
      </c>
    </row>
    <row r="1968" spans="2:2">
      <c r="B1968" s="5">
        <v>1963</v>
      </c>
    </row>
    <row r="1969" spans="2:2">
      <c r="B1969" s="5">
        <v>1964</v>
      </c>
    </row>
    <row r="1970" spans="2:2">
      <c r="B1970" s="5">
        <v>1965</v>
      </c>
    </row>
    <row r="1971" spans="2:2">
      <c r="B1971" s="5">
        <v>1966</v>
      </c>
    </row>
    <row r="1972" spans="2:2">
      <c r="B1972" s="5">
        <v>1967</v>
      </c>
    </row>
    <row r="1973" spans="2:2">
      <c r="B1973" s="5">
        <v>1968</v>
      </c>
    </row>
    <row r="1974" spans="2:2">
      <c r="B1974" s="5">
        <v>1969</v>
      </c>
    </row>
    <row r="1975" spans="2:2">
      <c r="B1975" s="5">
        <v>1970</v>
      </c>
    </row>
    <row r="1976" spans="2:2">
      <c r="B1976" s="5">
        <v>1971</v>
      </c>
    </row>
    <row r="1977" spans="2:2">
      <c r="B1977" s="5">
        <v>1972</v>
      </c>
    </row>
    <row r="1978" spans="2:2">
      <c r="B1978" s="5">
        <v>1973</v>
      </c>
    </row>
    <row r="1979" spans="2:2">
      <c r="B1979" s="5">
        <v>1974</v>
      </c>
    </row>
    <row r="1980" spans="2:2">
      <c r="B1980" s="5">
        <v>1975</v>
      </c>
    </row>
    <row r="1981" spans="2:2">
      <c r="B1981" s="5">
        <v>1976</v>
      </c>
    </row>
    <row r="1982" spans="2:2">
      <c r="B1982" s="5">
        <v>1977</v>
      </c>
    </row>
    <row r="1983" spans="2:2">
      <c r="B1983" s="5">
        <v>1978</v>
      </c>
    </row>
    <row r="1984" spans="2:2">
      <c r="B1984" s="5">
        <v>1979</v>
      </c>
    </row>
    <row r="1985" spans="2:2">
      <c r="B1985" s="5">
        <v>1980</v>
      </c>
    </row>
    <row r="1986" spans="2:2">
      <c r="B1986" s="5">
        <v>1981</v>
      </c>
    </row>
    <row r="1987" spans="2:2">
      <c r="B1987" s="5">
        <v>1982</v>
      </c>
    </row>
    <row r="1988" spans="2:2">
      <c r="B1988" s="5">
        <v>1983</v>
      </c>
    </row>
    <row r="1989" spans="2:2">
      <c r="B1989" s="5">
        <v>1984</v>
      </c>
    </row>
    <row r="1990" spans="2:2">
      <c r="B1990" s="5">
        <v>1985</v>
      </c>
    </row>
    <row r="1991" spans="2:2">
      <c r="B1991" s="5">
        <v>1986</v>
      </c>
    </row>
    <row r="1992" spans="2:2">
      <c r="B1992" s="5">
        <v>1987</v>
      </c>
    </row>
    <row r="1993" spans="2:2">
      <c r="B1993" s="5">
        <v>1988</v>
      </c>
    </row>
    <row r="1994" spans="2:2">
      <c r="B1994" s="5">
        <v>1989</v>
      </c>
    </row>
    <row r="1995" spans="2:2">
      <c r="B1995" s="5">
        <v>1990</v>
      </c>
    </row>
    <row r="1996" spans="2:2">
      <c r="B1996" s="5">
        <v>1991</v>
      </c>
    </row>
    <row r="1997" spans="2:2">
      <c r="B1997" s="5">
        <v>1992</v>
      </c>
    </row>
    <row r="1998" spans="2:2">
      <c r="B1998" s="5">
        <v>1993</v>
      </c>
    </row>
    <row r="1999" spans="2:2">
      <c r="B1999" s="5">
        <v>1994</v>
      </c>
    </row>
    <row r="2000" spans="2:2">
      <c r="B2000" s="5">
        <v>1995</v>
      </c>
    </row>
    <row r="2001" spans="2:2">
      <c r="B2001" s="5">
        <v>1996</v>
      </c>
    </row>
    <row r="2002" spans="2:2">
      <c r="B2002" s="5">
        <v>1997</v>
      </c>
    </row>
    <row r="2003" spans="2:2">
      <c r="B2003" s="5">
        <v>1998</v>
      </c>
    </row>
    <row r="2004" spans="2:2">
      <c r="B2004" s="5">
        <v>1999</v>
      </c>
    </row>
    <row r="2005" spans="2:2">
      <c r="B2005" s="5">
        <v>2000</v>
      </c>
    </row>
    <row r="2006" spans="2:2">
      <c r="B2006" s="5">
        <v>2001</v>
      </c>
    </row>
    <row r="2007" spans="2:2">
      <c r="B2007" s="5">
        <v>2002</v>
      </c>
    </row>
    <row r="2008" spans="2:2">
      <c r="B2008" s="5">
        <v>2003</v>
      </c>
    </row>
    <row r="2009" spans="2:2">
      <c r="B2009" s="5">
        <v>2004</v>
      </c>
    </row>
    <row r="2010" spans="2:2">
      <c r="B2010" s="5">
        <v>2005</v>
      </c>
    </row>
    <row r="2011" spans="2:2">
      <c r="B2011" s="5">
        <v>2006</v>
      </c>
    </row>
    <row r="2012" spans="2:2">
      <c r="B2012" s="5">
        <v>2007</v>
      </c>
    </row>
    <row r="2013" spans="2:2">
      <c r="B2013" s="5">
        <v>2008</v>
      </c>
    </row>
    <row r="2014" spans="2:2">
      <c r="B2014" s="5">
        <v>2009</v>
      </c>
    </row>
    <row r="2015" spans="2:2">
      <c r="B2015" s="5">
        <v>2010</v>
      </c>
    </row>
    <row r="2016" spans="2:2">
      <c r="B2016" s="5">
        <v>2011</v>
      </c>
    </row>
    <row r="2017" spans="2:2">
      <c r="B2017" s="5">
        <v>2012</v>
      </c>
    </row>
    <row r="2018" spans="2:2">
      <c r="B2018" s="5">
        <v>2013</v>
      </c>
    </row>
    <row r="2019" spans="2:2">
      <c r="B2019" s="5">
        <v>2014</v>
      </c>
    </row>
    <row r="2020" spans="2:2">
      <c r="B2020" s="5">
        <v>2015</v>
      </c>
    </row>
    <row r="2021" spans="2:2">
      <c r="B2021" s="5">
        <v>2016</v>
      </c>
    </row>
    <row r="2022" spans="2:2">
      <c r="B2022" s="5">
        <v>2017</v>
      </c>
    </row>
    <row r="2023" spans="2:2">
      <c r="B2023" s="5">
        <v>2018</v>
      </c>
    </row>
    <row r="2024" spans="2:2">
      <c r="B2024" s="5">
        <v>2019</v>
      </c>
    </row>
    <row r="2025" spans="2:2">
      <c r="B2025" s="5">
        <v>2020</v>
      </c>
    </row>
    <row r="2026" spans="2:2">
      <c r="B2026" s="5">
        <v>2021</v>
      </c>
    </row>
    <row r="2027" spans="2:2">
      <c r="B2027" s="5">
        <v>2022</v>
      </c>
    </row>
    <row r="2028" spans="2:2">
      <c r="B2028" s="5">
        <v>2023</v>
      </c>
    </row>
    <row r="2029" spans="2:2">
      <c r="B2029" s="5">
        <v>2024</v>
      </c>
    </row>
    <row r="2030" spans="2:2">
      <c r="B2030" s="5">
        <v>2025</v>
      </c>
    </row>
    <row r="2031" spans="2:2">
      <c r="B2031" s="5">
        <v>2026</v>
      </c>
    </row>
    <row r="2032" spans="2:2">
      <c r="B2032" s="5">
        <v>2027</v>
      </c>
    </row>
    <row r="2033" spans="2:2">
      <c r="B2033" s="5">
        <v>2028</v>
      </c>
    </row>
    <row r="2034" spans="2:2">
      <c r="B2034" s="5">
        <v>2029</v>
      </c>
    </row>
    <row r="2035" spans="2:2">
      <c r="B2035" s="5">
        <v>2030</v>
      </c>
    </row>
    <row r="2036" spans="2:2">
      <c r="B2036" s="5">
        <v>2031</v>
      </c>
    </row>
    <row r="2037" spans="2:2">
      <c r="B2037" s="5">
        <v>2032</v>
      </c>
    </row>
    <row r="2038" spans="2:2">
      <c r="B2038" s="5">
        <v>2033</v>
      </c>
    </row>
    <row r="2039" spans="2:2">
      <c r="B2039" s="5">
        <v>2034</v>
      </c>
    </row>
    <row r="2040" spans="2:2">
      <c r="B2040" s="5">
        <v>2035</v>
      </c>
    </row>
    <row r="2041" spans="2:2">
      <c r="B2041" s="5">
        <v>2036</v>
      </c>
    </row>
    <row r="2042" spans="2:2">
      <c r="B2042" s="5">
        <v>2037</v>
      </c>
    </row>
    <row r="2043" spans="2:2">
      <c r="B2043" s="5">
        <v>2038</v>
      </c>
    </row>
    <row r="2044" spans="2:2">
      <c r="B2044" s="5">
        <v>2039</v>
      </c>
    </row>
    <row r="2045" spans="2:2">
      <c r="B2045" s="5">
        <v>2040</v>
      </c>
    </row>
    <row r="2046" spans="2:2">
      <c r="B2046" s="5">
        <v>2041</v>
      </c>
    </row>
    <row r="2047" spans="2:2">
      <c r="B2047" s="5">
        <v>2042</v>
      </c>
    </row>
    <row r="2048" spans="2:2">
      <c r="B2048" s="5">
        <v>2043</v>
      </c>
    </row>
    <row r="2049" spans="2:2">
      <c r="B2049" s="5">
        <v>2044</v>
      </c>
    </row>
    <row r="2050" spans="2:2">
      <c r="B2050" s="5">
        <v>2045</v>
      </c>
    </row>
    <row r="2051" spans="2:2">
      <c r="B2051" s="5">
        <v>2046</v>
      </c>
    </row>
    <row r="2052" spans="2:2">
      <c r="B2052" s="5">
        <v>2047</v>
      </c>
    </row>
    <row r="2053" spans="2:2">
      <c r="B2053" s="5">
        <v>2048</v>
      </c>
    </row>
    <row r="2054" spans="2:2">
      <c r="B2054" s="5">
        <v>2049</v>
      </c>
    </row>
    <row r="2055" spans="2:2">
      <c r="B2055" s="5">
        <v>2050</v>
      </c>
    </row>
    <row r="2056" spans="2:2">
      <c r="B2056" s="5">
        <v>2051</v>
      </c>
    </row>
    <row r="2057" spans="2:2">
      <c r="B2057" s="5">
        <v>2052</v>
      </c>
    </row>
    <row r="2058" spans="2:2">
      <c r="B2058" s="5">
        <v>2053</v>
      </c>
    </row>
    <row r="2059" spans="2:2">
      <c r="B2059" s="5">
        <v>2054</v>
      </c>
    </row>
    <row r="2060" spans="2:2">
      <c r="B2060" s="5">
        <v>2055</v>
      </c>
    </row>
    <row r="2061" spans="2:2">
      <c r="B2061" s="5">
        <v>2056</v>
      </c>
    </row>
    <row r="2062" spans="2:2">
      <c r="B2062" s="5">
        <v>2057</v>
      </c>
    </row>
    <row r="2063" spans="2:2">
      <c r="B2063" s="5">
        <v>2058</v>
      </c>
    </row>
    <row r="2064" spans="2:2">
      <c r="B2064" s="5">
        <v>2059</v>
      </c>
    </row>
    <row r="2065" spans="2:2">
      <c r="B2065" s="5">
        <v>2060</v>
      </c>
    </row>
    <row r="2066" spans="2:2">
      <c r="B2066" s="5">
        <v>2061</v>
      </c>
    </row>
    <row r="2067" spans="2:2">
      <c r="B2067" s="5">
        <v>2062</v>
      </c>
    </row>
    <row r="2068" spans="2:2">
      <c r="B2068" s="5">
        <v>2063</v>
      </c>
    </row>
    <row r="2069" spans="2:2">
      <c r="B2069" s="5">
        <v>2064</v>
      </c>
    </row>
    <row r="2070" spans="2:2">
      <c r="B2070" s="5">
        <v>2065</v>
      </c>
    </row>
    <row r="2071" spans="2:2">
      <c r="B2071" s="5">
        <v>2066</v>
      </c>
    </row>
    <row r="2072" spans="2:2">
      <c r="B2072" s="5">
        <v>2067</v>
      </c>
    </row>
    <row r="2073" spans="2:2">
      <c r="B2073" s="5">
        <v>2068</v>
      </c>
    </row>
    <row r="2074" spans="2:2">
      <c r="B2074" s="5">
        <v>2069</v>
      </c>
    </row>
    <row r="2075" spans="2:2">
      <c r="B2075" s="5">
        <v>2070</v>
      </c>
    </row>
    <row r="2076" spans="2:2">
      <c r="B2076" s="5">
        <v>2071</v>
      </c>
    </row>
    <row r="2077" spans="2:2">
      <c r="B2077" s="5">
        <v>2072</v>
      </c>
    </row>
    <row r="2078" spans="2:2">
      <c r="B2078" s="5">
        <v>2073</v>
      </c>
    </row>
    <row r="2079" spans="2:2">
      <c r="B2079" s="5">
        <v>2074</v>
      </c>
    </row>
    <row r="2080" spans="2:2">
      <c r="B2080" s="5">
        <v>2075</v>
      </c>
    </row>
    <row r="2081" spans="2:2">
      <c r="B2081" s="5">
        <v>2076</v>
      </c>
    </row>
    <row r="2082" spans="2:2">
      <c r="B2082" s="5">
        <v>2077</v>
      </c>
    </row>
    <row r="2083" spans="2:2">
      <c r="B2083" s="5">
        <v>2078</v>
      </c>
    </row>
    <row r="2084" spans="2:2">
      <c r="B2084" s="5">
        <v>2079</v>
      </c>
    </row>
    <row r="2085" spans="2:2">
      <c r="B2085" s="5">
        <v>2080</v>
      </c>
    </row>
    <row r="2086" spans="2:2">
      <c r="B2086" s="5">
        <v>2081</v>
      </c>
    </row>
    <row r="2087" spans="2:2">
      <c r="B2087" s="5">
        <v>2082</v>
      </c>
    </row>
    <row r="2088" spans="2:2">
      <c r="B2088" s="5">
        <v>2083</v>
      </c>
    </row>
    <row r="2089" spans="2:2">
      <c r="B2089" s="5">
        <v>2084</v>
      </c>
    </row>
    <row r="2090" spans="2:2">
      <c r="B2090" s="5">
        <v>2085</v>
      </c>
    </row>
    <row r="2091" spans="2:2">
      <c r="B2091" s="5">
        <v>2086</v>
      </c>
    </row>
    <row r="2092" spans="2:2">
      <c r="B2092" s="5">
        <v>2087</v>
      </c>
    </row>
    <row r="2093" spans="2:2">
      <c r="B2093" s="5">
        <v>2088</v>
      </c>
    </row>
    <row r="2094" spans="2:2">
      <c r="B2094" s="5">
        <v>2089</v>
      </c>
    </row>
    <row r="2095" spans="2:2">
      <c r="B2095" s="5">
        <v>2090</v>
      </c>
    </row>
    <row r="2096" spans="2:2">
      <c r="B2096" s="5">
        <v>2091</v>
      </c>
    </row>
    <row r="2097" spans="2:2">
      <c r="B2097" s="5">
        <v>2092</v>
      </c>
    </row>
    <row r="2098" spans="2:2">
      <c r="B2098" s="5">
        <v>2093</v>
      </c>
    </row>
    <row r="2099" spans="2:2">
      <c r="B2099" s="5">
        <v>2094</v>
      </c>
    </row>
    <row r="2100" spans="2:2">
      <c r="B2100" s="5">
        <v>2095</v>
      </c>
    </row>
    <row r="2101" spans="2:2">
      <c r="B2101" s="5">
        <v>2096</v>
      </c>
    </row>
    <row r="2102" spans="2:2">
      <c r="B2102" s="5">
        <v>2097</v>
      </c>
    </row>
    <row r="2103" spans="2:2">
      <c r="B2103" s="5">
        <v>2098</v>
      </c>
    </row>
    <row r="2104" spans="2:2">
      <c r="B2104" s="5">
        <v>2099</v>
      </c>
    </row>
    <row r="2105" spans="2:2">
      <c r="B2105" s="5">
        <v>2100</v>
      </c>
    </row>
    <row r="2106" spans="2:2">
      <c r="B2106" s="5">
        <v>2101</v>
      </c>
    </row>
    <row r="2107" spans="2:2">
      <c r="B2107" s="5">
        <v>2102</v>
      </c>
    </row>
    <row r="2108" spans="2:2">
      <c r="B2108" s="5">
        <v>2103</v>
      </c>
    </row>
    <row r="2109" spans="2:2">
      <c r="B2109" s="5">
        <v>2104</v>
      </c>
    </row>
    <row r="2110" spans="2:2">
      <c r="B2110" s="5">
        <v>2105</v>
      </c>
    </row>
    <row r="2111" spans="2:2">
      <c r="B2111" s="5">
        <v>2106</v>
      </c>
    </row>
    <row r="2112" spans="2:2">
      <c r="B2112" s="5">
        <v>2107</v>
      </c>
    </row>
    <row r="2113" spans="2:2">
      <c r="B2113" s="5">
        <v>2108</v>
      </c>
    </row>
    <row r="2114" spans="2:2">
      <c r="B2114" s="5">
        <v>2109</v>
      </c>
    </row>
    <row r="2115" spans="2:2">
      <c r="B2115" s="5">
        <v>2110</v>
      </c>
    </row>
    <row r="2116" spans="2:2">
      <c r="B2116" s="5">
        <v>2111</v>
      </c>
    </row>
    <row r="2117" spans="2:2">
      <c r="B2117" s="5">
        <v>2112</v>
      </c>
    </row>
    <row r="2118" spans="2:2">
      <c r="B2118" s="5">
        <v>2113</v>
      </c>
    </row>
    <row r="2119" spans="2:2">
      <c r="B2119" s="5">
        <v>2114</v>
      </c>
    </row>
    <row r="2120" spans="2:2">
      <c r="B2120" s="5">
        <v>2115</v>
      </c>
    </row>
    <row r="2121" spans="2:2">
      <c r="B2121" s="5">
        <v>2116</v>
      </c>
    </row>
    <row r="2122" spans="2:2">
      <c r="B2122" s="5">
        <v>2117</v>
      </c>
    </row>
    <row r="2123" spans="2:2">
      <c r="B2123" s="5">
        <v>2118</v>
      </c>
    </row>
    <row r="2124" spans="2:2">
      <c r="B2124" s="5">
        <v>2119</v>
      </c>
    </row>
    <row r="2125" spans="2:2">
      <c r="B2125" s="5">
        <v>2120</v>
      </c>
    </row>
    <row r="2126" spans="2:2">
      <c r="B2126" s="5">
        <v>2121</v>
      </c>
    </row>
    <row r="2127" spans="2:2">
      <c r="B2127" s="5">
        <v>2122</v>
      </c>
    </row>
    <row r="2128" spans="2:2">
      <c r="B2128" s="5">
        <v>2123</v>
      </c>
    </row>
    <row r="2129" spans="2:2">
      <c r="B2129" s="5">
        <v>2124</v>
      </c>
    </row>
    <row r="2130" spans="2:2">
      <c r="B2130" s="5">
        <v>2125</v>
      </c>
    </row>
    <row r="2131" spans="2:2">
      <c r="B2131" s="5">
        <v>2126</v>
      </c>
    </row>
    <row r="2132" spans="2:2">
      <c r="B2132" s="5">
        <v>2127</v>
      </c>
    </row>
    <row r="2133" spans="2:2">
      <c r="B2133" s="5">
        <v>2128</v>
      </c>
    </row>
    <row r="2134" spans="2:2">
      <c r="B2134" s="5">
        <v>2129</v>
      </c>
    </row>
    <row r="2135" spans="2:2">
      <c r="B2135" s="5">
        <v>2130</v>
      </c>
    </row>
    <row r="2136" spans="2:2">
      <c r="B2136" s="5">
        <v>2131</v>
      </c>
    </row>
    <row r="2137" spans="2:2">
      <c r="B2137" s="5">
        <v>2132</v>
      </c>
    </row>
    <row r="2138" spans="2:2">
      <c r="B2138" s="5">
        <v>2133</v>
      </c>
    </row>
    <row r="2139" spans="2:2">
      <c r="B2139" s="5">
        <v>2134</v>
      </c>
    </row>
    <row r="2140" spans="2:2">
      <c r="B2140" s="5">
        <v>2135</v>
      </c>
    </row>
    <row r="2141" spans="2:2">
      <c r="B2141" s="5">
        <v>2136</v>
      </c>
    </row>
    <row r="2142" spans="2:2">
      <c r="B2142" s="5">
        <v>2137</v>
      </c>
    </row>
    <row r="2143" spans="2:2">
      <c r="B2143" s="5">
        <v>2138</v>
      </c>
    </row>
    <row r="2144" spans="2:2">
      <c r="B2144" s="5">
        <v>2139</v>
      </c>
    </row>
    <row r="2145" spans="2:2">
      <c r="B2145" s="5">
        <v>2140</v>
      </c>
    </row>
    <row r="2146" spans="2:2">
      <c r="B2146" s="5">
        <v>2141</v>
      </c>
    </row>
    <row r="2147" spans="2:2">
      <c r="B2147" s="5">
        <v>2142</v>
      </c>
    </row>
    <row r="2148" spans="2:2">
      <c r="B2148" s="5">
        <v>2143</v>
      </c>
    </row>
    <row r="2149" spans="2:2">
      <c r="B2149" s="5">
        <v>2144</v>
      </c>
    </row>
    <row r="2150" spans="2:2">
      <c r="B2150" s="5">
        <v>2145</v>
      </c>
    </row>
    <row r="2151" spans="2:2">
      <c r="B2151" s="5">
        <v>2146</v>
      </c>
    </row>
    <row r="2152" spans="2:2">
      <c r="B2152" s="5">
        <v>2147</v>
      </c>
    </row>
    <row r="2153" spans="2:2">
      <c r="B2153" s="5">
        <v>2148</v>
      </c>
    </row>
    <row r="2154" spans="2:2">
      <c r="B2154" s="5">
        <v>2149</v>
      </c>
    </row>
    <row r="2155" spans="2:2">
      <c r="B2155" s="5">
        <v>2150</v>
      </c>
    </row>
    <row r="2156" spans="2:2">
      <c r="B2156" s="5">
        <v>2151</v>
      </c>
    </row>
    <row r="2157" spans="2:2">
      <c r="B2157" s="5">
        <v>2152</v>
      </c>
    </row>
    <row r="2158" spans="2:2">
      <c r="B2158" s="5">
        <v>2153</v>
      </c>
    </row>
    <row r="2159" spans="2:2">
      <c r="B2159" s="5">
        <v>2154</v>
      </c>
    </row>
    <row r="2160" spans="2:2">
      <c r="B2160" s="5">
        <v>2155</v>
      </c>
    </row>
    <row r="2161" spans="2:2">
      <c r="B2161" s="5">
        <v>2156</v>
      </c>
    </row>
    <row r="2162" spans="2:2">
      <c r="B2162" s="5">
        <v>2157</v>
      </c>
    </row>
    <row r="2163" spans="2:2">
      <c r="B2163" s="5">
        <v>2158</v>
      </c>
    </row>
    <row r="2164" spans="2:2">
      <c r="B2164" s="5">
        <v>2159</v>
      </c>
    </row>
    <row r="2165" spans="2:2">
      <c r="B2165" s="5">
        <v>2160</v>
      </c>
    </row>
    <row r="2166" spans="2:2">
      <c r="B2166" s="5">
        <v>2161</v>
      </c>
    </row>
    <row r="2167" spans="2:2">
      <c r="B2167" s="5">
        <v>2162</v>
      </c>
    </row>
    <row r="2168" spans="2:2">
      <c r="B2168" s="5">
        <v>2163</v>
      </c>
    </row>
    <row r="2169" spans="2:2">
      <c r="B2169" s="5">
        <v>2164</v>
      </c>
    </row>
    <row r="2170" spans="2:2">
      <c r="B2170" s="5">
        <v>2165</v>
      </c>
    </row>
    <row r="2171" spans="2:2">
      <c r="B2171" s="5">
        <v>2166</v>
      </c>
    </row>
    <row r="2172" spans="2:2">
      <c r="B2172" s="5">
        <v>2167</v>
      </c>
    </row>
    <row r="2173" spans="2:2">
      <c r="B2173" s="5">
        <v>2168</v>
      </c>
    </row>
    <row r="2174" spans="2:2">
      <c r="B2174" s="5">
        <v>2169</v>
      </c>
    </row>
    <row r="2175" spans="2:2">
      <c r="B2175" s="5">
        <v>2170</v>
      </c>
    </row>
    <row r="2176" spans="2:2">
      <c r="B2176" s="5">
        <v>2171</v>
      </c>
    </row>
    <row r="2177" spans="2:2">
      <c r="B2177" s="5">
        <v>2172</v>
      </c>
    </row>
    <row r="2178" spans="2:2">
      <c r="B2178" s="5">
        <v>2173</v>
      </c>
    </row>
    <row r="2179" spans="2:2">
      <c r="B2179" s="5">
        <v>2174</v>
      </c>
    </row>
    <row r="2180" spans="2:2">
      <c r="B2180" s="5">
        <v>2175</v>
      </c>
    </row>
    <row r="2181" spans="2:2">
      <c r="B2181" s="5">
        <v>2176</v>
      </c>
    </row>
    <row r="2182" spans="2:2">
      <c r="B2182" s="5">
        <v>2177</v>
      </c>
    </row>
    <row r="2183" spans="2:2">
      <c r="B2183" s="5">
        <v>2178</v>
      </c>
    </row>
    <row r="2184" spans="2:2">
      <c r="B2184" s="5">
        <v>2179</v>
      </c>
    </row>
    <row r="2185" spans="2:2">
      <c r="B2185" s="5">
        <v>2180</v>
      </c>
    </row>
    <row r="2186" spans="2:2">
      <c r="B2186" s="5">
        <v>2181</v>
      </c>
    </row>
    <row r="2187" spans="2:2">
      <c r="B2187" s="5">
        <v>2182</v>
      </c>
    </row>
    <row r="2188" spans="2:2">
      <c r="B2188" s="5">
        <v>2183</v>
      </c>
    </row>
    <row r="2189" spans="2:2">
      <c r="B2189" s="5">
        <v>2184</v>
      </c>
    </row>
    <row r="2190" spans="2:2">
      <c r="B2190" s="5">
        <v>2185</v>
      </c>
    </row>
    <row r="2191" spans="2:2">
      <c r="B2191" s="5">
        <v>2186</v>
      </c>
    </row>
    <row r="2192" spans="2:2">
      <c r="B2192" s="5">
        <v>2187</v>
      </c>
    </row>
    <row r="2193" spans="2:2">
      <c r="B2193" s="5">
        <v>2188</v>
      </c>
    </row>
    <row r="2194" spans="2:2">
      <c r="B2194" s="5">
        <v>2189</v>
      </c>
    </row>
    <row r="2195" spans="2:2">
      <c r="B2195" s="5">
        <v>2190</v>
      </c>
    </row>
    <row r="2196" spans="2:2">
      <c r="B2196" s="5">
        <v>2191</v>
      </c>
    </row>
    <row r="2197" spans="2:2">
      <c r="B2197" s="5">
        <v>2192</v>
      </c>
    </row>
    <row r="2198" spans="2:2">
      <c r="B2198" s="5">
        <v>2193</v>
      </c>
    </row>
    <row r="2199" spans="2:2">
      <c r="B2199" s="5">
        <v>2194</v>
      </c>
    </row>
    <row r="2200" spans="2:2">
      <c r="B2200" s="5">
        <v>2195</v>
      </c>
    </row>
    <row r="2201" spans="2:2">
      <c r="B2201" s="5">
        <v>2196</v>
      </c>
    </row>
    <row r="2202" spans="2:2">
      <c r="B2202" s="5">
        <v>2197</v>
      </c>
    </row>
    <row r="2203" spans="2:2">
      <c r="B2203" s="5">
        <v>2198</v>
      </c>
    </row>
    <row r="2204" spans="2:2">
      <c r="B2204" s="5">
        <v>2199</v>
      </c>
    </row>
    <row r="2205" spans="2:2">
      <c r="B2205" s="5">
        <v>2200</v>
      </c>
    </row>
    <row r="2206" spans="2:2">
      <c r="B2206" s="5">
        <v>2201</v>
      </c>
    </row>
    <row r="2207" spans="2:2">
      <c r="B2207" s="5">
        <v>2202</v>
      </c>
    </row>
    <row r="2208" spans="2:2">
      <c r="B2208" s="5">
        <v>2203</v>
      </c>
    </row>
    <row r="2209" spans="2:2">
      <c r="B2209" s="5">
        <v>2204</v>
      </c>
    </row>
    <row r="2210" spans="2:2">
      <c r="B2210" s="5">
        <v>2205</v>
      </c>
    </row>
    <row r="2211" spans="2:2">
      <c r="B2211" s="5">
        <v>2206</v>
      </c>
    </row>
    <row r="2212" spans="2:2">
      <c r="B2212" s="5">
        <v>2207</v>
      </c>
    </row>
    <row r="2213" spans="2:2">
      <c r="B2213" s="5">
        <v>2208</v>
      </c>
    </row>
    <row r="2214" spans="2:2">
      <c r="B2214" s="5">
        <v>2209</v>
      </c>
    </row>
    <row r="2215" spans="2:2">
      <c r="B2215" s="5">
        <v>2210</v>
      </c>
    </row>
    <row r="2216" spans="2:2">
      <c r="B2216" s="5">
        <v>2211</v>
      </c>
    </row>
    <row r="2217" spans="2:2">
      <c r="B2217" s="5">
        <v>2212</v>
      </c>
    </row>
    <row r="2218" spans="2:2">
      <c r="B2218" s="5">
        <v>2213</v>
      </c>
    </row>
    <row r="2219" spans="2:2">
      <c r="B2219" s="5">
        <v>2214</v>
      </c>
    </row>
    <row r="2220" spans="2:2">
      <c r="B2220" s="5">
        <v>2215</v>
      </c>
    </row>
    <row r="2221" spans="2:2">
      <c r="B2221" s="5">
        <v>2216</v>
      </c>
    </row>
    <row r="2222" spans="2:2">
      <c r="B2222" s="5">
        <v>2217</v>
      </c>
    </row>
    <row r="2223" spans="2:2">
      <c r="B2223" s="5">
        <v>2218</v>
      </c>
    </row>
    <row r="2224" spans="2:2">
      <c r="B2224" s="5">
        <v>2219</v>
      </c>
    </row>
    <row r="2225" spans="2:2">
      <c r="B2225" s="5">
        <v>2220</v>
      </c>
    </row>
    <row r="2226" spans="2:2">
      <c r="B2226" s="5">
        <v>2221</v>
      </c>
    </row>
    <row r="2227" spans="2:2">
      <c r="B2227" s="5">
        <v>2222</v>
      </c>
    </row>
    <row r="2228" spans="2:2">
      <c r="B2228" s="5">
        <v>2223</v>
      </c>
    </row>
    <row r="2229" spans="2:2">
      <c r="B2229" s="5">
        <v>2224</v>
      </c>
    </row>
    <row r="2230" spans="2:2">
      <c r="B2230" s="5">
        <v>2225</v>
      </c>
    </row>
    <row r="2231" spans="2:2">
      <c r="B2231" s="5">
        <v>2226</v>
      </c>
    </row>
    <row r="2232" spans="2:2">
      <c r="B2232" s="5">
        <v>2227</v>
      </c>
    </row>
    <row r="2233" spans="2:2">
      <c r="B2233" s="5">
        <v>2228</v>
      </c>
    </row>
    <row r="2234" spans="2:2">
      <c r="B2234" s="5">
        <v>2229</v>
      </c>
    </row>
    <row r="2235" spans="2:2">
      <c r="B2235" s="5">
        <v>2230</v>
      </c>
    </row>
    <row r="2236" spans="2:2">
      <c r="B2236" s="5">
        <v>2231</v>
      </c>
    </row>
    <row r="2237" spans="2:2">
      <c r="B2237" s="5">
        <v>2232</v>
      </c>
    </row>
    <row r="2238" spans="2:2">
      <c r="B2238" s="5">
        <v>2233</v>
      </c>
    </row>
    <row r="2239" spans="2:2">
      <c r="B2239" s="5">
        <v>2234</v>
      </c>
    </row>
    <row r="2240" spans="2:2">
      <c r="B2240" s="5">
        <v>2235</v>
      </c>
    </row>
    <row r="2241" spans="2:2">
      <c r="B2241" s="5">
        <v>2236</v>
      </c>
    </row>
    <row r="2242" spans="2:2">
      <c r="B2242" s="5">
        <v>2237</v>
      </c>
    </row>
    <row r="2243" spans="2:2">
      <c r="B2243" s="5">
        <v>2238</v>
      </c>
    </row>
    <row r="2244" spans="2:2">
      <c r="B2244" s="5">
        <v>2239</v>
      </c>
    </row>
    <row r="2245" spans="2:2">
      <c r="B2245" s="5">
        <v>2240</v>
      </c>
    </row>
    <row r="2246" spans="2:2">
      <c r="B2246" s="5">
        <v>2241</v>
      </c>
    </row>
    <row r="2247" spans="2:2">
      <c r="B2247" s="5">
        <v>2242</v>
      </c>
    </row>
    <row r="2248" spans="2:2">
      <c r="B2248" s="5">
        <v>2243</v>
      </c>
    </row>
    <row r="2249" spans="2:2">
      <c r="B2249" s="5">
        <v>2244</v>
      </c>
    </row>
    <row r="2250" spans="2:2">
      <c r="B2250" s="5">
        <v>2245</v>
      </c>
    </row>
    <row r="2251" spans="2:2">
      <c r="B2251" s="5">
        <v>2246</v>
      </c>
    </row>
    <row r="2252" spans="2:2">
      <c r="B2252" s="5">
        <v>2247</v>
      </c>
    </row>
    <row r="2253" spans="2:2">
      <c r="B2253" s="5">
        <v>2248</v>
      </c>
    </row>
    <row r="2254" spans="2:2">
      <c r="B2254" s="5">
        <v>2249</v>
      </c>
    </row>
    <row r="2255" spans="2:2">
      <c r="B2255" s="5">
        <v>2250</v>
      </c>
    </row>
    <row r="2256" spans="2:2">
      <c r="B2256" s="5">
        <v>2251</v>
      </c>
    </row>
    <row r="2257" spans="2:2">
      <c r="B2257" s="5">
        <v>2252</v>
      </c>
    </row>
    <row r="2258" spans="2:2">
      <c r="B2258" s="5">
        <v>2253</v>
      </c>
    </row>
    <row r="2259" spans="2:2">
      <c r="B2259" s="5">
        <v>2254</v>
      </c>
    </row>
    <row r="2260" spans="2:2">
      <c r="B2260" s="5">
        <v>2255</v>
      </c>
    </row>
    <row r="2261" spans="2:2">
      <c r="B2261" s="5">
        <v>2256</v>
      </c>
    </row>
    <row r="2262" spans="2:2">
      <c r="B2262" s="5">
        <v>2257</v>
      </c>
    </row>
    <row r="2263" spans="2:2">
      <c r="B2263" s="5">
        <v>2258</v>
      </c>
    </row>
    <row r="2264" spans="2:2">
      <c r="B2264" s="5">
        <v>2259</v>
      </c>
    </row>
    <row r="2265" spans="2:2">
      <c r="B2265" s="5">
        <v>2260</v>
      </c>
    </row>
    <row r="2266" spans="2:2">
      <c r="B2266" s="5">
        <v>2261</v>
      </c>
    </row>
    <row r="2267" spans="2:2">
      <c r="B2267" s="5">
        <v>2262</v>
      </c>
    </row>
    <row r="2268" spans="2:2">
      <c r="B2268" s="5">
        <v>2263</v>
      </c>
    </row>
    <row r="2269" spans="2:2">
      <c r="B2269" s="5">
        <v>2264</v>
      </c>
    </row>
    <row r="2270" spans="2:2">
      <c r="B2270" s="5">
        <v>2265</v>
      </c>
    </row>
    <row r="2271" spans="2:2">
      <c r="B2271" s="5">
        <v>2266</v>
      </c>
    </row>
    <row r="2272" spans="2:2">
      <c r="B2272" s="5">
        <v>2267</v>
      </c>
    </row>
    <row r="2273" spans="2:2">
      <c r="B2273" s="5">
        <v>2268</v>
      </c>
    </row>
    <row r="2274" spans="2:2">
      <c r="B2274" s="5">
        <v>2269</v>
      </c>
    </row>
    <row r="2275" spans="2:2">
      <c r="B2275" s="5">
        <v>2270</v>
      </c>
    </row>
    <row r="2276" spans="2:2">
      <c r="B2276" s="5">
        <v>2271</v>
      </c>
    </row>
    <row r="2277" spans="2:2">
      <c r="B2277" s="5">
        <v>2272</v>
      </c>
    </row>
    <row r="2278" spans="2:2">
      <c r="B2278" s="5">
        <v>2273</v>
      </c>
    </row>
    <row r="2279" spans="2:2">
      <c r="B2279" s="5">
        <v>2274</v>
      </c>
    </row>
    <row r="2280" spans="2:2">
      <c r="B2280" s="5">
        <v>2275</v>
      </c>
    </row>
    <row r="2281" spans="2:2">
      <c r="B2281" s="5">
        <v>2276</v>
      </c>
    </row>
    <row r="2282" spans="2:2">
      <c r="B2282" s="5">
        <v>2277</v>
      </c>
    </row>
    <row r="2283" spans="2:2">
      <c r="B2283" s="5">
        <v>2278</v>
      </c>
    </row>
    <row r="2284" spans="2:2">
      <c r="B2284" s="5">
        <v>2279</v>
      </c>
    </row>
    <row r="2285" spans="2:2">
      <c r="B2285" s="5">
        <v>2280</v>
      </c>
    </row>
    <row r="2286" spans="2:2">
      <c r="B2286" s="5">
        <v>2281</v>
      </c>
    </row>
    <row r="2287" spans="2:2">
      <c r="B2287" s="5">
        <v>2282</v>
      </c>
    </row>
    <row r="2288" spans="2:2">
      <c r="B2288" s="5">
        <v>2283</v>
      </c>
    </row>
    <row r="2289" spans="2:2">
      <c r="B2289" s="5">
        <v>2284</v>
      </c>
    </row>
    <row r="2290" spans="2:2">
      <c r="B2290" s="5">
        <v>2285</v>
      </c>
    </row>
    <row r="2291" spans="2:2">
      <c r="B2291" s="5">
        <v>2286</v>
      </c>
    </row>
    <row r="2292" spans="2:2">
      <c r="B2292" s="5">
        <v>2287</v>
      </c>
    </row>
    <row r="2293" spans="2:2">
      <c r="B2293" s="5">
        <v>2288</v>
      </c>
    </row>
    <row r="2294" spans="2:2">
      <c r="B2294" s="5">
        <v>2289</v>
      </c>
    </row>
    <row r="2295" spans="2:2">
      <c r="B2295" s="5">
        <v>2290</v>
      </c>
    </row>
    <row r="2296" spans="2:2">
      <c r="B2296" s="5">
        <v>2291</v>
      </c>
    </row>
    <row r="2297" spans="2:2">
      <c r="B2297" s="5">
        <v>2292</v>
      </c>
    </row>
    <row r="2298" spans="2:2">
      <c r="B2298" s="5">
        <v>2293</v>
      </c>
    </row>
    <row r="2299" spans="2:2">
      <c r="B2299" s="5">
        <v>2294</v>
      </c>
    </row>
    <row r="2300" spans="2:2">
      <c r="B2300" s="5">
        <v>2295</v>
      </c>
    </row>
    <row r="2301" spans="2:2">
      <c r="B2301" s="5">
        <v>2296</v>
      </c>
    </row>
    <row r="2302" spans="2:2">
      <c r="B2302" s="5">
        <v>2297</v>
      </c>
    </row>
    <row r="2303" spans="2:2">
      <c r="B2303" s="5">
        <v>2298</v>
      </c>
    </row>
    <row r="2304" spans="2:2">
      <c r="B2304" s="5">
        <v>2299</v>
      </c>
    </row>
    <row r="2305" spans="2:2">
      <c r="B2305" s="5">
        <v>2300</v>
      </c>
    </row>
    <row r="2306" spans="2:2">
      <c r="B2306" s="5">
        <v>2301</v>
      </c>
    </row>
    <row r="2307" spans="2:2">
      <c r="B2307" s="5">
        <v>2302</v>
      </c>
    </row>
    <row r="2308" spans="2:2">
      <c r="B2308" s="5">
        <v>2303</v>
      </c>
    </row>
    <row r="2309" spans="2:2">
      <c r="B2309" s="5">
        <v>2304</v>
      </c>
    </row>
    <row r="2310" spans="2:2">
      <c r="B2310" s="5">
        <v>2305</v>
      </c>
    </row>
    <row r="2311" spans="2:2">
      <c r="B2311" s="5">
        <v>2306</v>
      </c>
    </row>
    <row r="2312" spans="2:2">
      <c r="B2312" s="5">
        <v>2307</v>
      </c>
    </row>
    <row r="2313" spans="2:2">
      <c r="B2313" s="5">
        <v>2308</v>
      </c>
    </row>
    <row r="2314" spans="2:2">
      <c r="B2314" s="5">
        <v>2309</v>
      </c>
    </row>
    <row r="2315" spans="2:2">
      <c r="B2315" s="5">
        <v>2310</v>
      </c>
    </row>
    <row r="2316" spans="2:2">
      <c r="B2316" s="5">
        <v>2311</v>
      </c>
    </row>
    <row r="2317" spans="2:2">
      <c r="B2317" s="5">
        <v>2312</v>
      </c>
    </row>
    <row r="2318" spans="2:2">
      <c r="B2318" s="5">
        <v>2313</v>
      </c>
    </row>
    <row r="2319" spans="2:2">
      <c r="B2319" s="5">
        <v>2314</v>
      </c>
    </row>
    <row r="2320" spans="2:2">
      <c r="B2320" s="5">
        <v>2315</v>
      </c>
    </row>
    <row r="2321" spans="2:2">
      <c r="B2321" s="5">
        <v>2316</v>
      </c>
    </row>
    <row r="2322" spans="2:2">
      <c r="B2322" s="5">
        <v>2317</v>
      </c>
    </row>
    <row r="2323" spans="2:2">
      <c r="B2323" s="5">
        <v>2318</v>
      </c>
    </row>
    <row r="2324" spans="2:2">
      <c r="B2324" s="5">
        <v>2319</v>
      </c>
    </row>
    <row r="2325" spans="2:2">
      <c r="B2325" s="5">
        <v>2320</v>
      </c>
    </row>
    <row r="2326" spans="2:2">
      <c r="B2326" s="5">
        <v>2321</v>
      </c>
    </row>
    <row r="2327" spans="2:2">
      <c r="B2327" s="5">
        <v>2322</v>
      </c>
    </row>
    <row r="2328" spans="2:2">
      <c r="B2328" s="5">
        <v>2323</v>
      </c>
    </row>
    <row r="2329" spans="2:2">
      <c r="B2329" s="5">
        <v>2324</v>
      </c>
    </row>
    <row r="2330" spans="2:2">
      <c r="B2330" s="5">
        <v>2325</v>
      </c>
    </row>
    <row r="2331" spans="2:2">
      <c r="B2331" s="5">
        <v>2326</v>
      </c>
    </row>
    <row r="2332" spans="2:2">
      <c r="B2332" s="5">
        <v>2327</v>
      </c>
    </row>
    <row r="2333" spans="2:2">
      <c r="B2333" s="5">
        <v>2328</v>
      </c>
    </row>
    <row r="2334" spans="2:2">
      <c r="B2334" s="5">
        <v>2329</v>
      </c>
    </row>
    <row r="2335" spans="2:2">
      <c r="B2335" s="5">
        <v>2330</v>
      </c>
    </row>
    <row r="2336" spans="2:2">
      <c r="B2336" s="5">
        <v>2331</v>
      </c>
    </row>
    <row r="2337" spans="2:2">
      <c r="B2337" s="5">
        <v>2332</v>
      </c>
    </row>
    <row r="2338" spans="2:2">
      <c r="B2338" s="5">
        <v>2333</v>
      </c>
    </row>
    <row r="2339" spans="2:2">
      <c r="B2339" s="5">
        <v>2334</v>
      </c>
    </row>
    <row r="2340" spans="2:2">
      <c r="B2340" s="5">
        <v>2335</v>
      </c>
    </row>
    <row r="2341" spans="2:2">
      <c r="B2341" s="5">
        <v>2336</v>
      </c>
    </row>
    <row r="2342" spans="2:2">
      <c r="B2342" s="5">
        <v>2337</v>
      </c>
    </row>
    <row r="2343" spans="2:2">
      <c r="B2343" s="5">
        <v>2338</v>
      </c>
    </row>
    <row r="2344" spans="2:2">
      <c r="B2344" s="5">
        <v>2339</v>
      </c>
    </row>
    <row r="2345" spans="2:2">
      <c r="B2345" s="5">
        <v>2340</v>
      </c>
    </row>
    <row r="2346" spans="2:2">
      <c r="B2346" s="5">
        <v>2341</v>
      </c>
    </row>
    <row r="2347" spans="2:2">
      <c r="B2347" s="5">
        <v>2342</v>
      </c>
    </row>
    <row r="2348" spans="2:2">
      <c r="B2348" s="5">
        <v>2343</v>
      </c>
    </row>
    <row r="2349" spans="2:2">
      <c r="B2349" s="5">
        <v>2344</v>
      </c>
    </row>
    <row r="2350" spans="2:2">
      <c r="B2350" s="5">
        <v>2345</v>
      </c>
    </row>
    <row r="2351" spans="2:2">
      <c r="B2351" s="5">
        <v>2346</v>
      </c>
    </row>
    <row r="2352" spans="2:2">
      <c r="B2352" s="5">
        <v>2347</v>
      </c>
    </row>
    <row r="2353" spans="2:2">
      <c r="B2353" s="5">
        <v>2348</v>
      </c>
    </row>
    <row r="2354" spans="2:2">
      <c r="B2354" s="5">
        <v>2349</v>
      </c>
    </row>
    <row r="2355" spans="2:2">
      <c r="B2355" s="5">
        <v>2350</v>
      </c>
    </row>
    <row r="2356" spans="2:2">
      <c r="B2356" s="5">
        <v>2351</v>
      </c>
    </row>
    <row r="2357" spans="2:2">
      <c r="B2357" s="5">
        <v>2352</v>
      </c>
    </row>
    <row r="2358" spans="2:2">
      <c r="B2358" s="5">
        <v>2353</v>
      </c>
    </row>
    <row r="2359" spans="2:2">
      <c r="B2359" s="5">
        <v>2354</v>
      </c>
    </row>
    <row r="2360" spans="2:2">
      <c r="B2360" s="5">
        <v>2355</v>
      </c>
    </row>
    <row r="2361" spans="2:2">
      <c r="B2361" s="5">
        <v>2356</v>
      </c>
    </row>
    <row r="2362" spans="2:2">
      <c r="B2362" s="5">
        <v>2357</v>
      </c>
    </row>
    <row r="2363" spans="2:2">
      <c r="B2363" s="5">
        <v>2358</v>
      </c>
    </row>
    <row r="2364" spans="2:2">
      <c r="B2364" s="5">
        <v>2359</v>
      </c>
    </row>
    <row r="2365" spans="2:2">
      <c r="B2365" s="5">
        <v>2360</v>
      </c>
    </row>
    <row r="2366" spans="2:2">
      <c r="B2366" s="5">
        <v>2361</v>
      </c>
    </row>
    <row r="2367" spans="2:2">
      <c r="B2367" s="5">
        <v>2362</v>
      </c>
    </row>
    <row r="2368" spans="2:2">
      <c r="B2368" s="5">
        <v>2363</v>
      </c>
    </row>
    <row r="2369" spans="2:2">
      <c r="B2369" s="5">
        <v>2364</v>
      </c>
    </row>
    <row r="2370" spans="2:2">
      <c r="B2370" s="5">
        <v>2365</v>
      </c>
    </row>
    <row r="2371" spans="2:2">
      <c r="B2371" s="5">
        <v>2366</v>
      </c>
    </row>
    <row r="2372" spans="2:2">
      <c r="B2372" s="5">
        <v>2367</v>
      </c>
    </row>
    <row r="2373" spans="2:2">
      <c r="B2373" s="5">
        <v>2368</v>
      </c>
    </row>
    <row r="2374" spans="2:2">
      <c r="B2374" s="5">
        <v>2369</v>
      </c>
    </row>
    <row r="2375" spans="2:2">
      <c r="B2375" s="5">
        <v>2370</v>
      </c>
    </row>
    <row r="2376" spans="2:2">
      <c r="B2376" s="5">
        <v>2371</v>
      </c>
    </row>
    <row r="2377" spans="2:2">
      <c r="B2377" s="5">
        <v>2372</v>
      </c>
    </row>
    <row r="2378" spans="2:2">
      <c r="B2378" s="5">
        <v>2373</v>
      </c>
    </row>
    <row r="2379" spans="2:2">
      <c r="B2379" s="5">
        <v>2374</v>
      </c>
    </row>
    <row r="2380" spans="2:2">
      <c r="B2380" s="5">
        <v>2375</v>
      </c>
    </row>
    <row r="2381" spans="2:2">
      <c r="B2381" s="5">
        <v>2376</v>
      </c>
    </row>
    <row r="2382" spans="2:2">
      <c r="B2382" s="5">
        <v>2377</v>
      </c>
    </row>
    <row r="2383" spans="2:2">
      <c r="B2383" s="5">
        <v>2378</v>
      </c>
    </row>
    <row r="2384" spans="2:2">
      <c r="B2384" s="5">
        <v>2379</v>
      </c>
    </row>
    <row r="2385" spans="2:2">
      <c r="B2385" s="5">
        <v>2380</v>
      </c>
    </row>
    <row r="2386" spans="2:2">
      <c r="B2386" s="5">
        <v>2381</v>
      </c>
    </row>
    <row r="2387" spans="2:2">
      <c r="B2387" s="5">
        <v>2382</v>
      </c>
    </row>
    <row r="2388" spans="2:2">
      <c r="B2388" s="5">
        <v>2383</v>
      </c>
    </row>
    <row r="2389" spans="2:2">
      <c r="B2389" s="5">
        <v>2384</v>
      </c>
    </row>
    <row r="2390" spans="2:2">
      <c r="B2390" s="5">
        <v>2385</v>
      </c>
    </row>
    <row r="2391" spans="2:2">
      <c r="B2391" s="5">
        <v>2386</v>
      </c>
    </row>
    <row r="2392" spans="2:2">
      <c r="B2392" s="5">
        <v>2387</v>
      </c>
    </row>
    <row r="2393" spans="2:2">
      <c r="B2393" s="5">
        <v>2388</v>
      </c>
    </row>
    <row r="2394" spans="2:2">
      <c r="B2394" s="5">
        <v>2389</v>
      </c>
    </row>
    <row r="2395" spans="2:2">
      <c r="B2395" s="5">
        <v>2390</v>
      </c>
    </row>
    <row r="2396" spans="2:2">
      <c r="B2396" s="5">
        <v>2391</v>
      </c>
    </row>
    <row r="2397" spans="2:2">
      <c r="B2397" s="5">
        <v>2392</v>
      </c>
    </row>
    <row r="2398" spans="2:2">
      <c r="B2398" s="5">
        <v>2393</v>
      </c>
    </row>
    <row r="2399" spans="2:2">
      <c r="B2399" s="5">
        <v>2394</v>
      </c>
    </row>
    <row r="2400" spans="2:2">
      <c r="B2400" s="5">
        <v>2395</v>
      </c>
    </row>
    <row r="2401" spans="2:2">
      <c r="B2401" s="5">
        <v>2396</v>
      </c>
    </row>
    <row r="2402" spans="2:2">
      <c r="B2402" s="5">
        <v>2397</v>
      </c>
    </row>
    <row r="2403" spans="2:2">
      <c r="B2403" s="5">
        <v>2398</v>
      </c>
    </row>
    <row r="2404" spans="2:2">
      <c r="B2404" s="5">
        <v>2399</v>
      </c>
    </row>
    <row r="2405" spans="2:2">
      <c r="B2405" s="5">
        <v>2400</v>
      </c>
    </row>
    <row r="2406" spans="2:2">
      <c r="B2406" s="5">
        <v>2401</v>
      </c>
    </row>
    <row r="2407" spans="2:2">
      <c r="B2407" s="5">
        <v>2402</v>
      </c>
    </row>
    <row r="2408" spans="2:2">
      <c r="B2408" s="5">
        <v>2403</v>
      </c>
    </row>
    <row r="2409" spans="2:2">
      <c r="B2409" s="5">
        <v>2404</v>
      </c>
    </row>
    <row r="2410" spans="2:2">
      <c r="B2410" s="5">
        <v>2405</v>
      </c>
    </row>
    <row r="2411" spans="2:2">
      <c r="B2411" s="5">
        <v>2406</v>
      </c>
    </row>
    <row r="2412" spans="2:2">
      <c r="B2412" s="5">
        <v>2407</v>
      </c>
    </row>
    <row r="2413" spans="2:2">
      <c r="B2413" s="5">
        <v>2408</v>
      </c>
    </row>
    <row r="2414" spans="2:2">
      <c r="B2414" s="5">
        <v>2409</v>
      </c>
    </row>
    <row r="2415" spans="2:2">
      <c r="B2415" s="5">
        <v>2410</v>
      </c>
    </row>
    <row r="2416" spans="2:2">
      <c r="B2416" s="5">
        <v>2411</v>
      </c>
    </row>
    <row r="2417" spans="2:2">
      <c r="B2417" s="5">
        <v>2412</v>
      </c>
    </row>
    <row r="2418" spans="2:2">
      <c r="B2418" s="5">
        <v>2413</v>
      </c>
    </row>
    <row r="2419" spans="2:2">
      <c r="B2419" s="5">
        <v>2414</v>
      </c>
    </row>
    <row r="2420" spans="2:2">
      <c r="B2420" s="5">
        <v>2415</v>
      </c>
    </row>
    <row r="2421" spans="2:2">
      <c r="B2421" s="5">
        <v>2416</v>
      </c>
    </row>
    <row r="2422" spans="2:2">
      <c r="B2422" s="5">
        <v>2417</v>
      </c>
    </row>
    <row r="2423" spans="2:2">
      <c r="B2423" s="5">
        <v>2418</v>
      </c>
    </row>
    <row r="2424" spans="2:2">
      <c r="B2424" s="5">
        <v>2419</v>
      </c>
    </row>
    <row r="2425" spans="2:2">
      <c r="B2425" s="5">
        <v>2420</v>
      </c>
    </row>
    <row r="2426" spans="2:2">
      <c r="B2426" s="5">
        <v>2421</v>
      </c>
    </row>
    <row r="2427" spans="2:2">
      <c r="B2427" s="5">
        <v>2422</v>
      </c>
    </row>
    <row r="2428" spans="2:2">
      <c r="B2428" s="5">
        <v>2423</v>
      </c>
    </row>
    <row r="2429" spans="2:2">
      <c r="B2429" s="5">
        <v>2424</v>
      </c>
    </row>
    <row r="2430" spans="2:2">
      <c r="B2430" s="5">
        <v>2425</v>
      </c>
    </row>
    <row r="2431" spans="2:2">
      <c r="B2431" s="5">
        <v>2426</v>
      </c>
    </row>
    <row r="2432" spans="2:2">
      <c r="B2432" s="5">
        <v>2427</v>
      </c>
    </row>
    <row r="2433" spans="2:2">
      <c r="B2433" s="5">
        <v>2428</v>
      </c>
    </row>
    <row r="2434" spans="2:2">
      <c r="B2434" s="5">
        <v>2429</v>
      </c>
    </row>
    <row r="2435" spans="2:2">
      <c r="B2435" s="5">
        <v>2430</v>
      </c>
    </row>
    <row r="2436" spans="2:2">
      <c r="B2436" s="5">
        <v>2431</v>
      </c>
    </row>
    <row r="2437" spans="2:2">
      <c r="B2437" s="5">
        <v>2432</v>
      </c>
    </row>
    <row r="2438" spans="2:2">
      <c r="B2438" s="5">
        <v>2433</v>
      </c>
    </row>
    <row r="2439" spans="2:2">
      <c r="B2439" s="5">
        <v>2434</v>
      </c>
    </row>
    <row r="2440" spans="2:2">
      <c r="B2440" s="5">
        <v>2435</v>
      </c>
    </row>
    <row r="2441" spans="2:2">
      <c r="B2441" s="5">
        <v>2436</v>
      </c>
    </row>
    <row r="2442" spans="2:2">
      <c r="B2442" s="5">
        <v>2437</v>
      </c>
    </row>
    <row r="2443" spans="2:2">
      <c r="B2443" s="5">
        <v>2438</v>
      </c>
    </row>
    <row r="2444" spans="2:2">
      <c r="B2444" s="5">
        <v>2439</v>
      </c>
    </row>
    <row r="2445" spans="2:2">
      <c r="B2445" s="5">
        <v>2440</v>
      </c>
    </row>
    <row r="2446" spans="2:2">
      <c r="B2446" s="5">
        <v>2441</v>
      </c>
    </row>
    <row r="2447" spans="2:2">
      <c r="B2447" s="5">
        <v>2442</v>
      </c>
    </row>
    <row r="2448" spans="2:2">
      <c r="B2448" s="5">
        <v>2443</v>
      </c>
    </row>
    <row r="2449" spans="2:2">
      <c r="B2449" s="5">
        <v>2444</v>
      </c>
    </row>
    <row r="2450" spans="2:2">
      <c r="B2450" s="5">
        <v>2445</v>
      </c>
    </row>
    <row r="2451" spans="2:2">
      <c r="B2451" s="5">
        <v>2446</v>
      </c>
    </row>
    <row r="2452" spans="2:2">
      <c r="B2452" s="5">
        <v>2447</v>
      </c>
    </row>
    <row r="2453" spans="2:2">
      <c r="B2453" s="5">
        <v>2448</v>
      </c>
    </row>
    <row r="2454" spans="2:2">
      <c r="B2454" s="5">
        <v>2449</v>
      </c>
    </row>
    <row r="2455" spans="2:2">
      <c r="B2455" s="5">
        <v>2450</v>
      </c>
    </row>
    <row r="2456" spans="2:2">
      <c r="B2456" s="5">
        <v>2451</v>
      </c>
    </row>
    <row r="2457" spans="2:2">
      <c r="B2457" s="5">
        <v>2452</v>
      </c>
    </row>
    <row r="2458" spans="2:2">
      <c r="B2458" s="5">
        <v>2453</v>
      </c>
    </row>
    <row r="2459" spans="2:2">
      <c r="B2459" s="5">
        <v>2454</v>
      </c>
    </row>
    <row r="2460" spans="2:2">
      <c r="B2460" s="5">
        <v>2455</v>
      </c>
    </row>
    <row r="2461" spans="2:2">
      <c r="B2461" s="5">
        <v>2456</v>
      </c>
    </row>
    <row r="2462" spans="2:2">
      <c r="B2462" s="5">
        <v>2457</v>
      </c>
    </row>
    <row r="2463" spans="2:2">
      <c r="B2463" s="5">
        <v>2458</v>
      </c>
    </row>
    <row r="2464" spans="2:2">
      <c r="B2464" s="5">
        <v>2459</v>
      </c>
    </row>
    <row r="2465" spans="2:2">
      <c r="B2465" s="5">
        <v>2460</v>
      </c>
    </row>
    <row r="2466" spans="2:2">
      <c r="B2466" s="5">
        <v>2461</v>
      </c>
    </row>
    <row r="2467" spans="2:2">
      <c r="B2467" s="5">
        <v>2462</v>
      </c>
    </row>
    <row r="2468" spans="2:2">
      <c r="B2468" s="5">
        <v>2463</v>
      </c>
    </row>
    <row r="2469" spans="2:2">
      <c r="B2469" s="5">
        <v>2464</v>
      </c>
    </row>
    <row r="2470" spans="2:2">
      <c r="B2470" s="5">
        <v>2465</v>
      </c>
    </row>
    <row r="2471" spans="2:2">
      <c r="B2471" s="5">
        <v>2466</v>
      </c>
    </row>
    <row r="2472" spans="2:2">
      <c r="B2472" s="5">
        <v>2467</v>
      </c>
    </row>
    <row r="2473" spans="2:2">
      <c r="B2473" s="5">
        <v>2468</v>
      </c>
    </row>
    <row r="2474" spans="2:2">
      <c r="B2474" s="5">
        <v>2469</v>
      </c>
    </row>
    <row r="2475" spans="2:2">
      <c r="B2475" s="5">
        <v>2470</v>
      </c>
    </row>
    <row r="2476" spans="2:2">
      <c r="B2476" s="5">
        <v>2471</v>
      </c>
    </row>
    <row r="2477" spans="2:2">
      <c r="B2477" s="5">
        <v>2472</v>
      </c>
    </row>
    <row r="2478" spans="2:2">
      <c r="B2478" s="5">
        <v>2473</v>
      </c>
    </row>
    <row r="2479" spans="2:2">
      <c r="B2479" s="5">
        <v>2474</v>
      </c>
    </row>
    <row r="2480" spans="2:2">
      <c r="B2480" s="5">
        <v>2475</v>
      </c>
    </row>
    <row r="2481" spans="2:2">
      <c r="B2481" s="5">
        <v>2476</v>
      </c>
    </row>
    <row r="2482" spans="2:2">
      <c r="B2482" s="5">
        <v>2477</v>
      </c>
    </row>
    <row r="2483" spans="2:2">
      <c r="B2483" s="5">
        <v>2478</v>
      </c>
    </row>
    <row r="2484" spans="2:2">
      <c r="B2484" s="5">
        <v>2479</v>
      </c>
    </row>
    <row r="2485" spans="2:2">
      <c r="B2485" s="5">
        <v>2480</v>
      </c>
    </row>
    <row r="2486" spans="2:2">
      <c r="B2486" s="5">
        <v>2481</v>
      </c>
    </row>
    <row r="2487" spans="2:2">
      <c r="B2487" s="5">
        <v>2482</v>
      </c>
    </row>
    <row r="2488" spans="2:2">
      <c r="B2488" s="5">
        <v>2483</v>
      </c>
    </row>
    <row r="2489" spans="2:2">
      <c r="B2489" s="5">
        <v>2484</v>
      </c>
    </row>
    <row r="2490" spans="2:2">
      <c r="B2490" s="5">
        <v>2485</v>
      </c>
    </row>
    <row r="2491" spans="2:2">
      <c r="B2491" s="5">
        <v>2486</v>
      </c>
    </row>
    <row r="2492" spans="2:2">
      <c r="B2492" s="5">
        <v>2487</v>
      </c>
    </row>
    <row r="2493" spans="2:2">
      <c r="B2493" s="5">
        <v>2488</v>
      </c>
    </row>
    <row r="2494" spans="2:2">
      <c r="B2494" s="5">
        <v>2489</v>
      </c>
    </row>
    <row r="2495" spans="2:2">
      <c r="B2495" s="5">
        <v>2490</v>
      </c>
    </row>
    <row r="2496" spans="2:2">
      <c r="B2496" s="5">
        <v>2491</v>
      </c>
    </row>
    <row r="2497" spans="2:21">
      <c r="B2497" s="5">
        <v>2492</v>
      </c>
    </row>
    <row r="2498" spans="2:21">
      <c r="B2498" s="5">
        <v>2493</v>
      </c>
    </row>
    <row r="2499" spans="2:21">
      <c r="B2499" s="5">
        <v>2494</v>
      </c>
    </row>
    <row r="2500" spans="2:21">
      <c r="B2500" s="5">
        <v>2495</v>
      </c>
    </row>
    <row r="2501" spans="2:21">
      <c r="B2501" s="5" t="s">
        <v>333</v>
      </c>
      <c r="U2501" s="5" t="s">
        <v>362</v>
      </c>
    </row>
  </sheetData>
  <hyperlinks>
    <hyperlink ref="D3" location="Boss!A1" display="◀ Back to Boss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451</v>
      </c>
      <c r="B1" s="2"/>
      <c r="C1" s="2"/>
      <c r="D1" s="2"/>
    </row>
    <row r="2" spans="1:4">
      <c r="A2" s="3" t="s">
        <v>452</v>
      </c>
    </row>
    <row r="4" spans="1:4">
      <c r="A4" s="6" t="s">
        <v>424</v>
      </c>
      <c r="B4" s="6" t="s">
        <v>21</v>
      </c>
      <c r="C4" s="6" t="s">
        <v>453</v>
      </c>
      <c r="D4" s="6" t="s">
        <v>454</v>
      </c>
    </row>
    <row r="5" spans="1:4" ht="35.5" customHeight="1">
      <c r="A5" s="18" t="s">
        <v>430</v>
      </c>
      <c r="B5" s="19" t="s">
        <v>24</v>
      </c>
      <c r="C5" s="8" t="s">
        <v>455</v>
      </c>
      <c r="D5" s="8" t="s">
        <v>456</v>
      </c>
    </row>
    <row r="6" spans="1:4" ht="35.5" customHeight="1">
      <c r="A6" s="18" t="s">
        <v>430</v>
      </c>
      <c r="B6" s="19" t="s">
        <v>27</v>
      </c>
      <c r="C6" s="8" t="s">
        <v>457</v>
      </c>
      <c r="D6" s="8" t="s">
        <v>458</v>
      </c>
    </row>
    <row r="7" spans="1:4" ht="35.5" customHeight="1">
      <c r="A7" s="18" t="s">
        <v>430</v>
      </c>
      <c r="B7" s="19" t="s">
        <v>30</v>
      </c>
      <c r="C7" s="8" t="s">
        <v>459</v>
      </c>
      <c r="D7" s="8" t="s">
        <v>460</v>
      </c>
    </row>
    <row r="8" spans="1:4" ht="35.5" customHeight="1">
      <c r="A8" s="18" t="s">
        <v>430</v>
      </c>
      <c r="B8" s="19" t="s">
        <v>33</v>
      </c>
      <c r="C8" s="8" t="s">
        <v>461</v>
      </c>
      <c r="D8" s="8" t="s">
        <v>462</v>
      </c>
    </row>
    <row r="9" spans="1:4" ht="35.5" customHeight="1">
      <c r="A9" s="18" t="s">
        <v>433</v>
      </c>
      <c r="B9" s="19" t="s">
        <v>52</v>
      </c>
      <c r="C9" s="8" t="s">
        <v>463</v>
      </c>
      <c r="D9" s="8" t="s">
        <v>464</v>
      </c>
    </row>
    <row r="10" spans="1:4" ht="35.5" customHeight="1">
      <c r="A10" s="18" t="s">
        <v>433</v>
      </c>
      <c r="B10" s="19" t="s">
        <v>114</v>
      </c>
      <c r="C10" s="8" t="s">
        <v>465</v>
      </c>
      <c r="D10" s="8" t="s">
        <v>466</v>
      </c>
    </row>
    <row r="11" spans="1:4" ht="19.75" customHeight="1">
      <c r="A11" s="18" t="s">
        <v>433</v>
      </c>
      <c r="B11" s="19" t="s">
        <v>46</v>
      </c>
      <c r="C11" s="8" t="s">
        <v>467</v>
      </c>
      <c r="D11" s="8" t="s">
        <v>468</v>
      </c>
    </row>
    <row r="12" spans="1:4" ht="35.5" customHeight="1">
      <c r="A12" s="18" t="s">
        <v>433</v>
      </c>
      <c r="B12" s="19" t="s">
        <v>45</v>
      </c>
      <c r="C12" s="8" t="s">
        <v>469</v>
      </c>
      <c r="D12" s="8" t="s">
        <v>470</v>
      </c>
    </row>
    <row r="13" spans="1:4" ht="19.75" customHeight="1">
      <c r="A13" s="18" t="s">
        <v>433</v>
      </c>
      <c r="B13" s="19" t="s">
        <v>119</v>
      </c>
      <c r="C13" s="8" t="s">
        <v>471</v>
      </c>
      <c r="D13" s="8" t="s">
        <v>472</v>
      </c>
    </row>
    <row r="14" spans="1:4" ht="35.5" customHeight="1">
      <c r="A14" s="18" t="s">
        <v>436</v>
      </c>
      <c r="B14" s="19" t="s">
        <v>63</v>
      </c>
      <c r="C14" s="8" t="s">
        <v>473</v>
      </c>
      <c r="D14" s="8" t="s">
        <v>474</v>
      </c>
    </row>
    <row r="15" spans="1:4" ht="35.5" customHeight="1">
      <c r="A15" s="18" t="s">
        <v>436</v>
      </c>
      <c r="B15" s="19" t="s">
        <v>58</v>
      </c>
      <c r="C15" s="8" t="s">
        <v>475</v>
      </c>
      <c r="D15" s="8" t="s">
        <v>476</v>
      </c>
    </row>
    <row r="16" spans="1:4" ht="35.5" customHeight="1">
      <c r="A16" s="18" t="s">
        <v>436</v>
      </c>
      <c r="B16" s="19" t="s">
        <v>199</v>
      </c>
      <c r="C16" s="8" t="s">
        <v>477</v>
      </c>
      <c r="D16" s="8" t="s">
        <v>478</v>
      </c>
    </row>
    <row r="17" spans="1:4" ht="35.5" customHeight="1">
      <c r="A17" s="18" t="s">
        <v>436</v>
      </c>
      <c r="B17" s="19" t="s">
        <v>57</v>
      </c>
      <c r="C17" s="8" t="s">
        <v>479</v>
      </c>
      <c r="D17" s="8" t="s">
        <v>480</v>
      </c>
    </row>
    <row r="18" spans="1:4" ht="35.5" customHeight="1">
      <c r="A18" s="18" t="s">
        <v>439</v>
      </c>
      <c r="B18" s="19" t="s">
        <v>44</v>
      </c>
      <c r="C18" s="8" t="s">
        <v>481</v>
      </c>
      <c r="D18" s="8" t="s">
        <v>482</v>
      </c>
    </row>
    <row r="19" spans="1:4" ht="35.5" customHeight="1">
      <c r="A19" s="18" t="s">
        <v>439</v>
      </c>
      <c r="B19" s="19" t="s">
        <v>51</v>
      </c>
      <c r="C19" s="8" t="s">
        <v>483</v>
      </c>
      <c r="D19" s="8" t="s">
        <v>484</v>
      </c>
    </row>
    <row r="20" spans="1:4" ht="35.5" customHeight="1">
      <c r="A20" s="18" t="s">
        <v>439</v>
      </c>
      <c r="B20" s="19" t="s">
        <v>217</v>
      </c>
      <c r="C20" s="8" t="s">
        <v>485</v>
      </c>
      <c r="D20" s="8" t="s">
        <v>486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79"/>
  <sheetViews>
    <sheetView workbookViewId="0"/>
  </sheetViews>
  <sheetFormatPr defaultRowHeight="15"/>
  <sheetData>
    <row r="1" spans="1:9">
      <c r="A1" t="s">
        <v>0</v>
      </c>
      <c r="B1" t="s">
        <v>1</v>
      </c>
      <c r="C1" t="s">
        <v>2</v>
      </c>
      <c r="E1" t="s">
        <v>3</v>
      </c>
    </row>
    <row r="2" spans="1:9">
      <c r="A2" t="s">
        <v>42</v>
      </c>
      <c r="B2" t="s">
        <v>43</v>
      </c>
      <c r="C2" t="s">
        <v>24</v>
      </c>
      <c r="E2" t="s">
        <v>44</v>
      </c>
      <c r="F2" t="s">
        <v>45</v>
      </c>
      <c r="G2" t="s">
        <v>46</v>
      </c>
      <c r="H2" t="s">
        <v>24</v>
      </c>
    </row>
    <row r="3" spans="1:9">
      <c r="A3" t="s">
        <v>49</v>
      </c>
      <c r="B3" t="s">
        <v>50</v>
      </c>
      <c r="C3" t="s">
        <v>27</v>
      </c>
      <c r="E3" t="s">
        <v>51</v>
      </c>
      <c r="F3" t="s">
        <v>46</v>
      </c>
      <c r="G3" t="s">
        <v>27</v>
      </c>
      <c r="H3" t="s">
        <v>52</v>
      </c>
    </row>
    <row r="4" spans="1:9">
      <c r="A4" t="s">
        <v>55</v>
      </c>
      <c r="B4" t="s">
        <v>56</v>
      </c>
      <c r="C4" t="s">
        <v>30</v>
      </c>
      <c r="E4" t="s">
        <v>30</v>
      </c>
      <c r="F4" t="s">
        <v>57</v>
      </c>
      <c r="G4" t="s">
        <v>52</v>
      </c>
      <c r="H4" t="s">
        <v>58</v>
      </c>
    </row>
    <row r="5" spans="1:9">
      <c r="A5" t="s">
        <v>61</v>
      </c>
      <c r="B5" t="s">
        <v>62</v>
      </c>
      <c r="C5" t="s">
        <v>33</v>
      </c>
      <c r="E5" t="s">
        <v>63</v>
      </c>
      <c r="F5" t="s">
        <v>44</v>
      </c>
      <c r="G5" t="s">
        <v>24</v>
      </c>
      <c r="H5" t="s">
        <v>33</v>
      </c>
    </row>
    <row r="6" spans="1:9">
      <c r="A6" t="s">
        <v>68</v>
      </c>
      <c r="B6" t="s">
        <v>43</v>
      </c>
      <c r="E6" t="s">
        <v>69</v>
      </c>
      <c r="F6" t="s">
        <v>70</v>
      </c>
      <c r="G6" t="s">
        <v>71</v>
      </c>
      <c r="H6" t="s">
        <v>72</v>
      </c>
      <c r="I6" t="s">
        <v>73</v>
      </c>
    </row>
    <row r="7" spans="1:9">
      <c r="A7" t="s">
        <v>75</v>
      </c>
      <c r="B7" t="s">
        <v>50</v>
      </c>
      <c r="E7" t="s">
        <v>76</v>
      </c>
    </row>
    <row r="8" spans="1:9">
      <c r="A8" t="s">
        <v>78</v>
      </c>
      <c r="B8" t="s">
        <v>56</v>
      </c>
      <c r="E8" t="s">
        <v>79</v>
      </c>
    </row>
    <row r="9" spans="1:9">
      <c r="A9" t="s">
        <v>81</v>
      </c>
      <c r="B9" t="s">
        <v>62</v>
      </c>
      <c r="E9" t="s">
        <v>82</v>
      </c>
    </row>
    <row r="10" spans="1:9">
      <c r="A10" t="s">
        <v>84</v>
      </c>
      <c r="B10" t="s">
        <v>85</v>
      </c>
      <c r="C10" t="s">
        <v>10</v>
      </c>
    </row>
    <row r="11" spans="1:9">
      <c r="A11" t="s">
        <v>88</v>
      </c>
      <c r="B11" t="s">
        <v>89</v>
      </c>
      <c r="C11" t="s">
        <v>12</v>
      </c>
    </row>
    <row r="12" spans="1:9">
      <c r="A12" t="s">
        <v>92</v>
      </c>
      <c r="B12" t="s">
        <v>93</v>
      </c>
      <c r="C12" t="s">
        <v>14</v>
      </c>
    </row>
    <row r="13" spans="1:9">
      <c r="A13" t="s">
        <v>96</v>
      </c>
      <c r="B13" t="s">
        <v>97</v>
      </c>
      <c r="C13" t="s">
        <v>17</v>
      </c>
    </row>
    <row r="14" spans="1:9">
      <c r="A14" t="s">
        <v>100</v>
      </c>
      <c r="B14" t="s">
        <v>101</v>
      </c>
      <c r="C14" t="s">
        <v>16</v>
      </c>
    </row>
    <row r="15" spans="1:9">
      <c r="A15" t="s">
        <v>120</v>
      </c>
      <c r="B15" t="s">
        <v>43</v>
      </c>
      <c r="E15" t="s">
        <v>69</v>
      </c>
      <c r="F15" t="s">
        <v>70</v>
      </c>
      <c r="G15" t="s">
        <v>71</v>
      </c>
      <c r="H15" t="s">
        <v>72</v>
      </c>
      <c r="I15" t="s">
        <v>73</v>
      </c>
    </row>
    <row r="16" spans="1:9">
      <c r="A16" t="s">
        <v>123</v>
      </c>
      <c r="B16" t="s">
        <v>50</v>
      </c>
      <c r="E16" t="s">
        <v>76</v>
      </c>
    </row>
    <row r="17" spans="1:8">
      <c r="A17" t="s">
        <v>126</v>
      </c>
      <c r="B17" t="s">
        <v>56</v>
      </c>
      <c r="E17" t="s">
        <v>79</v>
      </c>
    </row>
    <row r="18" spans="1:8">
      <c r="A18" t="s">
        <v>129</v>
      </c>
      <c r="B18" t="s">
        <v>62</v>
      </c>
      <c r="E18" t="s">
        <v>82</v>
      </c>
    </row>
    <row r="19" spans="1:8">
      <c r="A19" t="s">
        <v>132</v>
      </c>
      <c r="B19" t="s">
        <v>133</v>
      </c>
      <c r="C19" t="s">
        <v>52</v>
      </c>
      <c r="E19" t="s">
        <v>46</v>
      </c>
      <c r="F19" t="s">
        <v>63</v>
      </c>
      <c r="G19" t="s">
        <v>45</v>
      </c>
      <c r="H19" t="s">
        <v>52</v>
      </c>
    </row>
    <row r="20" spans="1:8">
      <c r="A20" t="s">
        <v>135</v>
      </c>
      <c r="B20" t="s">
        <v>136</v>
      </c>
      <c r="C20" t="s">
        <v>114</v>
      </c>
      <c r="E20" t="s">
        <v>58</v>
      </c>
      <c r="F20" t="s">
        <v>45</v>
      </c>
      <c r="G20" t="s">
        <v>114</v>
      </c>
      <c r="H20" t="s">
        <v>24</v>
      </c>
    </row>
    <row r="21" spans="1:8">
      <c r="A21" t="s">
        <v>138</v>
      </c>
      <c r="B21" t="s">
        <v>139</v>
      </c>
      <c r="C21" t="s">
        <v>46</v>
      </c>
      <c r="E21" t="s">
        <v>119</v>
      </c>
      <c r="F21" t="s">
        <v>46</v>
      </c>
      <c r="G21" t="s">
        <v>24</v>
      </c>
      <c r="H21" t="s">
        <v>33</v>
      </c>
    </row>
    <row r="22" spans="1:8">
      <c r="A22" t="s">
        <v>141</v>
      </c>
      <c r="B22" t="s">
        <v>142</v>
      </c>
      <c r="C22" t="s">
        <v>45</v>
      </c>
      <c r="E22" t="s">
        <v>46</v>
      </c>
      <c r="F22" t="s">
        <v>114</v>
      </c>
      <c r="G22" t="s">
        <v>45</v>
      </c>
      <c r="H22" t="s">
        <v>44</v>
      </c>
    </row>
    <row r="23" spans="1:8">
      <c r="A23" t="s">
        <v>144</v>
      </c>
      <c r="B23" t="s">
        <v>145</v>
      </c>
      <c r="C23" t="s">
        <v>119</v>
      </c>
      <c r="E23" t="s">
        <v>51</v>
      </c>
      <c r="F23" t="s">
        <v>45</v>
      </c>
      <c r="G23" t="s">
        <v>119</v>
      </c>
      <c r="H23" t="s">
        <v>114</v>
      </c>
    </row>
    <row r="24" spans="1:8">
      <c r="A24" t="s">
        <v>149</v>
      </c>
      <c r="B24" t="s">
        <v>133</v>
      </c>
      <c r="E24" t="s">
        <v>150</v>
      </c>
      <c r="F24" t="s">
        <v>151</v>
      </c>
    </row>
    <row r="25" spans="1:8">
      <c r="A25" t="s">
        <v>152</v>
      </c>
      <c r="B25" t="s">
        <v>136</v>
      </c>
      <c r="E25" t="s">
        <v>153</v>
      </c>
    </row>
    <row r="26" spans="1:8">
      <c r="A26" t="s">
        <v>154</v>
      </c>
      <c r="B26" t="s">
        <v>139</v>
      </c>
      <c r="E26" t="s">
        <v>155</v>
      </c>
    </row>
    <row r="27" spans="1:8">
      <c r="A27" t="s">
        <v>156</v>
      </c>
      <c r="B27" t="s">
        <v>142</v>
      </c>
      <c r="E27" t="s">
        <v>157</v>
      </c>
    </row>
    <row r="28" spans="1:8">
      <c r="A28" t="s">
        <v>158</v>
      </c>
      <c r="B28" t="s">
        <v>145</v>
      </c>
      <c r="E28" t="s">
        <v>159</v>
      </c>
    </row>
    <row r="29" spans="1:8">
      <c r="A29" t="s">
        <v>160</v>
      </c>
      <c r="B29" t="s">
        <v>161</v>
      </c>
      <c r="C29" t="s">
        <v>110</v>
      </c>
    </row>
    <row r="30" spans="1:8">
      <c r="A30" t="s">
        <v>163</v>
      </c>
      <c r="B30" t="s">
        <v>164</v>
      </c>
      <c r="C30" t="s">
        <v>111</v>
      </c>
    </row>
    <row r="31" spans="1:8">
      <c r="A31" t="s">
        <v>166</v>
      </c>
      <c r="B31" t="s">
        <v>167</v>
      </c>
      <c r="C31" t="s">
        <v>107</v>
      </c>
    </row>
    <row r="32" spans="1:8">
      <c r="A32" t="s">
        <v>169</v>
      </c>
      <c r="B32" t="s">
        <v>170</v>
      </c>
      <c r="C32" t="s">
        <v>7</v>
      </c>
    </row>
    <row r="33" spans="1:14">
      <c r="A33" t="s">
        <v>201</v>
      </c>
      <c r="B33" t="s">
        <v>133</v>
      </c>
      <c r="E33" t="s">
        <v>150</v>
      </c>
      <c r="F33" t="s">
        <v>151</v>
      </c>
    </row>
    <row r="34" spans="1:14">
      <c r="A34" t="s">
        <v>203</v>
      </c>
      <c r="B34" t="s">
        <v>136</v>
      </c>
      <c r="E34" t="s">
        <v>153</v>
      </c>
    </row>
    <row r="35" spans="1:14">
      <c r="A35" t="s">
        <v>205</v>
      </c>
      <c r="B35" t="s">
        <v>139</v>
      </c>
      <c r="E35" t="s">
        <v>155</v>
      </c>
    </row>
    <row r="36" spans="1:14">
      <c r="A36" t="s">
        <v>207</v>
      </c>
      <c r="B36" t="s">
        <v>142</v>
      </c>
      <c r="E36" t="s">
        <v>157</v>
      </c>
    </row>
    <row r="37" spans="1:14">
      <c r="A37" t="s">
        <v>209</v>
      </c>
      <c r="B37" t="s">
        <v>145</v>
      </c>
      <c r="E37" t="s">
        <v>159</v>
      </c>
    </row>
    <row r="38" spans="1:14">
      <c r="A38" t="s">
        <v>212</v>
      </c>
      <c r="B38" t="s">
        <v>213</v>
      </c>
      <c r="C38" t="s">
        <v>63</v>
      </c>
      <c r="E38" t="s">
        <v>33</v>
      </c>
      <c r="F38" t="s">
        <v>63</v>
      </c>
      <c r="G38" t="s">
        <v>119</v>
      </c>
      <c r="H38" t="s">
        <v>30</v>
      </c>
    </row>
    <row r="39" spans="1:14">
      <c r="A39" t="s">
        <v>215</v>
      </c>
      <c r="B39" t="s">
        <v>216</v>
      </c>
      <c r="C39" t="s">
        <v>58</v>
      </c>
      <c r="E39" t="s">
        <v>58</v>
      </c>
      <c r="F39" t="s">
        <v>217</v>
      </c>
      <c r="G39" t="s">
        <v>63</v>
      </c>
      <c r="H39" t="s">
        <v>24</v>
      </c>
    </row>
    <row r="40" spans="1:14">
      <c r="A40" t="s">
        <v>219</v>
      </c>
      <c r="B40" t="s">
        <v>220</v>
      </c>
      <c r="C40" t="s">
        <v>199</v>
      </c>
      <c r="E40" t="s">
        <v>199</v>
      </c>
      <c r="F40" t="s">
        <v>51</v>
      </c>
      <c r="G40" t="s">
        <v>114</v>
      </c>
      <c r="H40" t="s">
        <v>44</v>
      </c>
    </row>
    <row r="41" spans="1:14">
      <c r="A41" t="s">
        <v>222</v>
      </c>
      <c r="B41" t="s">
        <v>223</v>
      </c>
      <c r="C41" t="s">
        <v>57</v>
      </c>
      <c r="E41" t="s">
        <v>57</v>
      </c>
      <c r="F41" t="s">
        <v>119</v>
      </c>
      <c r="G41" t="s">
        <v>52</v>
      </c>
      <c r="H41" t="s">
        <v>51</v>
      </c>
    </row>
    <row r="42" spans="1:14">
      <c r="A42" t="s">
        <v>226</v>
      </c>
      <c r="B42" t="s">
        <v>213</v>
      </c>
      <c r="E42" t="s">
        <v>227</v>
      </c>
      <c r="F42" t="s">
        <v>228</v>
      </c>
      <c r="G42" t="s">
        <v>229</v>
      </c>
      <c r="H42" t="s">
        <v>230</v>
      </c>
      <c r="I42" t="s">
        <v>231</v>
      </c>
    </row>
    <row r="43" spans="1:14">
      <c r="A43" t="s">
        <v>232</v>
      </c>
      <c r="B43" t="s">
        <v>216</v>
      </c>
      <c r="E43" t="s">
        <v>233</v>
      </c>
      <c r="F43" t="s">
        <v>234</v>
      </c>
      <c r="G43" t="s">
        <v>235</v>
      </c>
      <c r="H43" t="s">
        <v>236</v>
      </c>
      <c r="I43" t="s">
        <v>237</v>
      </c>
      <c r="J43" t="s">
        <v>238</v>
      </c>
      <c r="K43" t="s">
        <v>239</v>
      </c>
      <c r="L43" t="s">
        <v>240</v>
      </c>
      <c r="M43" t="s">
        <v>241</v>
      </c>
      <c r="N43" t="s">
        <v>242</v>
      </c>
    </row>
    <row r="44" spans="1:14">
      <c r="A44" t="s">
        <v>243</v>
      </c>
      <c r="B44" t="s">
        <v>220</v>
      </c>
      <c r="E44" t="s">
        <v>244</v>
      </c>
      <c r="F44" t="s">
        <v>245</v>
      </c>
    </row>
    <row r="45" spans="1:14">
      <c r="A45" t="s">
        <v>246</v>
      </c>
      <c r="B45" t="s">
        <v>223</v>
      </c>
      <c r="E45" t="s">
        <v>247</v>
      </c>
      <c r="F45" t="s">
        <v>248</v>
      </c>
    </row>
    <row r="46" spans="1:14">
      <c r="A46" t="s">
        <v>249</v>
      </c>
      <c r="B46" t="s">
        <v>250</v>
      </c>
      <c r="C46">
        <v>2417</v>
      </c>
    </row>
    <row r="47" spans="1:14">
      <c r="A47" t="s">
        <v>252</v>
      </c>
      <c r="B47" t="s">
        <v>253</v>
      </c>
      <c r="C47">
        <v>64</v>
      </c>
    </row>
    <row r="48" spans="1:14">
      <c r="A48" t="s">
        <v>255</v>
      </c>
      <c r="B48" t="s">
        <v>256</v>
      </c>
      <c r="C48">
        <v>34</v>
      </c>
    </row>
    <row r="49" spans="1:14">
      <c r="A49" t="s">
        <v>258</v>
      </c>
      <c r="B49" t="s">
        <v>259</v>
      </c>
      <c r="C49">
        <v>42</v>
      </c>
    </row>
    <row r="50" spans="1:14">
      <c r="A50" t="s">
        <v>292</v>
      </c>
      <c r="B50" t="s">
        <v>213</v>
      </c>
      <c r="E50" t="s">
        <v>227</v>
      </c>
      <c r="F50" t="s">
        <v>228</v>
      </c>
      <c r="G50" t="s">
        <v>229</v>
      </c>
      <c r="H50" t="s">
        <v>230</v>
      </c>
      <c r="I50" t="s">
        <v>231</v>
      </c>
    </row>
    <row r="51" spans="1:14">
      <c r="A51" t="s">
        <v>294</v>
      </c>
      <c r="B51" t="s">
        <v>216</v>
      </c>
      <c r="E51" t="s">
        <v>233</v>
      </c>
      <c r="F51" t="s">
        <v>234</v>
      </c>
      <c r="G51" t="s">
        <v>235</v>
      </c>
      <c r="H51" t="s">
        <v>236</v>
      </c>
      <c r="I51" t="s">
        <v>237</v>
      </c>
      <c r="J51" t="s">
        <v>238</v>
      </c>
      <c r="K51" t="s">
        <v>239</v>
      </c>
      <c r="L51" t="s">
        <v>240</v>
      </c>
      <c r="M51" t="s">
        <v>241</v>
      </c>
      <c r="N51" t="s">
        <v>242</v>
      </c>
    </row>
    <row r="52" spans="1:14">
      <c r="A52" t="s">
        <v>296</v>
      </c>
      <c r="B52" t="s">
        <v>220</v>
      </c>
      <c r="E52" t="s">
        <v>244</v>
      </c>
      <c r="F52" t="s">
        <v>245</v>
      </c>
    </row>
    <row r="53" spans="1:14">
      <c r="A53" t="s">
        <v>298</v>
      </c>
      <c r="B53" t="s">
        <v>223</v>
      </c>
      <c r="E53" t="s">
        <v>247</v>
      </c>
      <c r="F53" t="s">
        <v>248</v>
      </c>
    </row>
    <row r="54" spans="1:14">
      <c r="A54" t="s">
        <v>300</v>
      </c>
      <c r="B54" t="s">
        <v>301</v>
      </c>
      <c r="C54" t="s">
        <v>44</v>
      </c>
      <c r="E54" t="s">
        <v>217</v>
      </c>
      <c r="F54" t="s">
        <v>46</v>
      </c>
      <c r="G54" t="s">
        <v>44</v>
      </c>
      <c r="H54" t="s">
        <v>45</v>
      </c>
    </row>
    <row r="55" spans="1:14">
      <c r="A55" t="s">
        <v>303</v>
      </c>
      <c r="B55" t="s">
        <v>304</v>
      </c>
      <c r="C55" t="s">
        <v>51</v>
      </c>
      <c r="E55" t="s">
        <v>51</v>
      </c>
      <c r="F55" t="s">
        <v>217</v>
      </c>
      <c r="G55" t="s">
        <v>46</v>
      </c>
      <c r="H55" t="s">
        <v>58</v>
      </c>
    </row>
    <row r="56" spans="1:14">
      <c r="A56" t="s">
        <v>306</v>
      </c>
      <c r="B56" t="s">
        <v>307</v>
      </c>
      <c r="C56" t="s">
        <v>217</v>
      </c>
      <c r="E56" t="s">
        <v>46</v>
      </c>
      <c r="F56" t="s">
        <v>45</v>
      </c>
      <c r="G56" t="s">
        <v>217</v>
      </c>
      <c r="H56" t="s">
        <v>44</v>
      </c>
    </row>
    <row r="57" spans="1:14">
      <c r="A57" t="s">
        <v>310</v>
      </c>
      <c r="B57" t="s">
        <v>301</v>
      </c>
      <c r="E57" t="s">
        <v>311</v>
      </c>
    </row>
    <row r="58" spans="1:14">
      <c r="A58" t="s">
        <v>312</v>
      </c>
      <c r="B58" t="s">
        <v>304</v>
      </c>
      <c r="E58" t="s">
        <v>313</v>
      </c>
    </row>
    <row r="59" spans="1:14">
      <c r="A59" t="s">
        <v>314</v>
      </c>
      <c r="B59" t="s">
        <v>307</v>
      </c>
      <c r="E59" t="s">
        <v>315</v>
      </c>
      <c r="F59" t="s">
        <v>316</v>
      </c>
      <c r="G59" t="s">
        <v>317</v>
      </c>
    </row>
    <row r="60" spans="1:14">
      <c r="A60" t="s">
        <v>318</v>
      </c>
      <c r="B60" t="s">
        <v>319</v>
      </c>
      <c r="C60">
        <v>462</v>
      </c>
    </row>
    <row r="61" spans="1:14">
      <c r="A61" t="s">
        <v>321</v>
      </c>
      <c r="B61" t="s">
        <v>322</v>
      </c>
      <c r="C61">
        <v>6</v>
      </c>
    </row>
    <row r="62" spans="1:14">
      <c r="A62" t="s">
        <v>324</v>
      </c>
      <c r="B62" t="s">
        <v>325</v>
      </c>
      <c r="C62">
        <v>52</v>
      </c>
    </row>
    <row r="63" spans="1:14">
      <c r="A63" t="s">
        <v>370</v>
      </c>
      <c r="B63" t="s">
        <v>301</v>
      </c>
      <c r="E63" t="s">
        <v>311</v>
      </c>
    </row>
    <row r="64" spans="1:14">
      <c r="A64" t="s">
        <v>372</v>
      </c>
      <c r="B64" t="s">
        <v>304</v>
      </c>
      <c r="E64" t="s">
        <v>313</v>
      </c>
    </row>
    <row r="65" spans="1:9">
      <c r="A65" t="s">
        <v>374</v>
      </c>
      <c r="B65" t="s">
        <v>307</v>
      </c>
      <c r="E65" t="s">
        <v>315</v>
      </c>
      <c r="F65" t="s">
        <v>316</v>
      </c>
      <c r="G65" t="s">
        <v>317</v>
      </c>
    </row>
    <row r="66" spans="1:9">
      <c r="A66" t="s">
        <v>376</v>
      </c>
      <c r="B66" t="s">
        <v>43</v>
      </c>
      <c r="E66" t="s">
        <v>69</v>
      </c>
      <c r="F66" t="s">
        <v>70</v>
      </c>
      <c r="G66" t="s">
        <v>71</v>
      </c>
      <c r="H66" t="s">
        <v>72</v>
      </c>
      <c r="I66" t="s">
        <v>73</v>
      </c>
    </row>
    <row r="67" spans="1:9">
      <c r="A67" t="s">
        <v>378</v>
      </c>
      <c r="B67" t="s">
        <v>50</v>
      </c>
      <c r="E67" t="s">
        <v>76</v>
      </c>
    </row>
    <row r="68" spans="1:9">
      <c r="A68" t="s">
        <v>379</v>
      </c>
      <c r="B68" t="s">
        <v>56</v>
      </c>
      <c r="E68" t="s">
        <v>79</v>
      </c>
    </row>
    <row r="69" spans="1:9">
      <c r="A69" t="s">
        <v>381</v>
      </c>
      <c r="B69" t="s">
        <v>62</v>
      </c>
      <c r="E69" t="s">
        <v>82</v>
      </c>
    </row>
    <row r="70" spans="1:9">
      <c r="A70" t="s">
        <v>385</v>
      </c>
      <c r="B70" t="s">
        <v>386</v>
      </c>
      <c r="C70" t="s">
        <v>333</v>
      </c>
    </row>
    <row r="71" spans="1:9">
      <c r="A71" t="s">
        <v>388</v>
      </c>
      <c r="B71" t="s">
        <v>389</v>
      </c>
      <c r="C71" t="s">
        <v>334</v>
      </c>
    </row>
    <row r="72" spans="1:9">
      <c r="A72" t="s">
        <v>391</v>
      </c>
      <c r="B72" t="s">
        <v>392</v>
      </c>
      <c r="C72" t="s">
        <v>361</v>
      </c>
    </row>
    <row r="73" spans="1:9">
      <c r="A73" t="s">
        <v>394</v>
      </c>
      <c r="B73" t="s">
        <v>395</v>
      </c>
      <c r="C73" t="s">
        <v>362</v>
      </c>
    </row>
    <row r="74" spans="1:9">
      <c r="A74" t="s">
        <v>397</v>
      </c>
      <c r="B74" t="s">
        <v>398</v>
      </c>
      <c r="C74" t="s">
        <v>360</v>
      </c>
    </row>
    <row r="75" spans="1:9">
      <c r="A75" t="s">
        <v>400</v>
      </c>
      <c r="B75" t="s">
        <v>401</v>
      </c>
      <c r="C75">
        <v>1707</v>
      </c>
    </row>
    <row r="76" spans="1:9">
      <c r="A76" t="s">
        <v>403</v>
      </c>
      <c r="B76" t="s">
        <v>319</v>
      </c>
      <c r="C76">
        <v>247</v>
      </c>
    </row>
    <row r="77" spans="1:9">
      <c r="A77" t="s">
        <v>405</v>
      </c>
      <c r="B77" t="s">
        <v>406</v>
      </c>
      <c r="C77">
        <v>64</v>
      </c>
    </row>
    <row r="78" spans="1:9">
      <c r="A78" t="s">
        <v>408</v>
      </c>
      <c r="B78" t="s">
        <v>409</v>
      </c>
      <c r="C78" t="s">
        <v>359</v>
      </c>
    </row>
    <row r="79" spans="1:9">
      <c r="A79" t="s">
        <v>411</v>
      </c>
      <c r="B79" t="s">
        <v>322</v>
      </c>
      <c r="C79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7</vt:i4>
      </vt:variant>
    </vt:vector>
  </HeadingPairs>
  <TitlesOfParts>
    <vt:vector size="19" baseType="lpstr">
      <vt:lpstr>Start</vt:lpstr>
      <vt:lpstr>S1-1 Warp Zones</vt:lpstr>
      <vt:lpstr>S1-1 Arena</vt:lpstr>
      <vt:lpstr>S1-2 Teleport</vt:lpstr>
      <vt:lpstr>S1-2 Arena</vt:lpstr>
      <vt:lpstr>S1-3 Lasso</vt:lpstr>
      <vt:lpstr>S1-3 Arena</vt:lpstr>
      <vt:lpstr>S1-4 Grab</vt:lpstr>
      <vt:lpstr>S1-4 Arena</vt:lpstr>
      <vt:lpstr>Boss</vt:lpstr>
      <vt:lpstr>Boss Arena</vt:lpstr>
      <vt:lpstr>Cheat Codes</vt:lpstr>
      <vt:lpstr>Boss!Print_Titles</vt:lpstr>
      <vt:lpstr>'Cheat Codes'!Print_Titles</vt:lpstr>
      <vt:lpstr>'S1-1 Warp Zones'!Print_Titles</vt:lpstr>
      <vt:lpstr>'S1-2 Teleport'!Print_Titles</vt:lpstr>
      <vt:lpstr>'S1-3 Lasso'!Print_Titles</vt:lpstr>
      <vt:lpstr>'S1-4 Grab'!Print_Titles</vt:lpstr>
      <vt:lpstr>TREASURE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Shortcuts 1 · Navigate &amp; Select</dc:title>
  <dc:subject>Excel practice: Move and select anywhere on a sheet without touching the mouse.</dc:subject>
  <dc:creator>excel-drills</dc:creator>
  <cp:keywords>Excel, practice, shortcuts, Navigate &amp; Select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