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R1 Shortcut Gauntlet" sheetId="2" r:id="rId2"/>
    <sheet name="R1 Arena" sheetId="3" r:id="rId3"/>
    <sheet name="R2 Formula Gauntlet" sheetId="4" r:id="rId4"/>
    <sheet name="R2 Arena" sheetId="5" r:id="rId5"/>
    <sheet name="R3 Real-World Mission" sheetId="6" r:id="rId6"/>
    <sheet name="R3 Arena" sheetId="7" r:id="rId7"/>
    <sheet name="Certificate" sheetId="8" r:id="rId8"/>
    <sheet name="Key" sheetId="9" state="veryHidden" r:id="rId9"/>
  </sheets>
  <definedNames>
    <definedName name="_xlnm.Print_Titles" localSheetId="1">'R1 Shortcut Gauntlet'!$1:$4</definedName>
    <definedName name="_xlnm.Print_Titles" localSheetId="3">'R2 Formula Gauntlet'!$1:$4</definedName>
    <definedName name="_xlnm.Print_Titles" localSheetId="5">'R3 Real-World Mission'!$1:$4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<sst xmlns="http://schemas.openxmlformats.org/spreadsheetml/2006/main" count="747" uniqueCount="554">
  <si>
    <t>Challenge</t>
  </si>
  <si>
    <t>Hint</t>
  </si>
  <si>
    <t>Expected</t>
  </si>
  <si>
    <t>Lists / per-cell expectations →</t>
  </si>
  <si>
    <t>ARENA ▸ R1 SHORTCUT GAUNTLET</t>
  </si>
  <si>
    <t>Practice area · everything here is editable. Missions and their checks are on the stage sheet.</t>
  </si>
  <si>
    <t>PASS CODE</t>
  </si>
  <si>
    <t>GAUNTLET</t>
  </si>
  <si>
    <t>◀ Back to R1 Shortcut Gauntlet</t>
  </si>
  <si>
    <t>TRAIL ▼</t>
  </si>
  <si>
    <t>CHAMPION</t>
  </si>
  <si>
    <t>SCATTER ▼</t>
  </si>
  <si>
    <t>LEGEND</t>
  </si>
  <si>
    <t>GO ▼</t>
  </si>
  <si>
    <t>TWO LINES ▼</t>
  </si>
  <si>
    <t>DATE ▼</t>
  </si>
  <si>
    <t>SHARES ▼</t>
  </si>
  <si>
    <t>VICTORY</t>
  </si>
  <si>
    <t>Order</t>
  </si>
  <si>
    <t>Region</t>
  </si>
  <si>
    <t>Rep</t>
  </si>
  <si>
    <t>Units</t>
  </si>
  <si>
    <t>O-101</t>
  </si>
  <si>
    <t>East</t>
  </si>
  <si>
    <t>Kim</t>
  </si>
  <si>
    <t>O-102</t>
  </si>
  <si>
    <t>West</t>
  </si>
  <si>
    <t>Lee</t>
  </si>
  <si>
    <t>O-103</t>
  </si>
  <si>
    <t>North</t>
  </si>
  <si>
    <t>Ava</t>
  </si>
  <si>
    <t>O-104</t>
  </si>
  <si>
    <t>O-105</t>
  </si>
  <si>
    <t>South</t>
  </si>
  <si>
    <t>Raj</t>
  </si>
  <si>
    <t>O-106</t>
  </si>
  <si>
    <t>O-107</t>
  </si>
  <si>
    <t>O-108</t>
  </si>
  <si>
    <t>O-109</t>
  </si>
  <si>
    <t>O-110</t>
  </si>
  <si>
    <t>O-111</t>
  </si>
  <si>
    <t>O-112</t>
  </si>
  <si>
    <t>O-113</t>
  </si>
  <si>
    <t>O-114</t>
  </si>
  <si>
    <t>O-115</t>
  </si>
  <si>
    <t>O-116</t>
  </si>
  <si>
    <t>O-117</t>
  </si>
  <si>
    <t>O-118</t>
  </si>
  <si>
    <t>O-119</t>
  </si>
  <si>
    <t>O-120</t>
  </si>
  <si>
    <t>TROPHY</t>
  </si>
  <si>
    <t>MISSIONS</t>
  </si>
  <si>
    <t>▶ Open R1 Arena (or press Ctrl+PgDn)</t>
  </si>
  <si>
    <t>#</t>
  </si>
  <si>
    <t>Mission</t>
  </si>
  <si>
    <t>Your answer</t>
  </si>
  <si>
    <t>Result</t>
  </si>
  <si>
    <t>Hint?</t>
  </si>
  <si>
    <t>XP</t>
  </si>
  <si>
    <t>R1 Shortcut Gauntlet M1</t>
  </si>
  <si>
    <t>One press.</t>
  </si>
  <si>
    <t>M1</t>
  </si>
  <si>
    <t>In the R1 Arena click B6 and press Ctrl+↓. Type the word at the end of the trail.</t>
  </si>
  <si>
    <t>R1 Shortcut Gauntlet M2</t>
  </si>
  <si>
    <t>Jump the gaps.</t>
  </si>
  <si>
    <t>M2</t>
  </si>
  <si>
    <t>Click D6 and keep pressing Ctrl+↓ until you reach a word. Type it.</t>
  </si>
  <si>
    <t>R1 Shortcut Gauntlet M3</t>
  </si>
  <si>
    <t>Go To.</t>
  </si>
  <si>
    <t>M3</t>
  </si>
  <si>
    <t>Press F5 (or Ctrl+G) and go to H500. Type the word there.</t>
  </si>
  <si>
    <t>R1 Shortcut Gauntlet M4</t>
  </si>
  <si>
    <t>Lowest row, rightmost column.</t>
  </si>
  <si>
    <t>M4</t>
  </si>
  <si>
    <t>Press Ctrl+End. Type the word in the last used cell.</t>
  </si>
  <si>
    <t>R1 Shortcut Gauntlet M5</t>
  </si>
  <si>
    <t>Ctrl+Enter fills the selection.</t>
  </si>
  <si>
    <t>M5</t>
  </si>
  <si>
    <t>Select F6:F12, type GO and press Ctrl+Enter.</t>
  </si>
  <si>
    <t>▶ ARENA M5 (cell F6)</t>
  </si>
  <si>
    <t>R1 Shortcut Gauntlet M6</t>
  </si>
  <si>
    <t>Alt+Enter.</t>
  </si>
  <si>
    <t>M6</t>
  </si>
  <si>
    <t>In F15 type Excel, press Alt+Enter, type Arcade, then press Enter.</t>
  </si>
  <si>
    <t>▶ ARENA M6 (cell F15)</t>
  </si>
  <si>
    <t>R1 Shortcut Gauntlet M7</t>
  </si>
  <si>
    <t>Ctrl+;</t>
  </si>
  <si>
    <t>M7</t>
  </si>
  <si>
    <t>Stamp today's date in F17 with Ctrl+;, then Enter.</t>
  </si>
  <si>
    <t>▶ ARENA M7 (cell F17)</t>
  </si>
  <si>
    <t>R1 Shortcut Gauntlet M8</t>
  </si>
  <si>
    <t>Ctrl+Shift+5.</t>
  </si>
  <si>
    <t>M8</t>
  </si>
  <si>
    <t>Make H6:H10 percentages with Ctrl+Shift+%. Press F9.</t>
  </si>
  <si>
    <t>▶ ARENA M8 (cell H6)</t>
  </si>
  <si>
    <t>R1 Shortcut Gauntlet M9</t>
  </si>
  <si>
    <t>Filter buttons first.</t>
  </si>
  <si>
    <t>M9</t>
  </si>
  <si>
    <t>Filter the table at B810 to show only North: Ctrl+Shift+L, then Alt+↓ on the Region header.</t>
  </si>
  <si>
    <t>▶ ARENA M9 (cell C810)</t>
  </si>
  <si>
    <t>R1 ▸ SHORTCUT GAUNTLET</t>
  </si>
  <si>
    <t>Goal: prove every shortcut is in your fingers</t>
  </si>
  <si>
    <t>ARENA ▸ R2 FORMULA GAUNTLET</t>
  </si>
  <si>
    <t>FORMULAS</t>
  </si>
  <si>
    <t>◀ Back to R2 Formula Gauntlet</t>
  </si>
  <si>
    <t>Date</t>
  </si>
  <si>
    <t>Product</t>
  </si>
  <si>
    <t>Revenue</t>
  </si>
  <si>
    <t>Widget</t>
  </si>
  <si>
    <t>Gadget</t>
  </si>
  <si>
    <t>Gizmo</t>
  </si>
  <si>
    <t>Flag</t>
  </si>
  <si>
    <t>Manager</t>
  </si>
  <si>
    <t>Mia</t>
  </si>
  <si>
    <t>Noah</t>
  </si>
  <si>
    <t>Zoe</t>
  </si>
  <si>
    <t>Liam</t>
  </si>
  <si>
    <t>West Gadget revenue</t>
  </si>
  <si>
    <t>North orders with 50+ units</t>
  </si>
  <si>
    <t>Manager of South</t>
  </si>
  <si>
    <t>East average revenue (rounded)</t>
  </si>
  <si>
    <t>Different products</t>
  </si>
  <si>
    <t>Month-end of the latest order</t>
  </si>
  <si>
    <t>Raj's orders ▼</t>
  </si>
  <si>
    <t>GAUNTLET · rapid recall from the whole course</t>
  </si>
  <si>
    <t>R2 Formula Gauntlet G1</t>
  </si>
  <si>
    <t>After array and include.</t>
  </si>
  <si>
    <t>3</t>
  </si>
  <si>
    <t>3RD</t>
  </si>
  <si>
    <t>IF_EMPTY</t>
  </si>
  <si>
    <t>THIRD</t>
  </si>
  <si>
    <t>G1</t>
  </si>
  <si>
    <t>Which FILTER argument number sets what to show when nothing matches?  (from F7-2 Sifter)</t>
  </si>
  <si>
    <t>R2 Formula Gauntlet G2</t>
  </si>
  <si>
    <t>Four letters.</t>
  </si>
  <si>
    <t>=SORT</t>
  </si>
  <si>
    <t>=SORT(</t>
  </si>
  <si>
    <t>=SORT()</t>
  </si>
  <si>
    <t>SORT</t>
  </si>
  <si>
    <t>SORT(</t>
  </si>
  <si>
    <t>SORT()</t>
  </si>
  <si>
    <t>G2</t>
  </si>
  <si>
    <t>Which function spills a sorted copy of a range?  (from F7-3 Sorter)</t>
  </si>
  <si>
    <t>R2 Formula Gauntlet G3</t>
  </si>
  <si>
    <t>SORT plus BY.</t>
  </si>
  <si>
    <t>=SORTBY</t>
  </si>
  <si>
    <t>=SORTBY(</t>
  </si>
  <si>
    <t>=SORTBY()</t>
  </si>
  <si>
    <t>SORTBY</t>
  </si>
  <si>
    <t>SORTBY(</t>
  </si>
  <si>
    <t>SORTBY()</t>
  </si>
  <si>
    <t>G3</t>
  </si>
  <si>
    <t>Which function sorts a range by another range?  (from F7-3 Sorter)</t>
  </si>
  <si>
    <t>R2 Formula Gauntlet G4</t>
  </si>
  <si>
    <t>One of a kind.</t>
  </si>
  <si>
    <t>=UNIQUE</t>
  </si>
  <si>
    <t>=UNIQUE(</t>
  </si>
  <si>
    <t>=UNIQUE()</t>
  </si>
  <si>
    <t>UNIQUE</t>
  </si>
  <si>
    <t>UNIQUE(</t>
  </si>
  <si>
    <t>UNIQUE()</t>
  </si>
  <si>
    <t>G4</t>
  </si>
  <si>
    <t>Which function returns each distinct value once?  (from F7-3 Sorter)</t>
  </si>
  <si>
    <t>R2 Formula Gauntlet G5</t>
  </si>
  <si>
    <t>Three letters: let x be…</t>
  </si>
  <si>
    <t>=LET</t>
  </si>
  <si>
    <t>=LET(</t>
  </si>
  <si>
    <t>=LET()</t>
  </si>
  <si>
    <t>LET</t>
  </si>
  <si>
    <t>LET(</t>
  </si>
  <si>
    <t>LET()</t>
  </si>
  <si>
    <t>G5</t>
  </si>
  <si>
    <t>Which function lets you name a value inside a formula?  (from F7-4 Combo)</t>
  </si>
  <si>
    <t>R2 Formula Gauntlet G6</t>
  </si>
  <si>
    <t>The inner one.</t>
  </si>
  <si>
    <t>G6</t>
  </si>
  <si>
    <t>In =SORT(UNIQUE(E6:E25)), which function removes the duplicates?  (from F7-4 Combo)</t>
  </si>
  <si>
    <t>R2 Formula Gauntlet G7</t>
  </si>
  <si>
    <t>It finds things.</t>
  </si>
  <si>
    <t>=FIND</t>
  </si>
  <si>
    <t>=FIND(</t>
  </si>
  <si>
    <t>=FIND()</t>
  </si>
  <si>
    <t>FIND</t>
  </si>
  <si>
    <t>FIND(</t>
  </si>
  <si>
    <t>FIND()</t>
  </si>
  <si>
    <t>G7</t>
  </si>
  <si>
    <t>Which function returns the position of text, matching case?  (from F5-3 Find the Gem)</t>
  </si>
  <si>
    <t>R2 Formula Gauntlet G8</t>
  </si>
  <si>
    <t>Like FIND, but case-blind.</t>
  </si>
  <si>
    <t>=SEARCH</t>
  </si>
  <si>
    <t>=SEARCH(</t>
  </si>
  <si>
    <t>=SEARCH()</t>
  </si>
  <si>
    <t>SEARCH</t>
  </si>
  <si>
    <t>SEARCH(</t>
  </si>
  <si>
    <t>SEARCH()</t>
  </si>
  <si>
    <t>G8</t>
  </si>
  <si>
    <t>Which function returns a position while ignoring case?  (from F5-3 Find the Gem)</t>
  </si>
  <si>
    <t>R2 Formula Gauntlet G9</t>
  </si>
  <si>
    <t>The position finder.</t>
  </si>
  <si>
    <t>G9</t>
  </si>
  <si>
    <t>Which function supplies the cut position inside =LEFT(A2, ____("@",A2)-1)?  (from F5-3 Find the Gem)</t>
  </si>
  <si>
    <t>R2 Formula Gauntlet G10</t>
  </si>
  <si>
    <t>TEXT plus JOIN.</t>
  </si>
  <si>
    <t>=TEXTJOIN</t>
  </si>
  <si>
    <t>=TEXTJOIN(</t>
  </si>
  <si>
    <t>=TEXTJOIN()</t>
  </si>
  <si>
    <t>TEXTJOIN</t>
  </si>
  <si>
    <t>TEXTJOIN(</t>
  </si>
  <si>
    <t>TEXTJOIN()</t>
  </si>
  <si>
    <t>G10</t>
  </si>
  <si>
    <t>Which function joins a range of text with a delimiter?  (from F5-4 Assemble)</t>
  </si>
  <si>
    <t>R2 Formula Gauntlet G11</t>
  </si>
  <si>
    <t>=TEXT</t>
  </si>
  <si>
    <t>=TEXT(</t>
  </si>
  <si>
    <t>=TEXT()</t>
  </si>
  <si>
    <t>TEXT</t>
  </si>
  <si>
    <t>TEXT(</t>
  </si>
  <si>
    <t>TEXT()</t>
  </si>
  <si>
    <t>G11</t>
  </si>
  <si>
    <t>Which function turns a number or date into formatted text?  (from F5-4 Assemble)</t>
  </si>
  <si>
    <t>R2 Formula Gauntlet G12</t>
  </si>
  <si>
    <t>The opposite of TEXT.</t>
  </si>
  <si>
    <t>=VALUE</t>
  </si>
  <si>
    <t>=VALUE(</t>
  </si>
  <si>
    <t>=VALUE()</t>
  </si>
  <si>
    <t>VALUE</t>
  </si>
  <si>
    <t>VALUE(</t>
  </si>
  <si>
    <t>VALUE()</t>
  </si>
  <si>
    <t>G12</t>
  </si>
  <si>
    <t>Which function turns text that looks like a number into a number?  (from F5-4 Assemble)</t>
  </si>
  <si>
    <t>R2 Formula Gauntlet G13</t>
  </si>
  <si>
    <t>Five letters.</t>
  </si>
  <si>
    <t>=TODAY</t>
  </si>
  <si>
    <t>=TODAY(</t>
  </si>
  <si>
    <t>=TODAY()</t>
  </si>
  <si>
    <t>TODAY</t>
  </si>
  <si>
    <t>TODAY(</t>
  </si>
  <si>
    <t>TODAY()</t>
  </si>
  <si>
    <t>G13</t>
  </si>
  <si>
    <t>Which function returns today's date?  (from F6-1 Calendar)</t>
  </si>
  <si>
    <t>R2 Formula Gauntlet G14</t>
  </si>
  <si>
    <t>Three letters.</t>
  </si>
  <si>
    <t>=NOW</t>
  </si>
  <si>
    <t>=NOW(</t>
  </si>
  <si>
    <t>=NOW()</t>
  </si>
  <si>
    <t>NOW</t>
  </si>
  <si>
    <t>NOW(</t>
  </si>
  <si>
    <t>NOW()</t>
  </si>
  <si>
    <t>G14</t>
  </si>
  <si>
    <t>Which function returns the current date and time?  (from F6-1 Calendar)</t>
  </si>
  <si>
    <t>R2 Formula Gauntlet G15</t>
  </si>
  <si>
    <t>=DATE</t>
  </si>
  <si>
    <t>=DATE(</t>
  </si>
  <si>
    <t>=DATE()</t>
  </si>
  <si>
    <t>DATE</t>
  </si>
  <si>
    <t>DATE(</t>
  </si>
  <si>
    <t>DATE()</t>
  </si>
  <si>
    <t>G15</t>
  </si>
  <si>
    <t>Which function builds a date from a year, month and day?  (from F6-1 Calendar)</t>
  </si>
  <si>
    <t>R2 Formula Gauntlet G16</t>
  </si>
  <si>
    <t>=YEAR</t>
  </si>
  <si>
    <t>=YEAR(</t>
  </si>
  <si>
    <t>=YEAR()</t>
  </si>
  <si>
    <t>YEAR</t>
  </si>
  <si>
    <t>YEAR(</t>
  </si>
  <si>
    <t>YEAR()</t>
  </si>
  <si>
    <t>G16</t>
  </si>
  <si>
    <t>Which function returns the year of a date?  (from F6-1 Calendar)</t>
  </si>
  <si>
    <t>R2 Formula Gauntlet G17</t>
  </si>
  <si>
    <t>=MONTH</t>
  </si>
  <si>
    <t>=MONTH(</t>
  </si>
  <si>
    <t>=MONTH()</t>
  </si>
  <si>
    <t>MONTH</t>
  </si>
  <si>
    <t>MONTH(</t>
  </si>
  <si>
    <t>MONTH()</t>
  </si>
  <si>
    <t>G17</t>
  </si>
  <si>
    <t>Which function returns the month number of a date?  (from F6-1 Calendar)</t>
  </si>
  <si>
    <t>R2 Formula Gauntlet G18</t>
  </si>
  <si>
    <t>=DAY</t>
  </si>
  <si>
    <t>=DAY(</t>
  </si>
  <si>
    <t>=DAY()</t>
  </si>
  <si>
    <t>DAY</t>
  </si>
  <si>
    <t>DAY(</t>
  </si>
  <si>
    <t>DAY()</t>
  </si>
  <si>
    <t>G18</t>
  </si>
  <si>
    <t>Which function returns the day of the month?  (from F6-1 Calendar)</t>
  </si>
  <si>
    <t>R2 Formula Gauntlet G19</t>
  </si>
  <si>
    <t>WEEK plus DAY.</t>
  </si>
  <si>
    <t>=WEEKDAY</t>
  </si>
  <si>
    <t>=WEEKDAY(</t>
  </si>
  <si>
    <t>=WEEKDAY()</t>
  </si>
  <si>
    <t>WEEKDAY</t>
  </si>
  <si>
    <t>WEEKDAY(</t>
  </si>
  <si>
    <t>WEEKDAY()</t>
  </si>
  <si>
    <t>G19</t>
  </si>
  <si>
    <t>Which function returns the day of the week as a number?  (from F6-1 Calendar)</t>
  </si>
  <si>
    <t>R2 Formula Gauntlet G20</t>
  </si>
  <si>
    <t>Not hours.</t>
  </si>
  <si>
    <t>DAYS</t>
  </si>
  <si>
    <t>NUMBEROFDAYS</t>
  </si>
  <si>
    <t>G20</t>
  </si>
  <si>
    <t>What do you get when you subtract an earlier date from a later one (one word)?  (from F6-2 Date Math)</t>
  </si>
  <si>
    <t>R2 Formula Gauntlet G21</t>
  </si>
  <si>
    <t>Plain plus.</t>
  </si>
  <si>
    <t>30+B6</t>
  </si>
  <si>
    <t>=30+B6</t>
  </si>
  <si>
    <t>=B6+30</t>
  </si>
  <si>
    <t>B6+30</t>
  </si>
  <si>
    <t>G21</t>
  </si>
  <si>
    <t>Type the formula for the date 30 days after the date in B6.  (from F6-2 Date Math)</t>
  </si>
  <si>
    <t>R2 Formula Gauntlet G22</t>
  </si>
  <si>
    <t>DATE plus DIF.</t>
  </si>
  <si>
    <t>=DATEDIF</t>
  </si>
  <si>
    <t>=DATEDIF(</t>
  </si>
  <si>
    <t>=DATEDIF()</t>
  </si>
  <si>
    <t>DATEDIF</t>
  </si>
  <si>
    <t>DATEDIF(</t>
  </si>
  <si>
    <t>DATEDIF()</t>
  </si>
  <si>
    <t>G22</t>
  </si>
  <si>
    <t>Which function counts full years or months between two dates?  (from F6-2 Date Math)</t>
  </si>
  <si>
    <t>R2 Formula Gauntlet G23</t>
  </si>
  <si>
    <t>E plus DATE.</t>
  </si>
  <si>
    <t>=EDATE</t>
  </si>
  <si>
    <t>=EDATE(</t>
  </si>
  <si>
    <t>=EDATE()</t>
  </si>
  <si>
    <t>EDATE</t>
  </si>
  <si>
    <t>EDATE(</t>
  </si>
  <si>
    <t>EDATE()</t>
  </si>
  <si>
    <t>G23</t>
  </si>
  <si>
    <t>Which function moves a date forward or back by whole months?  (from F6-3 Deadlines)</t>
  </si>
  <si>
    <t>R2 Formula Gauntlet G24</t>
  </si>
  <si>
    <t>End Of MONTH.</t>
  </si>
  <si>
    <t>=EOMONTH</t>
  </si>
  <si>
    <t>=EOMONTH(</t>
  </si>
  <si>
    <t>=EOMONTH()</t>
  </si>
  <si>
    <t>EOMONTH</t>
  </si>
  <si>
    <t>EOMONTH(</t>
  </si>
  <si>
    <t>EOMONTH()</t>
  </si>
  <si>
    <t>G24</t>
  </si>
  <si>
    <t>Which function returns the last day of a month?  (from F6-3 Deadlines)</t>
  </si>
  <si>
    <t>R2 Formula Gauntlet G25</t>
  </si>
  <si>
    <t>NET WORK DAYS.</t>
  </si>
  <si>
    <t>=NETWORKDAYS</t>
  </si>
  <si>
    <t>=NETWORKDAYS(</t>
  </si>
  <si>
    <t>=NETWORKDAYS()</t>
  </si>
  <si>
    <t>NETWORKDAYS</t>
  </si>
  <si>
    <t>NETWORKDAYS(</t>
  </si>
  <si>
    <t>NETWORKDAYS()</t>
  </si>
  <si>
    <t>G25</t>
  </si>
  <si>
    <t>Which function counts the working days between two dates?  (from F6-3 Deadlines)</t>
  </si>
  <si>
    <t>R2 Formula Gauntlet G26</t>
  </si>
  <si>
    <t>WORK plus DAY.</t>
  </si>
  <si>
    <t>=WORKDAY</t>
  </si>
  <si>
    <t>=WORKDAY(</t>
  </si>
  <si>
    <t>=WORKDAY()</t>
  </si>
  <si>
    <t>WORKDAY</t>
  </si>
  <si>
    <t>WORKDAY(</t>
  </si>
  <si>
    <t>WORKDAY()</t>
  </si>
  <si>
    <t>G26</t>
  </si>
  <si>
    <t>Which function returns the date a number of working days later?  (from F6-3 Deadlines)</t>
  </si>
  <si>
    <t>R2 Formula Gauntlet G27</t>
  </si>
  <si>
    <t>Like water spilling over.</t>
  </si>
  <si>
    <t>SPILL</t>
  </si>
  <si>
    <t>SPILLING</t>
  </si>
  <si>
    <t>SPILLS</t>
  </si>
  <si>
    <t>G27</t>
  </si>
  <si>
    <t>What is it called when one formula's results flow into neighboring cells?  (from F7-1 Spill Zone)</t>
  </si>
  <si>
    <t>R2 Formula Gauntlet G28</t>
  </si>
  <si>
    <t>#SPILL! with an exclamation mark.</t>
  </si>
  <si>
    <t>#SPILL</t>
  </si>
  <si>
    <t>#SPILL!</t>
  </si>
  <si>
    <t>G28</t>
  </si>
  <si>
    <t>Which error appears when a spill range is blocked?  (from F7-1 Spill Zone)</t>
  </si>
  <si>
    <t>R2 Formula Gauntlet G29</t>
  </si>
  <si>
    <t>The cell address plus #.</t>
  </si>
  <si>
    <t>H5#</t>
  </si>
  <si>
    <t>G29</t>
  </si>
  <si>
    <t>How do you refer to the whole spill that starts in H5?  (from F7-1 Spill Zone)</t>
  </si>
  <si>
    <t>R2 Formula Gauntlet G30</t>
  </si>
  <si>
    <t>A series of numbers in order.</t>
  </si>
  <si>
    <t>=SEQUENCE</t>
  </si>
  <si>
    <t>=SEQUENCE(</t>
  </si>
  <si>
    <t>=SEQUENCE()</t>
  </si>
  <si>
    <t>SEQUENCE</t>
  </si>
  <si>
    <t>SEQUENCE(</t>
  </si>
  <si>
    <t>SEQUENCE()</t>
  </si>
  <si>
    <t>G30</t>
  </si>
  <si>
    <t>Which function spills a list of sequential numbers?  (from F7-1 Spill Zone)</t>
  </si>
  <si>
    <t>R2 Formula Gauntlet G31</t>
  </si>
  <si>
    <t>Like a coffee filter.</t>
  </si>
  <si>
    <t>=FILTER</t>
  </si>
  <si>
    <t>=FILTER(</t>
  </si>
  <si>
    <t>=FILTER()</t>
  </si>
  <si>
    <t>FILTER</t>
  </si>
  <si>
    <t>FILTER(</t>
  </si>
  <si>
    <t>FILTER()</t>
  </si>
  <si>
    <t>G31</t>
  </si>
  <si>
    <t>Which function returns only the rows that meet a condition?  (from F7-2 Sifter)</t>
  </si>
  <si>
    <t>R2 Formula Gauntlet G32</t>
  </si>
  <si>
    <t>Multiply.</t>
  </si>
  <si>
    <t>*</t>
  </si>
  <si>
    <t>ASTERISK</t>
  </si>
  <si>
    <t>G32</t>
  </si>
  <si>
    <t>In FILTER, which operator joins two conditions so BOTH must be true?  (from F7-2 Sifter)</t>
  </si>
  <si>
    <t>▶ Open R2 Arena (or press Ctrl+PgDn)</t>
  </si>
  <si>
    <t>R2 Formula Gauntlet M1</t>
  </si>
  <si>
    <t>SUMIFS, sum range first.</t>
  </si>
  <si>
    <t>In O6 add the Revenue of West orders for Gadget.</t>
  </si>
  <si>
    <t>▶ ARENA M1 (cell O6)</t>
  </si>
  <si>
    <t>R2 Formula Gauntlet M2</t>
  </si>
  <si>
    <t>COUNTIFS with "&gt;=50".</t>
  </si>
  <si>
    <t>In O7 count the North orders with at least 50 units.</t>
  </si>
  <si>
    <t>▶ ARENA M2 (cell O7)</t>
  </si>
  <si>
    <t>R2 Formula Gauntlet M3</t>
  </si>
  <si>
    <t>XLOOKUP("South",…).</t>
  </si>
  <si>
    <t>In O8 return the Manager of "South" from the table in K5:L9 with XLOOKUP.</t>
  </si>
  <si>
    <t>▶ ARENA M3 (cell O8)</t>
  </si>
  <si>
    <t>R2 Formula Gauntlet M4</t>
  </si>
  <si>
    <t>ROUND(AVERAGEIFS(…),0).</t>
  </si>
  <si>
    <t>In O9 average the East Revenue and round it to a whole number, in one formula.</t>
  </si>
  <si>
    <t>▶ ARENA M4 (cell O9)</t>
  </si>
  <si>
    <t>R2 Formula Gauntlet M5</t>
  </si>
  <si>
    <t>COUNTA(UNIQUE(…)).</t>
  </si>
  <si>
    <t>In O10 count the different Products with COUNTA and UNIQUE.</t>
  </si>
  <si>
    <t>▶ ARENA M5 (cell O10)</t>
  </si>
  <si>
    <t>R2 Formula Gauntlet M6</t>
  </si>
  <si>
    <t>EOMONTH(MAX(C6:C25),0).</t>
  </si>
  <si>
    <t>In O11 return the last day of the month of the latest order date (EOMONTH of MAX).</t>
  </si>
  <si>
    <t>▶ ARENA M6 (cell O11)</t>
  </si>
  <si>
    <t>R2 Formula Gauntlet M7</t>
  </si>
  <si>
    <t>IF(AND(…)).</t>
  </si>
  <si>
    <t>In I6 return "Star" when Units ≥ 50 AND Revenue ≥ 2500, otherwise "-". Fill down to I25.</t>
  </si>
  <si>
    <t>▶ ARENA M7 (cell I6)</t>
  </si>
  <si>
    <t>R2 Formula Gauntlet M8</t>
  </si>
  <si>
    <t>FILTER(B6:B25,E6:E25="Raj").</t>
  </si>
  <si>
    <t>In Q6 spill the Order IDs of Raj's orders with FILTER.</t>
  </si>
  <si>
    <t>▶ ARENA M8 (cell Q6)</t>
  </si>
  <si>
    <t>R2 ▸ FORMULA GAUNTLET</t>
  </si>
  <si>
    <t>Goal: answer real questions with the right formula</t>
  </si>
  <si>
    <t>ARENA ▸ R3 REAL-WORLD MISSION</t>
  </si>
  <si>
    <t>MISSION</t>
  </si>
  <si>
    <t>◀ Back to R3 Real-World Mission</t>
  </si>
  <si>
    <t>Raw name</t>
  </si>
  <si>
    <t>Code</t>
  </si>
  <si>
    <t>Amount (text)</t>
  </si>
  <si>
    <t>Clean name</t>
  </si>
  <si>
    <t>Amount</t>
  </si>
  <si>
    <t>Big?</t>
  </si>
  <si>
    <t xml:space="preserve">  ada  LOVELACE</t>
  </si>
  <si>
    <t>E</t>
  </si>
  <si>
    <t>1,250</t>
  </si>
  <si>
    <t xml:space="preserve">grace HOPPER </t>
  </si>
  <si>
    <t>W</t>
  </si>
  <si>
    <t>980</t>
  </si>
  <si>
    <t>alan turing</t>
  </si>
  <si>
    <t>N</t>
  </si>
  <si>
    <t>2,400</t>
  </si>
  <si>
    <t xml:space="preserve">  KATHERINE johnson</t>
  </si>
  <si>
    <t>S</t>
  </si>
  <si>
    <t>760</t>
  </si>
  <si>
    <t>tim berners-lee</t>
  </si>
  <si>
    <t>1,100</t>
  </si>
  <si>
    <t>MARGARET hamilton</t>
  </si>
  <si>
    <t>3,050</t>
  </si>
  <si>
    <t xml:space="preserve">linus torvalds </t>
  </si>
  <si>
    <t>640</t>
  </si>
  <si>
    <t>hedy LAMARR</t>
  </si>
  <si>
    <t>1,875</t>
  </si>
  <si>
    <t>annie easley</t>
  </si>
  <si>
    <t>2,200</t>
  </si>
  <si>
    <t xml:space="preserve">  dorothy vaughan</t>
  </si>
  <si>
    <t>450</t>
  </si>
  <si>
    <t>mary JACKSON</t>
  </si>
  <si>
    <t>1,010</t>
  </si>
  <si>
    <t>joan clarke</t>
  </si>
  <si>
    <t>890</t>
  </si>
  <si>
    <t>East total</t>
  </si>
  <si>
    <t>Regions, A→Z ▼</t>
  </si>
  <si>
    <t>▶ Open R3 Arena (or press Ctrl+PgDn)</t>
  </si>
  <si>
    <t>R3 Real-World Mission M1</t>
  </si>
  <si>
    <t>TRIM inside PROPER.</t>
  </si>
  <si>
    <t>Clean the names: in E6 write =PROPER(TRIM(B6)) and fill down to E17.</t>
  </si>
  <si>
    <t>▶ ARENA M1 (cell E6)</t>
  </si>
  <si>
    <t>R3 Real-World Mission M2</t>
  </si>
  <si>
    <t>VALUE.</t>
  </si>
  <si>
    <t>Turn the text amounts into numbers: in F6 write =VALUE(D6) and fill down to F17.</t>
  </si>
  <si>
    <t>▶ ARENA M2 (cell F6)</t>
  </si>
  <si>
    <t>R3 Real-World Mission M3</t>
  </si>
  <si>
    <t>Lock the code table with $.</t>
  </si>
  <si>
    <t>Look up each Region name: in G6 write =XLOOKUP(C6,$K$6:$K$9,$L$6:$L$9) and fill down to G17.</t>
  </si>
  <si>
    <t>▶ ARENA M3 (cell G6)</t>
  </si>
  <si>
    <t>R3 Real-World Mission M4</t>
  </si>
  <si>
    <t>Needs the Amount and Region columns first.</t>
  </si>
  <si>
    <t>In O6 total the East amounts from your new columns: =SUMIFS(F6:F17,G6:G17,"East").</t>
  </si>
  <si>
    <t>▶ ARENA M4 (cell O6)</t>
  </si>
  <si>
    <t>R3 Real-World Mission M5</t>
  </si>
  <si>
    <t>IF(F6&gt;=1000,"Big","").</t>
  </si>
  <si>
    <t>In H6 flag big orders: "Big" when the Amount (F6) is at least 1000, otherwise empty text. Fill down to H17.</t>
  </si>
  <si>
    <t>▶ ARENA M5 (cell H6)</t>
  </si>
  <si>
    <t>R3 Real-World Mission M6</t>
  </si>
  <si>
    <t>SORT(UNIQUE(…)).</t>
  </si>
  <si>
    <t>In Q6 spill each Region once, sorted A→Z, from your Region column (G6:G17).</t>
  </si>
  <si>
    <t>▶ ARENA M6 (cell Q6)</t>
  </si>
  <si>
    <t>R3 Real-World Mission M7</t>
  </si>
  <si>
    <t>Ctrl+Shift+4.</t>
  </si>
  <si>
    <t>Dress the Amount column F6:F17 as currency with Ctrl+Shift+$. Press F9.</t>
  </si>
  <si>
    <t>▶ ARENA M7 (cell F6)</t>
  </si>
  <si>
    <t>R3 Real-World Mission M8</t>
  </si>
  <si>
    <t>Ctrl+T.</t>
  </si>
  <si>
    <t>Done</t>
  </si>
  <si>
    <t>Click inside the table at B5 and press Ctrl+T, then Enter: your cleaned data becomes an Excel Table. Pick Done.</t>
  </si>
  <si>
    <t>R3 ▸ REAL-WORLD MISSION</t>
  </si>
  <si>
    <t>Goal: clean a messy export and report on it</t>
  </si>
  <si>
    <t>FINAL BOSS ▸ THE CHAMPIONSHIP</t>
  </si>
  <si>
    <t>Every shortcut and formula from the course in one championship. Beat par for rank S.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</si>
  <si>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</si>
  <si>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</si>
  <si>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</si>
  <si>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</si>
  <si>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</si>
  <si>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</si>
  <si>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</si>
  <si>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</si>
  <si>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Name</t>
  </si>
  <si>
    <t>Score</t>
  </si>
  <si>
    <t>Stars</t>
  </si>
  <si>
    <t>Status</t>
  </si>
  <si>
    <t>Go</t>
  </si>
  <si>
    <t>R1</t>
  </si>
  <si>
    <t>Shortcut Gauntlet</t>
  </si>
  <si>
    <t>Go to R1 Shortcut Gauntlet</t>
  </si>
  <si>
    <t>R2</t>
  </si>
  <si>
    <t>Formula Gauntlet</t>
  </si>
  <si>
    <t>Go to R2 Formula Gauntlet</t>
  </si>
  <si>
    <t>R3</t>
  </si>
  <si>
    <t>Real-World Mission</t>
  </si>
  <si>
    <t>Go to R3 Real-World Mission</t>
  </si>
  <si>
    <t>TOTAL SCORE</t>
  </si>
  <si>
    <t>RANK</t>
  </si>
  <si>
    <t>S = 100% and under par · A ≥ 90% · B ≥ 75% · C ≥ 50%</t>
  </si>
  <si>
    <t>BEST TIME</t>
  </si>
  <si>
    <t>NEXT UP</t>
  </si>
  <si>
    <t>Replay a stage: select its yellow answer cells and press Delete. Undo an arena drill with Ctrl+Z.</t>
  </si>
  <si>
    <t>SPEEDRUN · stamp START before Round 1 and FINISH after Round 3</t>
  </si>
  <si>
    <t>START (Ctrl+Shift+:)</t>
  </si>
  <si>
    <t>FINISH (Ctrl+Shift+:)</t>
  </si>
  <si>
    <t>TIME</t>
  </si>
  <si>
    <t>PAR</t>
  </si>
  <si>
    <t>CERTIFICATE OF MASTERY</t>
  </si>
  <si>
    <t>Type your name, stamp the date with Ctrl+;, then print it with Ctrl+P.</t>
  </si>
  <si>
    <t>Your name</t>
  </si>
  <si>
    <t>Completed on (select C7, press Ctrl+;)</t>
  </si>
  <si>
    <t>Final rank</t>
  </si>
  <si>
    <t>★ ★ ★   EXCEL ARCADE CHAMPION   ★ ★ ★</t>
  </si>
</sst>
</file>

<file path=xl/styles.xml><?xml version="1.0" encoding="utf-8"?>
<styleSheet xmlns="http://schemas.openxmlformats.org/spreadsheetml/2006/main">
  <numFmts count="5">
    <numFmt numFmtId="164" formatCode="h:mm AM/PM"/>
    <numFmt numFmtId="165" formatCode="0&quot; min&quot;"/>
    <numFmt numFmtId="166" formatCode="@"/>
    <numFmt numFmtId="167" formatCode="d-mmm-yyyy"/>
    <numFmt numFmtId="168" formatCode="d-mmm-yy"/>
  </numFmts>
  <fonts count="22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sz val="12"/>
      <color rgb="FF1F2328"/>
      <name val="Consolas"/>
      <family val="2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onsolas"/>
      <family val="2"/>
    </font>
    <font>
      <b/>
      <sz val="12"/>
      <color rgb="FF14213D"/>
      <name val="Calibri"/>
      <family val="2"/>
      <scheme val="minor"/>
    </font>
    <font>
      <b/>
      <sz val="14"/>
      <color rgb="FF14213D"/>
      <name val="Segoe UI Symbol"/>
      <family val="2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  <fill>
      <patternFill patternType="solid">
        <fgColor rgb="FFE6ECF5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164" fontId="11" fillId="4" borderId="1" xfId="0" applyNumberFormat="1" applyFont="1" applyFill="1" applyBorder="1" applyAlignment="1" applyProtection="1">
      <alignment vertical="top"/>
      <protection locked="0"/>
    </xf>
    <xf numFmtId="165" fontId="5" fillId="0" borderId="0" xfId="0" applyNumberFormat="1" applyFont="1" applyAlignment="1" applyProtection="1">
      <alignment vertical="top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166" fontId="11" fillId="4" borderId="1" xfId="0" applyNumberFormat="1" applyFont="1" applyFill="1" applyBorder="1" applyAlignment="1" applyProtection="1">
      <alignment vertical="top"/>
      <protection locked="0"/>
    </xf>
    <xf numFmtId="0" fontId="16" fillId="5" borderId="0" xfId="0" applyFont="1" applyFill="1" applyAlignment="1" applyProtection="1">
      <alignment vertical="top" wrapText="1"/>
      <protection hidden="1"/>
    </xf>
    <xf numFmtId="0" fontId="17" fillId="4" borderId="1" xfId="0" applyFont="1" applyFill="1" applyBorder="1" applyAlignment="1" applyProtection="1">
      <alignment vertical="top"/>
      <protection locked="0"/>
    </xf>
    <xf numFmtId="0" fontId="18" fillId="6" borderId="0" xfId="0" applyFont="1" applyFill="1" applyAlignment="1" applyProtection="1">
      <alignment vertical="top" wrapText="1"/>
      <protection hidden="1"/>
    </xf>
    <xf numFmtId="0" fontId="19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2" fillId="7" borderId="0" xfId="0" applyFont="1" applyFill="1" applyAlignment="1">
      <alignment vertical="center"/>
    </xf>
    <xf numFmtId="0" fontId="6" fillId="2" borderId="0" xfId="0" applyFont="1" applyFill="1"/>
    <xf numFmtId="0" fontId="11" fillId="4" borderId="1" xfId="0" applyFont="1" applyFill="1" applyBorder="1" applyAlignment="1" applyProtection="1">
      <alignment vertical="top"/>
      <protection locked="0"/>
    </xf>
    <xf numFmtId="167" fontId="11" fillId="4" borderId="1" xfId="0" applyNumberFormat="1" applyFont="1" applyFill="1" applyBorder="1" applyAlignment="1" applyProtection="1">
      <alignment vertical="top"/>
      <protection locked="0"/>
    </xf>
    <xf numFmtId="168" fontId="5" fillId="0" borderId="0" xfId="0" applyNumberFormat="1" applyFont="1" applyAlignment="1">
      <alignment vertical="top"/>
    </xf>
    <xf numFmtId="0" fontId="5" fillId="0" borderId="0" xfId="0" applyFont="1" applyAlignment="1" applyProtection="1">
      <alignment vertical="top" wrapText="1"/>
      <protection hidden="1"/>
    </xf>
    <xf numFmtId="0" fontId="21" fillId="0" borderId="0" xfId="0" applyFont="1" applyAlignment="1">
      <alignment vertical="center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43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513</v>
      </c>
      <c r="B1" s="2"/>
      <c r="C1" s="2"/>
      <c r="D1" s="2"/>
      <c r="E1" s="2"/>
      <c r="F1" s="2"/>
    </row>
    <row r="2" spans="1:6">
      <c r="A2" s="3" t="s">
        <v>514</v>
      </c>
    </row>
    <row r="4" spans="1:6">
      <c r="A4" s="4" t="s">
        <v>515</v>
      </c>
      <c r="B4" s="4"/>
      <c r="C4" s="4"/>
      <c r="D4" s="4"/>
      <c r="E4" s="4"/>
      <c r="F4" s="4"/>
    </row>
    <row r="5" spans="1:6">
      <c r="A5" s="5" t="s">
        <v>516</v>
      </c>
    </row>
    <row r="6" spans="1:6">
      <c r="A6" s="5" t="s">
        <v>517</v>
      </c>
    </row>
    <row r="7" spans="1:6">
      <c r="A7" s="5" t="s">
        <v>518</v>
      </c>
    </row>
    <row r="8" spans="1:6">
      <c r="A8" s="5" t="s">
        <v>519</v>
      </c>
    </row>
    <row r="9" spans="1:6">
      <c r="A9" s="5" t="s">
        <v>520</v>
      </c>
    </row>
    <row r="11" spans="1:6">
      <c r="A11" s="4" t="s">
        <v>521</v>
      </c>
      <c r="B11" s="4"/>
      <c r="C11" s="4"/>
      <c r="D11" s="4"/>
      <c r="E11" s="4"/>
      <c r="F11" s="4"/>
    </row>
    <row r="12" spans="1:6">
      <c r="A12" s="6" t="s">
        <v>522</v>
      </c>
      <c r="B12" s="6" t="s">
        <v>523</v>
      </c>
      <c r="C12" s="6" t="s">
        <v>524</v>
      </c>
      <c r="D12" s="6" t="s">
        <v>525</v>
      </c>
      <c r="E12" s="6" t="s">
        <v>526</v>
      </c>
      <c r="F12" s="6" t="s">
        <v>527</v>
      </c>
    </row>
    <row r="13" spans="1:6">
      <c r="A13" s="7" t="s">
        <v>528</v>
      </c>
      <c r="B13" s="8" t="s">
        <v>529</v>
      </c>
      <c r="C13" s="9" cm="1" t="str">
        <f t="array" ref="C13">SUM('R1 Shortcut Gauntlet'!$G$8:$G$16)&amp;" / 90"</f>
        <v>0 / 90</v>
      </c>
      <c r="D13" s="10" cm="1" t="str">
        <f t="array" ref="D13">IF(SUM('R1 Shortcut Gauntlet'!$G$8:$G$16)&gt;=90,"★★★",IF(SUM('R1 Shortcut Gauntlet'!$G$8:$G$16)&gt;=90*0.8,"★★☆",IF(SUM('R1 Shortcut Gauntlet'!$G$8:$G$16)&gt;=90*0.5,"★☆☆","☆☆☆")))</f>
        <v>☆☆☆</v>
      </c>
      <c r="E13" s="9" cm="1" t="str">
        <f t="array" ref="E13">IF(SUM('R1 Shortcut Gauntlet'!$G$8:$G$16)&gt;=90,"PERFECT",IF(SUM('R1 Shortcut Gauntlet'!$G$8:$G$16)&gt;=90*0.5,"CLEARED",IF(SUM('R1 Shortcut Gauntlet'!$G$8:$G$16)&gt;0,"IN PROGRESS","NEW")))</f>
        <v>NEW</v>
      </c>
      <c r="F13" s="11" t="s">
        <v>530</v>
      </c>
    </row>
    <row r="14" spans="1:6">
      <c r="A14" s="7" t="s">
        <v>531</v>
      </c>
      <c r="B14" s="8" t="s">
        <v>532</v>
      </c>
      <c r="C14" s="9" cm="1" t="str">
        <f t="array" ref="C14">SUM('R2 Formula Gauntlet'!$G$7:$G$50)&amp;" / 400"</f>
        <v>0 / 400</v>
      </c>
      <c r="D14" s="10" cm="1" t="str">
        <f t="array" ref="D14">IF(SUM('R2 Formula Gauntlet'!$G$7:$G$50)&gt;=400,"★★★",IF(SUM('R2 Formula Gauntlet'!$G$7:$G$50)&gt;=400*0.8,"★★☆",IF(SUM('R2 Formula Gauntlet'!$G$7:$G$50)&gt;=400*0.5,"★☆☆","☆☆☆")))</f>
        <v>☆☆☆</v>
      </c>
      <c r="E14" s="9" cm="1" t="str">
        <f t="array" ref="E14">IF(SUM('R2 Formula Gauntlet'!$G$7:$G$50)&gt;=400,"PERFECT",IF(SUM('R2 Formula Gauntlet'!$G$7:$G$50)&gt;=400*0.5,"CLEARED",IF(SUM('R2 Formula Gauntlet'!$G$7:$G$50)&gt;0,"IN PROGRESS","NEW")))</f>
        <v>NEW</v>
      </c>
      <c r="F14" s="11" t="s">
        <v>533</v>
      </c>
    </row>
    <row r="15" spans="1:6">
      <c r="A15" s="7" t="s">
        <v>534</v>
      </c>
      <c r="B15" s="8" t="s">
        <v>535</v>
      </c>
      <c r="C15" s="9" cm="1" t="str">
        <f t="array" ref="C15">SUM('R3 Real-World Mission'!$G$8:$G$15)&amp;" / 80"</f>
        <v>0 / 80</v>
      </c>
      <c r="D15" s="10" cm="1" t="str">
        <f t="array" ref="D15">IF(SUM('R3 Real-World Mission'!$G$8:$G$15)&gt;=80,"★★★",IF(SUM('R3 Real-World Mission'!$G$8:$G$15)&gt;=80*0.8,"★★☆",IF(SUM('R3 Real-World Mission'!$G$8:$G$15)&gt;=80*0.5,"★☆☆","☆☆☆")))</f>
        <v>☆☆☆</v>
      </c>
      <c r="E15" s="9" cm="1" t="str">
        <f t="array" ref="E15">IF(SUM('R3 Real-World Mission'!$G$8:$G$15)&gt;=80,"PERFECT",IF(SUM('R3 Real-World Mission'!$G$8:$G$15)&gt;=80*0.5,"CLEARED",IF(SUM('R3 Real-World Mission'!$G$8:$G$15)&gt;0,"IN PROGRESS","NEW")))</f>
        <v>NEW</v>
      </c>
      <c r="F15" s="11" t="s">
        <v>536</v>
      </c>
    </row>
    <row r="17" spans="1:3">
      <c r="A17" s="7" t="s">
        <v>537</v>
      </c>
      <c r="B17" s="12" cm="1" t="str">
        <f t="array" ref="B17">(SUM('R1 Shortcut Gauntlet'!$G$8:$G$16)+SUM('R2 Formula Gauntlet'!$G$7:$G$50)+SUM('R3 Real-World Mission'!$G$8:$G$15))&amp;" / 570"</f>
        <v>0 / 570</v>
      </c>
    </row>
    <row r="18" spans="1:3">
      <c r="A18" s="7" t="s">
        <v>538</v>
      </c>
      <c r="B18" s="12" cm="1" t="str">
        <f t="array" ref="B18">_xlfn.LET(_xlpm.p,(SUM('R1 Shortcut Gauntlet'!$G$8:$G$16)+SUM('R2 Formula Gauntlet'!$G$7:$G$50)+SUM('R3 Real-World Mission'!$G$8:$G$15))/570,IF(AND(_xlpm.p&gt;=1,ISNUMBER(Start!$C$42),Start!$C$42&lt;=45),"S",IF(_xlpm.p&gt;=0.9,"A",IF(_xlpm.p&gt;=0.75,"B",IF(_xlpm.p&gt;=0.5,"C","D")))))</f>
        <v>D</v>
      </c>
      <c r="C18" s="13" t="s">
        <v>539</v>
      </c>
    </row>
    <row r="19" spans="1:3">
      <c r="A19" s="7" t="s">
        <v>540</v>
      </c>
      <c r="B19" s="12" cm="1" t="str">
        <f t="array" ref="B19">IF(ISNUMBER(Start!$C$42),Start!$C$42&amp;" min (par 45)","—")</f>
        <v>—</v>
      </c>
    </row>
    <row r="20" spans="1:3">
      <c r="A20" s="7" t="s">
        <v>541</v>
      </c>
      <c r="B20" s="12" cm="1" t="str">
        <f t="array" ref="B20">IFERROR(INDEX($A$13:$A$15,MATCH("☆☆☆",$D$13:$D$15,0))&amp;" "&amp;INDEX($B$13:$B$15,MATCH("☆☆☆",$D$13:$D$15,0)),"All clear! Aim for rank S")</f>
        <v>R1 Shortcut Gauntlet</v>
      </c>
    </row>
    <row r="22" spans="1:3">
      <c r="A22" s="13" t="s">
        <v>542</v>
      </c>
    </row>
    <row r="39" spans="1:6">
      <c r="A39" s="4" t="s">
        <v>543</v>
      </c>
      <c r="B39" s="4"/>
      <c r="C39" s="4"/>
      <c r="D39" s="4"/>
      <c r="E39" s="4"/>
      <c r="F39" s="4"/>
    </row>
    <row r="40" spans="1:6">
      <c r="B40" s="7" t="s">
        <v>544</v>
      </c>
      <c r="C40" s="14"/>
    </row>
    <row r="41" spans="1:6">
      <c r="B41" s="7" t="s">
        <v>545</v>
      </c>
      <c r="C41" s="14"/>
    </row>
    <row r="42" spans="1:6">
      <c r="B42" s="7" t="s">
        <v>546</v>
      </c>
      <c r="C42" s="15" cm="1" t="str">
        <f t="array" ref="C42">IF(OR(C40="",C41=""),"",ROUND(MOD(C41-C40,1)*1440,0))</f>
        <v/>
      </c>
    </row>
    <row r="43" spans="1:6">
      <c r="B43" s="7" t="s">
        <v>547</v>
      </c>
      <c r="C43" s="15">
        <v>45</v>
      </c>
    </row>
  </sheetData>
  <sheetProtection sheet="1" objects="1" scenarios="1" formatColumns="0" formatRows="0"/>
  <dataValidations count="2">
    <dataValidation allowBlank="1" showInputMessage="1" showErrorMessage="1" promptTitle="Stamp the time" prompt="Press Ctrl+Shift+: to type the time." sqref="C40"/>
    <dataValidation allowBlank="1" showInputMessage="1" showErrorMessage="1" promptTitle="Stamp the time" prompt="Press Ctrl+Shift+: to type the time." sqref="C41"/>
  </dataValidations>
  <hyperlinks>
    <hyperlink ref="F13" location="'R1 Shortcut Gauntlet'!A1" display="Go to R1 Shortcut Gauntlet"/>
    <hyperlink ref="F14" location="'R2 Formula Gauntlet'!A1" display="Go to R2 Formula Gauntlet"/>
    <hyperlink ref="F15" location="'R3 Real-World Mission'!A1" display="Go to R3 Real-World Mission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1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100</v>
      </c>
      <c r="B1" s="2"/>
      <c r="C1" s="2"/>
      <c r="D1" s="2"/>
      <c r="E1" s="2"/>
      <c r="F1" s="2"/>
      <c r="G1" s="2"/>
    </row>
    <row r="2" spans="1:7">
      <c r="A2" s="3" t="s">
        <v>101</v>
      </c>
    </row>
    <row r="3" spans="1:7" ht="26" customHeight="1">
      <c r="A3" s="16" cm="1" t="str">
        <f t="array" ref="A3">"SCORE "&amp;TEXT(SUM($G$8:$G$16),"0000")&amp;" / 0090"</f>
        <v>SCORE 0000 / 0090</v>
      </c>
      <c r="C3" s="17" cm="1" t="str">
        <f t="array" ref="C3">IF(SUM($G$8:$G$16)&gt;=90,"★★★",IF(SUM($G$8:$G$16)&gt;=90*0.8,"★★☆",IF(SUM($G$8:$G$16)&gt;=90*0.5,"★☆☆","☆☆☆")))</f>
        <v>☆☆☆</v>
      </c>
      <c r="D3" s="18" cm="1" t="str">
        <f t="array" ref="D3">REPT("█",ROUND(10*SUM($G$8:$G$16)/90,0))&amp;REPT("░",10-ROUND(10*SUM($G$8:$G$16)/90,0))&amp;"  "&amp;TEXT(SUM($G$8:$G$16)/90,"0%")</f>
        <v>░░░░░░░░░░  0%</v>
      </c>
      <c r="F3" s="19" cm="1" t="str">
        <f t="array" ref="F3">IF(SUM($G$8:$G$16)&gt;=90*0.5,"STAGE CLEAR! ▶ Next: R2 Formula Gauntlet","")</f>
        <v/>
      </c>
    </row>
    <row r="5" spans="1:7" ht="22" customHeight="1">
      <c r="A5" s="4" t="s">
        <v>51</v>
      </c>
      <c r="B5" s="4"/>
      <c r="C5" s="4"/>
      <c r="D5" s="4"/>
      <c r="E5" s="4"/>
      <c r="F5" s="4"/>
      <c r="G5" s="4"/>
    </row>
    <row r="6" spans="1:7">
      <c r="B6" s="11" t="s">
        <v>52</v>
      </c>
    </row>
    <row r="7" spans="1:7">
      <c r="A7" s="6" t="s">
        <v>53</v>
      </c>
      <c r="B7" s="6" t="s">
        <v>54</v>
      </c>
      <c r="C7" s="6" t="s">
        <v>55</v>
      </c>
      <c r="D7" s="6" t="s">
        <v>56</v>
      </c>
      <c r="E7" s="6" t="s">
        <v>57</v>
      </c>
      <c r="F7" s="6" t="s">
        <v>1</v>
      </c>
      <c r="G7" s="6" t="s">
        <v>58</v>
      </c>
    </row>
    <row r="8" spans="1:7" ht="35.5" customHeight="1">
      <c r="A8" s="20" t="s">
        <v>61</v>
      </c>
      <c r="B8" s="8" t="s">
        <v>62</v>
      </c>
      <c r="C8" s="21"/>
      <c r="D8" s="22" cm="1" t="str">
        <f t="array" ref="D8">IFERROR(_xlfn.LET(_xlpm.a,'R1 Shortcut Gauntlet'!$C$8,IF(TRIM(_xlpm.a&amp;"")="","",IF(SUBSTITUTE(SUBSTITUTE(UPPER(_xlpm.a&amp;"")," ",""),"$","")=Key!$C$2,"✔ CLEAR","✘ TRY AGAIN"))),"✘ TRY AGAIN")</f>
        <v/>
      </c>
      <c r="E8" s="23"/>
      <c r="F8" s="24" cm="1" t="str">
        <f t="array" ref="F8">IF(E8="Show hint",Key!$B$2,"")</f>
        <v/>
      </c>
      <c r="G8" s="25" cm="1">
        <f t="array" ref="G8">IF(LEFT(D8,1)="✔",IF(E8="Show hint",5,10),0)</f>
        <v>0</v>
      </c>
    </row>
    <row r="9" spans="1:7" ht="35.5" customHeight="1">
      <c r="A9" s="20" t="s">
        <v>65</v>
      </c>
      <c r="B9" s="8" t="s">
        <v>66</v>
      </c>
      <c r="C9" s="21"/>
      <c r="D9" s="22" cm="1" t="str">
        <f t="array" ref="D9">IFERROR(_xlfn.LET(_xlpm.a,'R1 Shortcut Gauntlet'!$C$9,IF(TRIM(_xlpm.a&amp;"")="","",IF(SUBSTITUTE(SUBSTITUTE(UPPER(_xlpm.a&amp;"")," ",""),"$","")=Key!$C$3,"✔ CLEAR","✘ TRY AGAIN"))),"✘ TRY AGAIN")</f>
        <v/>
      </c>
      <c r="E9" s="23"/>
      <c r="F9" s="24" cm="1" t="str">
        <f t="array" ref="F9">IF(E9="Show hint",Key!$B$3,"")</f>
        <v/>
      </c>
      <c r="G9" s="25" cm="1">
        <f t="array" ref="G9">IF(LEFT(D9,1)="✔",IF(E9="Show hint",5,10),0)</f>
        <v>0</v>
      </c>
    </row>
    <row r="10" spans="1:7" ht="35.5" customHeight="1">
      <c r="A10" s="20" t="s">
        <v>69</v>
      </c>
      <c r="B10" s="8" t="s">
        <v>70</v>
      </c>
      <c r="C10" s="21"/>
      <c r="D10" s="22" cm="1" t="str">
        <f t="array" ref="D10">IFERROR(_xlfn.LET(_xlpm.a,'R1 Shortcut Gauntlet'!$C$10,IF(TRIM(_xlpm.a&amp;"")="","",IF(SUBSTITUTE(SUBSTITUTE(UPPER(_xlpm.a&amp;"")," ",""),"$","")=Key!$C$4,"✔ CLEAR","✘ TRY AGAIN"))),"✘ TRY AGAIN")</f>
        <v/>
      </c>
      <c r="E10" s="23"/>
      <c r="F10" s="24" cm="1" t="str">
        <f t="array" ref="F10">IF(E10="Show hint",Key!$B$4,"")</f>
        <v/>
      </c>
      <c r="G10" s="25" cm="1">
        <f t="array" ref="G10">IF(LEFT(D10,1)="✔",IF(E10="Show hint",5,10),0)</f>
        <v>0</v>
      </c>
    </row>
    <row r="11" spans="1:7" ht="35.5" customHeight="1">
      <c r="A11" s="20" t="s">
        <v>73</v>
      </c>
      <c r="B11" s="8" t="s">
        <v>74</v>
      </c>
      <c r="C11" s="21"/>
      <c r="D11" s="22" cm="1" t="str">
        <f t="array" ref="D11">IFERROR(_xlfn.LET(_xlpm.a,'R1 Shortcut Gauntlet'!$C$11,IF(TRIM(_xlpm.a&amp;"")="","",IF(SUBSTITUTE(SUBSTITUTE(UPPER(_xlpm.a&amp;"")," ",""),"$","")=Key!$C$5,"✔ CLEAR","✘ TRY AGAIN"))),"✘ TRY AGAIN")</f>
        <v/>
      </c>
      <c r="E11" s="23"/>
      <c r="F11" s="24" cm="1" t="str">
        <f t="array" ref="F11">IF(E11="Show hint",Key!$B$5,"")</f>
        <v/>
      </c>
      <c r="G11" s="25" cm="1">
        <f t="array" ref="G11">IF(LEFT(D11,1)="✔",IF(E11="Show hint",5,10),0)</f>
        <v>0</v>
      </c>
    </row>
    <row r="12" spans="1:7" ht="19.75" customHeight="1">
      <c r="A12" s="20" t="s">
        <v>77</v>
      </c>
      <c r="B12" s="8" t="s">
        <v>78</v>
      </c>
      <c r="C12" s="11" t="s">
        <v>79</v>
      </c>
      <c r="D12" s="22" cm="1" t="str">
        <f t="array" ref="D12">IF(IFERROR(AND('R1 Arena'!$F$6="GO",'R1 Arena'!$F$7="GO",'R1 Arena'!$F$8="GO",'R1 Arena'!$F$9="GO",'R1 Arena'!$F$10="GO",'R1 Arena'!$F$11="GO",'R1 Arena'!$F$12="GO"),FALSE),"✔ CLEAR","· not yet")</f>
        <v>· not yet</v>
      </c>
      <c r="E12" s="23"/>
      <c r="F12" s="24" cm="1" t="str">
        <f t="array" ref="F12">IF(E12="Show hint",Key!$B$6,"")</f>
        <v/>
      </c>
      <c r="G12" s="25" cm="1">
        <f t="array" ref="G12">IF(LEFT(D12,1)="✔",IF(E12="Show hint",5,10),0)</f>
        <v>0</v>
      </c>
    </row>
    <row r="13" spans="1:7" ht="35.5" customHeight="1">
      <c r="A13" s="20" t="s">
        <v>82</v>
      </c>
      <c r="B13" s="8" t="s">
        <v>83</v>
      </c>
      <c r="C13" s="11" t="s">
        <v>84</v>
      </c>
      <c r="D13" s="22" cm="1" t="str">
        <f t="array" ref="D13">IF(IFERROR(EXACT('R1 Arena'!$F$15,"Excel"&amp;CHAR(10)&amp;"Arcade"),FALSE),"✔ CLEAR","· not yet")</f>
        <v>· not yet</v>
      </c>
      <c r="E13" s="23"/>
      <c r="F13" s="24" cm="1" t="str">
        <f t="array" ref="F13">IF(E13="Show hint",Key!$B$7,"")</f>
        <v/>
      </c>
      <c r="G13" s="25" cm="1">
        <f t="array" ref="G13">IF(LEFT(D13,1)="✔",IF(E13="Show hint",5,10),0)</f>
        <v>0</v>
      </c>
    </row>
    <row r="14" spans="1:7" ht="35.5" customHeight="1">
      <c r="A14" s="20" t="s">
        <v>87</v>
      </c>
      <c r="B14" s="8" t="s">
        <v>88</v>
      </c>
      <c r="C14" s="11" t="s">
        <v>89</v>
      </c>
      <c r="D14" s="22" cm="1" t="str">
        <f t="array" ref="D14">IF(IFERROR(AND(ISNUMBER('R1 Arena'!$F$17),NOT(_xlfn.ISFORMULA('R1 Arena'!$F$17)),'R1 Arena'!$F$17=INT('R1 Arena'!$F$17),'R1 Arena'!$F$17&gt;=DATE(2026,10,12),'R1 Arena'!$F$17&lt;=TODAY()),FALSE),"✔ CLEAR","· not yet")</f>
        <v>· not yet</v>
      </c>
      <c r="E14" s="23"/>
      <c r="F14" s="24" cm="1" t="str">
        <f t="array" ref="F14">IF(E14="Show hint",Key!$B$8,"")</f>
        <v/>
      </c>
      <c r="G14" s="25" cm="1">
        <f t="array" ref="G14">IF(LEFT(D14,1)="✔",IF(E14="Show hint",5,10),0)</f>
        <v>0</v>
      </c>
    </row>
    <row r="15" spans="1:7" ht="35.5" customHeight="1">
      <c r="A15" s="20" t="s">
        <v>92</v>
      </c>
      <c r="B15" s="8" t="s">
        <v>93</v>
      </c>
      <c r="C15" s="11" t="s">
        <v>94</v>
      </c>
      <c r="D15" s="22" cm="1" t="str">
        <f t="array" ref="D15">IF(IFERROR(AND(OR(CELL("format",'R1 Arena'!$H$6)="P0"),OR(CELL("format",'R1 Arena'!$H$7)="P0"),OR(CELL("format",'R1 Arena'!$H$8)="P0"),OR(CELL("format",'R1 Arena'!$H$9)="P0"),OR(CELL("format",'R1 Arena'!$H$10)="P0")),FALSE),"✔ CLEAR","· not yet · press F9")</f>
        <v>· not yet · press F9</v>
      </c>
      <c r="E15" s="23"/>
      <c r="F15" s="24" cm="1" t="str">
        <f t="array" ref="F15">IF(E15="Show hint",Key!$B$9,"")</f>
        <v/>
      </c>
      <c r="G15" s="25" cm="1">
        <f t="array" ref="G15">IF(LEFT(D15,1)="✔",IF(E15="Show hint",5,10),0)</f>
        <v>0</v>
      </c>
    </row>
    <row r="16" spans="1:7" ht="35.5" customHeight="1">
      <c r="A16" s="20" t="s">
        <v>97</v>
      </c>
      <c r="B16" s="8" t="s">
        <v>98</v>
      </c>
      <c r="C16" s="11" t="s">
        <v>99</v>
      </c>
      <c r="D16" s="22" cm="1" t="str">
        <f t="array" ref="D16">IF(IFERROR(AND(SUBTOTAL(103,'R1 Arena'!$C$811:$C$830)=4,SUMPRODUCT(SUBTOTAL(103,OFFSET('R1 Arena'!$C$811,ROW('R1 Arena'!$C$811:$C$830)-ROW('R1 Arena'!$C$811),0))*('R1 Arena'!$C$811:$C$830&lt;&gt;"North"))=0),FALSE),"✔ CLEAR","· not yet")</f>
        <v>· not yet</v>
      </c>
      <c r="E16" s="23"/>
      <c r="F16" s="24" cm="1" t="str">
        <f t="array" ref="F16">IF(E16="Show hint",Key!$B$10,"")</f>
        <v/>
      </c>
      <c r="G16" s="25" cm="1">
        <f t="array" ref="G16">IF(LEFT(D16,1)="✔",IF(E16="Show hint",5,10),0)</f>
        <v>0</v>
      </c>
    </row>
  </sheetData>
  <sheetProtection sheet="1" objects="1" scenarios="1" formatColumns="0" formatRows="0"/>
  <conditionalFormatting sqref="D8:D16">
    <cfRule type="expression" dxfId="0" priority="1">
      <formula>LEFT($D8,1)="✔"</formula>
    </cfRule>
    <cfRule type="expression" dxfId="1" priority="2">
      <formula>LEFT($D8,1)="✘"</formula>
    </cfRule>
    <cfRule type="expression" dxfId="2" priority="3">
      <formula>$D8="LOCKED"</formula>
    </cfRule>
  </conditionalFormatting>
  <dataValidations count="13">
    <dataValidation allowBlank="1" showInputMessage="1" showErrorMessage="1" promptTitle="Type what you found" prompt="Do the move in the arena, then type the word or number you found here." sqref="C8"/>
    <dataValidation type="list" allowBlank="1" showInputMessage="1" showErrorMessage="1" promptTitle="Need a hint?" prompt="Pick 'Show hint' (Alt+Down). This question then gives 5 XP instead of 10." sqref="E8">
      <formula1>"Show hint"</formula1>
    </dataValidation>
    <dataValidation allowBlank="1" showInputMessage="1" showErrorMessage="1" promptTitle="Type what you found" prompt="Do the move in the arena, then type the word or number you found here." sqref="C9"/>
    <dataValidation type="list" allowBlank="1" showInputMessage="1" showErrorMessage="1" promptTitle="Need a hint?" prompt="Pick 'Show hint' (Alt+Down). This question then gives 5 XP instead of 10." sqref="E9">
      <formula1>"Show hint"</formula1>
    </dataValidation>
    <dataValidation allowBlank="1" showInputMessage="1" showErrorMessage="1" promptTitle="Type what you found" prompt="Do the move in the arena, then type the word or number you found here." sqref="C10"/>
    <dataValidation type="list" allowBlank="1" showInputMessage="1" showErrorMessage="1" promptTitle="Need a hint?" prompt="Pick 'Show hint' (Alt+Down). This question then gives 5 XP instead of 10." sqref="E10">
      <formula1>"Show hint"</formula1>
    </dataValidation>
    <dataValidation allowBlank="1" showInputMessage="1" showErrorMessage="1" promptTitle="Type what you found" prompt="Do the move in the arena, then type the word or number you found here." sqref="C11"/>
    <dataValidation type="list" allowBlank="1" showInputMessage="1" showErrorMessage="1" promptTitle="Need a hint?" prompt="Pick 'Show hint' (Alt+Down). This question then gives 5 XP instead of 10." sqref="E11">
      <formula1>"Show hint"</formula1>
    </dataValidation>
    <dataValidation type="list" allowBlank="1" showInputMessage="1" showErrorMessage="1" promptTitle="Need a hint?" prompt="Pick 'Show hint' (Alt+Down). This question then gives 5 XP instead of 10." sqref="E12">
      <formula1>"Show hint"</formula1>
    </dataValidation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type="list" allowBlank="1" showInputMessage="1" showErrorMessage="1" promptTitle="Need a hint?" prompt="Pick 'Show hint' (Alt+Down). This question then gives 5 XP instead of 10." sqref="E16">
      <formula1>"Show hint"</formula1>
    </dataValidation>
  </dataValidations>
  <hyperlinks>
    <hyperlink ref="B6" location="'R1 Arena'!A1" display="▶ Open R1 Arena (or press Ctrl+PgDn)"/>
    <hyperlink ref="C12" location="'R1 Arena'!F6" tooltip="Go to R1 Arena, cell F6" display="▶ ARENA M5 (cell F6)"/>
    <hyperlink ref="C13" location="'R1 Arena'!F15" tooltip="Go to R1 Arena, cell F15" display="▶ ARENA M6 (cell F15)"/>
    <hyperlink ref="C14" location="'R1 Arena'!F17" tooltip="Go to R1 Arena, cell F17" display="▶ ARENA M7 (cell F17)"/>
    <hyperlink ref="C15" location="'R1 Arena'!H6" tooltip="Go to R1 Arena, cell H6" display="▶ ARENA M8 (cell H6)"/>
    <hyperlink ref="C16" location="'R1 Arena'!C810" tooltip="Go to R1 Arena, cell C810" display="▶ ARENA M9 (cell C810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31"/>
  <sheetViews>
    <sheetView workbookViewId="0"/>
  </sheetViews>
  <sheetFormatPr defaultRowHeight="15"/>
  <cols>
    <col min="1" max="1" width="14.7109375" customWidth="1"/>
    <col min="2" max="5" width="13.7109375" customWidth="1"/>
    <col min="6" max="6" width="16.7109375" customWidth="1"/>
    <col min="7" max="26" width="13.7109375" customWidth="1"/>
  </cols>
  <sheetData>
    <row r="1" spans="1:8">
      <c r="A1" s="1" t="s">
        <v>4</v>
      </c>
    </row>
    <row r="2" spans="1:8">
      <c r="A2" s="3" t="s">
        <v>5</v>
      </c>
    </row>
    <row r="3" spans="1:8">
      <c r="A3" s="26" t="s">
        <v>6</v>
      </c>
      <c r="B3" s="27" t="s">
        <v>7</v>
      </c>
      <c r="D3" s="11" t="s">
        <v>8</v>
      </c>
    </row>
    <row r="5" spans="1:8">
      <c r="B5" s="28" t="s">
        <v>9</v>
      </c>
      <c r="D5" s="28" t="s">
        <v>11</v>
      </c>
      <c r="F5" s="28" t="s">
        <v>13</v>
      </c>
      <c r="H5" s="28" t="s">
        <v>16</v>
      </c>
    </row>
    <row r="6" spans="1:8">
      <c r="B6" s="5">
        <v>1</v>
      </c>
      <c r="D6" s="5">
        <v>1</v>
      </c>
      <c r="F6" s="29"/>
      <c r="H6" s="5">
        <v>0.1</v>
      </c>
    </row>
    <row r="7" spans="1:8">
      <c r="B7" s="5">
        <v>2</v>
      </c>
      <c r="D7" s="5">
        <v>2</v>
      </c>
      <c r="F7" s="29"/>
      <c r="H7" s="5">
        <v>0.25</v>
      </c>
    </row>
    <row r="8" spans="1:8">
      <c r="B8" s="5">
        <v>3</v>
      </c>
      <c r="D8" s="5">
        <v>3</v>
      </c>
      <c r="F8" s="29"/>
      <c r="H8" s="5">
        <v>0.5</v>
      </c>
    </row>
    <row r="9" spans="1:8">
      <c r="B9" s="5">
        <v>4</v>
      </c>
      <c r="D9" s="5">
        <v>4</v>
      </c>
      <c r="F9" s="29"/>
      <c r="H9" s="5">
        <v>0.75</v>
      </c>
    </row>
    <row r="10" spans="1:8">
      <c r="B10" s="5">
        <v>5</v>
      </c>
      <c r="D10" s="5">
        <v>5</v>
      </c>
      <c r="F10" s="29"/>
      <c r="H10" s="5">
        <v>0.9</v>
      </c>
    </row>
    <row r="11" spans="1:8">
      <c r="B11" s="5">
        <v>6</v>
      </c>
      <c r="D11" s="5">
        <v>6</v>
      </c>
      <c r="F11" s="29"/>
    </row>
    <row r="12" spans="1:8">
      <c r="B12" s="5">
        <v>7</v>
      </c>
      <c r="D12" s="5">
        <v>7</v>
      </c>
      <c r="F12" s="29"/>
    </row>
    <row r="13" spans="1:8">
      <c r="B13" s="5">
        <v>8</v>
      </c>
      <c r="D13" s="5">
        <v>8</v>
      </c>
    </row>
    <row r="14" spans="1:8">
      <c r="B14" s="5">
        <v>9</v>
      </c>
      <c r="D14" s="5">
        <v>9</v>
      </c>
      <c r="F14" s="7" t="s">
        <v>14</v>
      </c>
    </row>
    <row r="15" spans="1:8">
      <c r="B15" s="5">
        <v>10</v>
      </c>
      <c r="D15" s="5">
        <v>10</v>
      </c>
      <c r="F15" s="29"/>
    </row>
    <row r="16" spans="1:8">
      <c r="B16" s="5">
        <v>11</v>
      </c>
      <c r="D16" s="5">
        <v>11</v>
      </c>
      <c r="F16" s="7" t="s">
        <v>15</v>
      </c>
    </row>
    <row r="17" spans="2:6">
      <c r="B17" s="5">
        <v>12</v>
      </c>
      <c r="D17" s="5">
        <v>12</v>
      </c>
      <c r="F17" s="30"/>
    </row>
    <row r="18" spans="2:6">
      <c r="B18" s="5">
        <v>13</v>
      </c>
      <c r="D18" s="5">
        <v>13</v>
      </c>
    </row>
    <row r="19" spans="2:6">
      <c r="B19" s="5">
        <v>14</v>
      </c>
      <c r="D19" s="5">
        <v>14</v>
      </c>
    </row>
    <row r="20" spans="2:6">
      <c r="B20" s="5">
        <v>15</v>
      </c>
      <c r="D20" s="5">
        <v>15</v>
      </c>
    </row>
    <row r="21" spans="2:6">
      <c r="B21" s="5">
        <v>16</v>
      </c>
      <c r="D21" s="5">
        <v>16</v>
      </c>
    </row>
    <row r="22" spans="2:6">
      <c r="B22" s="5">
        <v>17</v>
      </c>
      <c r="D22" s="5">
        <v>17</v>
      </c>
    </row>
    <row r="23" spans="2:6">
      <c r="B23" s="5">
        <v>18</v>
      </c>
      <c r="D23" s="5">
        <v>18</v>
      </c>
    </row>
    <row r="24" spans="2:6">
      <c r="B24" s="5">
        <v>19</v>
      </c>
      <c r="D24" s="5">
        <v>19</v>
      </c>
    </row>
    <row r="25" spans="2:6">
      <c r="B25" s="5">
        <v>20</v>
      </c>
      <c r="D25" s="5">
        <v>20</v>
      </c>
    </row>
    <row r="26" spans="2:6">
      <c r="B26" s="5">
        <v>21</v>
      </c>
      <c r="D26" s="5">
        <v>21</v>
      </c>
    </row>
    <row r="27" spans="2:6">
      <c r="B27" s="5">
        <v>22</v>
      </c>
      <c r="D27" s="5">
        <v>22</v>
      </c>
    </row>
    <row r="28" spans="2:6">
      <c r="B28" s="5">
        <v>23</v>
      </c>
      <c r="D28" s="5">
        <v>23</v>
      </c>
    </row>
    <row r="29" spans="2:6">
      <c r="B29" s="5">
        <v>24</v>
      </c>
      <c r="D29" s="5">
        <v>24</v>
      </c>
    </row>
    <row r="30" spans="2:6">
      <c r="B30" s="5">
        <v>25</v>
      </c>
      <c r="D30" s="5">
        <v>25</v>
      </c>
    </row>
    <row r="31" spans="2:6">
      <c r="B31" s="5">
        <v>26</v>
      </c>
    </row>
    <row r="32" spans="2:6">
      <c r="B32" s="5">
        <v>27</v>
      </c>
    </row>
    <row r="33" spans="2:2">
      <c r="B33" s="5">
        <v>28</v>
      </c>
    </row>
    <row r="34" spans="2:2">
      <c r="B34" s="5">
        <v>29</v>
      </c>
    </row>
    <row r="35" spans="2:2">
      <c r="B35" s="5">
        <v>30</v>
      </c>
    </row>
    <row r="36" spans="2:2">
      <c r="B36" s="5">
        <v>31</v>
      </c>
    </row>
    <row r="37" spans="2:2">
      <c r="B37" s="5">
        <v>32</v>
      </c>
    </row>
    <row r="38" spans="2:2">
      <c r="B38" s="5">
        <v>33</v>
      </c>
    </row>
    <row r="39" spans="2:2">
      <c r="B39" s="5">
        <v>34</v>
      </c>
    </row>
    <row r="40" spans="2:2">
      <c r="B40" s="5">
        <v>35</v>
      </c>
    </row>
    <row r="41" spans="2:2">
      <c r="B41" s="5">
        <v>36</v>
      </c>
    </row>
    <row r="42" spans="2:2">
      <c r="B42" s="5">
        <v>37</v>
      </c>
    </row>
    <row r="43" spans="2:2">
      <c r="B43" s="5">
        <v>38</v>
      </c>
    </row>
    <row r="44" spans="2:2">
      <c r="B44" s="5">
        <v>39</v>
      </c>
    </row>
    <row r="45" spans="2:2">
      <c r="B45" s="5">
        <v>40</v>
      </c>
    </row>
    <row r="46" spans="2:2">
      <c r="B46" s="5">
        <v>41</v>
      </c>
    </row>
    <row r="47" spans="2:2">
      <c r="B47" s="5">
        <v>42</v>
      </c>
    </row>
    <row r="48" spans="2:2">
      <c r="B48" s="5">
        <v>43</v>
      </c>
    </row>
    <row r="49" spans="2:4">
      <c r="B49" s="5">
        <v>44</v>
      </c>
    </row>
    <row r="50" spans="2:4">
      <c r="B50" s="5">
        <v>45</v>
      </c>
    </row>
    <row r="51" spans="2:4">
      <c r="B51" s="5">
        <v>46</v>
      </c>
    </row>
    <row r="52" spans="2:4">
      <c r="B52" s="5">
        <v>47</v>
      </c>
    </row>
    <row r="53" spans="2:4">
      <c r="B53" s="5">
        <v>48</v>
      </c>
    </row>
    <row r="54" spans="2:4">
      <c r="B54" s="5">
        <v>49</v>
      </c>
    </row>
    <row r="55" spans="2:4">
      <c r="B55" s="5">
        <v>50</v>
      </c>
    </row>
    <row r="56" spans="2:4">
      <c r="B56" s="5">
        <v>51</v>
      </c>
    </row>
    <row r="57" spans="2:4">
      <c r="B57" s="5">
        <v>52</v>
      </c>
    </row>
    <row r="58" spans="2:4">
      <c r="B58" s="5">
        <v>53</v>
      </c>
    </row>
    <row r="59" spans="2:4">
      <c r="B59" s="5">
        <v>54</v>
      </c>
    </row>
    <row r="60" spans="2:4">
      <c r="B60" s="5">
        <v>55</v>
      </c>
      <c r="D60" s="5">
        <v>26</v>
      </c>
    </row>
    <row r="61" spans="2:4">
      <c r="B61" s="5">
        <v>56</v>
      </c>
      <c r="D61" s="5">
        <v>27</v>
      </c>
    </row>
    <row r="62" spans="2:4">
      <c r="B62" s="5">
        <v>57</v>
      </c>
      <c r="D62" s="5">
        <v>28</v>
      </c>
    </row>
    <row r="63" spans="2:4">
      <c r="B63" s="5">
        <v>58</v>
      </c>
      <c r="D63" s="5">
        <v>29</v>
      </c>
    </row>
    <row r="64" spans="2:4">
      <c r="B64" s="5">
        <v>59</v>
      </c>
      <c r="D64" s="5">
        <v>30</v>
      </c>
    </row>
    <row r="65" spans="2:4">
      <c r="B65" s="5">
        <v>60</v>
      </c>
      <c r="D65" s="5">
        <v>31</v>
      </c>
    </row>
    <row r="66" spans="2:4">
      <c r="B66" s="5">
        <v>61</v>
      </c>
      <c r="D66" s="5">
        <v>32</v>
      </c>
    </row>
    <row r="67" spans="2:4">
      <c r="B67" s="5">
        <v>62</v>
      </c>
      <c r="D67" s="5">
        <v>33</v>
      </c>
    </row>
    <row r="68" spans="2:4">
      <c r="B68" s="5">
        <v>63</v>
      </c>
      <c r="D68" s="5">
        <v>34</v>
      </c>
    </row>
    <row r="69" spans="2:4">
      <c r="B69" s="5">
        <v>64</v>
      </c>
      <c r="D69" s="5">
        <v>35</v>
      </c>
    </row>
    <row r="70" spans="2:4">
      <c r="B70" s="5">
        <v>65</v>
      </c>
      <c r="D70" s="5">
        <v>36</v>
      </c>
    </row>
    <row r="71" spans="2:4">
      <c r="B71" s="5">
        <v>66</v>
      </c>
    </row>
    <row r="72" spans="2:4">
      <c r="B72" s="5">
        <v>67</v>
      </c>
    </row>
    <row r="73" spans="2:4">
      <c r="B73" s="5">
        <v>68</v>
      </c>
    </row>
    <row r="74" spans="2:4">
      <c r="B74" s="5">
        <v>69</v>
      </c>
    </row>
    <row r="75" spans="2:4">
      <c r="B75" s="5">
        <v>70</v>
      </c>
    </row>
    <row r="76" spans="2:4">
      <c r="B76" s="5">
        <v>71</v>
      </c>
    </row>
    <row r="77" spans="2:4">
      <c r="B77" s="5">
        <v>72</v>
      </c>
    </row>
    <row r="78" spans="2:4">
      <c r="B78" s="5">
        <v>73</v>
      </c>
    </row>
    <row r="79" spans="2:4">
      <c r="B79" s="5">
        <v>74</v>
      </c>
    </row>
    <row r="80" spans="2:4">
      <c r="B80" s="5">
        <v>75</v>
      </c>
    </row>
    <row r="81" spans="2:2">
      <c r="B81" s="5">
        <v>76</v>
      </c>
    </row>
    <row r="82" spans="2:2">
      <c r="B82" s="5">
        <v>77</v>
      </c>
    </row>
    <row r="83" spans="2:2">
      <c r="B83" s="5">
        <v>78</v>
      </c>
    </row>
    <row r="84" spans="2:2">
      <c r="B84" s="5">
        <v>79</v>
      </c>
    </row>
    <row r="85" spans="2:2">
      <c r="B85" s="5">
        <v>80</v>
      </c>
    </row>
    <row r="86" spans="2:2">
      <c r="B86" s="5">
        <v>81</v>
      </c>
    </row>
    <row r="87" spans="2:2">
      <c r="B87" s="5">
        <v>82</v>
      </c>
    </row>
    <row r="88" spans="2:2">
      <c r="B88" s="5">
        <v>83</v>
      </c>
    </row>
    <row r="89" spans="2:2">
      <c r="B89" s="5">
        <v>84</v>
      </c>
    </row>
    <row r="90" spans="2:2">
      <c r="B90" s="5">
        <v>85</v>
      </c>
    </row>
    <row r="91" spans="2:2">
      <c r="B91" s="5">
        <v>86</v>
      </c>
    </row>
    <row r="92" spans="2:2">
      <c r="B92" s="5">
        <v>87</v>
      </c>
    </row>
    <row r="93" spans="2:2">
      <c r="B93" s="5">
        <v>88</v>
      </c>
    </row>
    <row r="94" spans="2:2">
      <c r="B94" s="5">
        <v>89</v>
      </c>
    </row>
    <row r="95" spans="2:2">
      <c r="B95" s="5">
        <v>90</v>
      </c>
    </row>
    <row r="96" spans="2:2">
      <c r="B96" s="5">
        <v>91</v>
      </c>
    </row>
    <row r="97" spans="2:2">
      <c r="B97" s="5">
        <v>92</v>
      </c>
    </row>
    <row r="98" spans="2:2">
      <c r="B98" s="5">
        <v>93</v>
      </c>
    </row>
    <row r="99" spans="2:2">
      <c r="B99" s="5">
        <v>94</v>
      </c>
    </row>
    <row r="100" spans="2:2">
      <c r="B100" s="5">
        <v>95</v>
      </c>
    </row>
    <row r="101" spans="2:2">
      <c r="B101" s="5">
        <v>96</v>
      </c>
    </row>
    <row r="102" spans="2:2">
      <c r="B102" s="5">
        <v>97</v>
      </c>
    </row>
    <row r="103" spans="2:2">
      <c r="B103" s="5">
        <v>98</v>
      </c>
    </row>
    <row r="104" spans="2:2">
      <c r="B104" s="5">
        <v>99</v>
      </c>
    </row>
    <row r="105" spans="2:2">
      <c r="B105" s="5">
        <v>100</v>
      </c>
    </row>
    <row r="106" spans="2:2">
      <c r="B106" s="5">
        <v>101</v>
      </c>
    </row>
    <row r="107" spans="2:2">
      <c r="B107" s="5">
        <v>102</v>
      </c>
    </row>
    <row r="108" spans="2:2">
      <c r="B108" s="5">
        <v>103</v>
      </c>
    </row>
    <row r="109" spans="2:2">
      <c r="B109" s="5">
        <v>104</v>
      </c>
    </row>
    <row r="110" spans="2:2">
      <c r="B110" s="5">
        <v>105</v>
      </c>
    </row>
    <row r="111" spans="2:2">
      <c r="B111" s="5">
        <v>106</v>
      </c>
    </row>
    <row r="112" spans="2:2">
      <c r="B112" s="5">
        <v>107</v>
      </c>
    </row>
    <row r="113" spans="2:2">
      <c r="B113" s="5">
        <v>108</v>
      </c>
    </row>
    <row r="114" spans="2:2">
      <c r="B114" s="5">
        <v>109</v>
      </c>
    </row>
    <row r="115" spans="2:2">
      <c r="B115" s="5">
        <v>110</v>
      </c>
    </row>
    <row r="116" spans="2:2">
      <c r="B116" s="5">
        <v>111</v>
      </c>
    </row>
    <row r="117" spans="2:2">
      <c r="B117" s="5">
        <v>112</v>
      </c>
    </row>
    <row r="118" spans="2:2">
      <c r="B118" s="5">
        <v>113</v>
      </c>
    </row>
    <row r="119" spans="2:2">
      <c r="B119" s="5">
        <v>114</v>
      </c>
    </row>
    <row r="120" spans="2:2">
      <c r="B120" s="5">
        <v>115</v>
      </c>
    </row>
    <row r="121" spans="2:2">
      <c r="B121" s="5">
        <v>116</v>
      </c>
    </row>
    <row r="122" spans="2:2">
      <c r="B122" s="5">
        <v>117</v>
      </c>
    </row>
    <row r="123" spans="2:2">
      <c r="B123" s="5">
        <v>118</v>
      </c>
    </row>
    <row r="124" spans="2:2">
      <c r="B124" s="5">
        <v>119</v>
      </c>
    </row>
    <row r="125" spans="2:2">
      <c r="B125" s="5">
        <v>120</v>
      </c>
    </row>
    <row r="126" spans="2:2">
      <c r="B126" s="5">
        <v>121</v>
      </c>
    </row>
    <row r="127" spans="2:2">
      <c r="B127" s="5">
        <v>122</v>
      </c>
    </row>
    <row r="128" spans="2:2">
      <c r="B128" s="5">
        <v>123</v>
      </c>
    </row>
    <row r="129" spans="2:2">
      <c r="B129" s="5">
        <v>124</v>
      </c>
    </row>
    <row r="130" spans="2:2">
      <c r="B130" s="5">
        <v>125</v>
      </c>
    </row>
    <row r="131" spans="2:2">
      <c r="B131" s="5">
        <v>126</v>
      </c>
    </row>
    <row r="132" spans="2:2">
      <c r="B132" s="5">
        <v>127</v>
      </c>
    </row>
    <row r="133" spans="2:2">
      <c r="B133" s="5">
        <v>128</v>
      </c>
    </row>
    <row r="134" spans="2:2">
      <c r="B134" s="5">
        <v>129</v>
      </c>
    </row>
    <row r="135" spans="2:2">
      <c r="B135" s="5">
        <v>130</v>
      </c>
    </row>
    <row r="136" spans="2:2">
      <c r="B136" s="5">
        <v>131</v>
      </c>
    </row>
    <row r="137" spans="2:2">
      <c r="B137" s="5">
        <v>132</v>
      </c>
    </row>
    <row r="138" spans="2:2">
      <c r="B138" s="5">
        <v>133</v>
      </c>
    </row>
    <row r="139" spans="2:2">
      <c r="B139" s="5">
        <v>134</v>
      </c>
    </row>
    <row r="140" spans="2:2">
      <c r="B140" s="5">
        <v>135</v>
      </c>
    </row>
    <row r="141" spans="2:2">
      <c r="B141" s="5">
        <v>136</v>
      </c>
    </row>
    <row r="142" spans="2:2">
      <c r="B142" s="5">
        <v>137</v>
      </c>
    </row>
    <row r="143" spans="2:2">
      <c r="B143" s="5">
        <v>138</v>
      </c>
    </row>
    <row r="144" spans="2:2">
      <c r="B144" s="5">
        <v>139</v>
      </c>
    </row>
    <row r="145" spans="2:2">
      <c r="B145" s="5">
        <v>140</v>
      </c>
    </row>
    <row r="146" spans="2:2">
      <c r="B146" s="5">
        <v>141</v>
      </c>
    </row>
    <row r="147" spans="2:2">
      <c r="B147" s="5">
        <v>142</v>
      </c>
    </row>
    <row r="148" spans="2:2">
      <c r="B148" s="5">
        <v>143</v>
      </c>
    </row>
    <row r="149" spans="2:2">
      <c r="B149" s="5">
        <v>144</v>
      </c>
    </row>
    <row r="150" spans="2:2">
      <c r="B150" s="5">
        <v>145</v>
      </c>
    </row>
    <row r="151" spans="2:2">
      <c r="B151" s="5">
        <v>146</v>
      </c>
    </row>
    <row r="152" spans="2:2">
      <c r="B152" s="5">
        <v>147</v>
      </c>
    </row>
    <row r="153" spans="2:2">
      <c r="B153" s="5">
        <v>148</v>
      </c>
    </row>
    <row r="154" spans="2:2">
      <c r="B154" s="5">
        <v>149</v>
      </c>
    </row>
    <row r="155" spans="2:2">
      <c r="B155" s="5">
        <v>150</v>
      </c>
    </row>
    <row r="156" spans="2:2">
      <c r="B156" s="5">
        <v>151</v>
      </c>
    </row>
    <row r="157" spans="2:2">
      <c r="B157" s="5">
        <v>152</v>
      </c>
    </row>
    <row r="158" spans="2:2">
      <c r="B158" s="5">
        <v>153</v>
      </c>
    </row>
    <row r="159" spans="2:2">
      <c r="B159" s="5">
        <v>154</v>
      </c>
    </row>
    <row r="160" spans="2:2">
      <c r="B160" s="5">
        <v>155</v>
      </c>
    </row>
    <row r="161" spans="2:2">
      <c r="B161" s="5">
        <v>156</v>
      </c>
    </row>
    <row r="162" spans="2:2">
      <c r="B162" s="5">
        <v>157</v>
      </c>
    </row>
    <row r="163" spans="2:2">
      <c r="B163" s="5">
        <v>158</v>
      </c>
    </row>
    <row r="164" spans="2:2">
      <c r="B164" s="5">
        <v>159</v>
      </c>
    </row>
    <row r="165" spans="2:2">
      <c r="B165" s="5">
        <v>160</v>
      </c>
    </row>
    <row r="166" spans="2:2">
      <c r="B166" s="5">
        <v>161</v>
      </c>
    </row>
    <row r="167" spans="2:2">
      <c r="B167" s="5">
        <v>162</v>
      </c>
    </row>
    <row r="168" spans="2:2">
      <c r="B168" s="5">
        <v>163</v>
      </c>
    </row>
    <row r="169" spans="2:2">
      <c r="B169" s="5">
        <v>164</v>
      </c>
    </row>
    <row r="170" spans="2:2">
      <c r="B170" s="5">
        <v>165</v>
      </c>
    </row>
    <row r="171" spans="2:2">
      <c r="B171" s="5">
        <v>166</v>
      </c>
    </row>
    <row r="172" spans="2:2">
      <c r="B172" s="5">
        <v>167</v>
      </c>
    </row>
    <row r="173" spans="2:2">
      <c r="B173" s="5">
        <v>168</v>
      </c>
    </row>
    <row r="174" spans="2:2">
      <c r="B174" s="5">
        <v>169</v>
      </c>
    </row>
    <row r="175" spans="2:2">
      <c r="B175" s="5">
        <v>170</v>
      </c>
    </row>
    <row r="176" spans="2:2">
      <c r="B176" s="5">
        <v>171</v>
      </c>
    </row>
    <row r="177" spans="2:2">
      <c r="B177" s="5">
        <v>172</v>
      </c>
    </row>
    <row r="178" spans="2:2">
      <c r="B178" s="5">
        <v>173</v>
      </c>
    </row>
    <row r="179" spans="2:2">
      <c r="B179" s="5">
        <v>174</v>
      </c>
    </row>
    <row r="180" spans="2:2">
      <c r="B180" s="5">
        <v>175</v>
      </c>
    </row>
    <row r="181" spans="2:2">
      <c r="B181" s="5">
        <v>176</v>
      </c>
    </row>
    <row r="182" spans="2:2">
      <c r="B182" s="5">
        <v>177</v>
      </c>
    </row>
    <row r="183" spans="2:2">
      <c r="B183" s="5">
        <v>178</v>
      </c>
    </row>
    <row r="184" spans="2:2">
      <c r="B184" s="5">
        <v>179</v>
      </c>
    </row>
    <row r="185" spans="2:2">
      <c r="B185" s="5">
        <v>180</v>
      </c>
    </row>
    <row r="186" spans="2:2">
      <c r="B186" s="5">
        <v>181</v>
      </c>
    </row>
    <row r="187" spans="2:2">
      <c r="B187" s="5">
        <v>182</v>
      </c>
    </row>
    <row r="188" spans="2:2">
      <c r="B188" s="5">
        <v>183</v>
      </c>
    </row>
    <row r="189" spans="2:2">
      <c r="B189" s="5">
        <v>184</v>
      </c>
    </row>
    <row r="190" spans="2:2">
      <c r="B190" s="5">
        <v>185</v>
      </c>
    </row>
    <row r="191" spans="2:2">
      <c r="B191" s="5">
        <v>186</v>
      </c>
    </row>
    <row r="192" spans="2:2">
      <c r="B192" s="5">
        <v>187</v>
      </c>
    </row>
    <row r="193" spans="2:4">
      <c r="B193" s="5">
        <v>188</v>
      </c>
    </row>
    <row r="194" spans="2:4">
      <c r="B194" s="5">
        <v>189</v>
      </c>
    </row>
    <row r="195" spans="2:4">
      <c r="B195" s="5">
        <v>190</v>
      </c>
    </row>
    <row r="196" spans="2:4">
      <c r="B196" s="5">
        <v>191</v>
      </c>
    </row>
    <row r="197" spans="2:4">
      <c r="B197" s="5">
        <v>192</v>
      </c>
    </row>
    <row r="198" spans="2:4">
      <c r="B198" s="5">
        <v>193</v>
      </c>
    </row>
    <row r="199" spans="2:4">
      <c r="B199" s="5">
        <v>194</v>
      </c>
    </row>
    <row r="200" spans="2:4">
      <c r="B200" s="5">
        <v>195</v>
      </c>
      <c r="D200" s="5" t="s">
        <v>12</v>
      </c>
    </row>
    <row r="201" spans="2:4">
      <c r="B201" s="5">
        <v>196</v>
      </c>
    </row>
    <row r="202" spans="2:4">
      <c r="B202" s="5">
        <v>197</v>
      </c>
    </row>
    <row r="203" spans="2:4">
      <c r="B203" s="5">
        <v>198</v>
      </c>
    </row>
    <row r="204" spans="2:4">
      <c r="B204" s="5">
        <v>199</v>
      </c>
    </row>
    <row r="205" spans="2:4">
      <c r="B205" s="5">
        <v>200</v>
      </c>
    </row>
    <row r="206" spans="2:4">
      <c r="B206" s="5">
        <v>201</v>
      </c>
    </row>
    <row r="207" spans="2:4">
      <c r="B207" s="5">
        <v>202</v>
      </c>
    </row>
    <row r="208" spans="2:4">
      <c r="B208" s="5">
        <v>203</v>
      </c>
    </row>
    <row r="209" spans="2:2">
      <c r="B209" s="5">
        <v>204</v>
      </c>
    </row>
    <row r="210" spans="2:2">
      <c r="B210" s="5">
        <v>205</v>
      </c>
    </row>
    <row r="211" spans="2:2">
      <c r="B211" s="5">
        <v>206</v>
      </c>
    </row>
    <row r="212" spans="2:2">
      <c r="B212" s="5">
        <v>207</v>
      </c>
    </row>
    <row r="213" spans="2:2">
      <c r="B213" s="5">
        <v>208</v>
      </c>
    </row>
    <row r="214" spans="2:2">
      <c r="B214" s="5">
        <v>209</v>
      </c>
    </row>
    <row r="215" spans="2:2">
      <c r="B215" s="5">
        <v>210</v>
      </c>
    </row>
    <row r="216" spans="2:2">
      <c r="B216" s="5">
        <v>211</v>
      </c>
    </row>
    <row r="217" spans="2:2">
      <c r="B217" s="5">
        <v>212</v>
      </c>
    </row>
    <row r="218" spans="2:2">
      <c r="B218" s="5">
        <v>213</v>
      </c>
    </row>
    <row r="219" spans="2:2">
      <c r="B219" s="5">
        <v>214</v>
      </c>
    </row>
    <row r="220" spans="2:2">
      <c r="B220" s="5">
        <v>215</v>
      </c>
    </row>
    <row r="221" spans="2:2">
      <c r="B221" s="5">
        <v>216</v>
      </c>
    </row>
    <row r="222" spans="2:2">
      <c r="B222" s="5">
        <v>217</v>
      </c>
    </row>
    <row r="223" spans="2:2">
      <c r="B223" s="5">
        <v>218</v>
      </c>
    </row>
    <row r="224" spans="2:2">
      <c r="B224" s="5">
        <v>219</v>
      </c>
    </row>
    <row r="225" spans="2:2">
      <c r="B225" s="5">
        <v>220</v>
      </c>
    </row>
    <row r="226" spans="2:2">
      <c r="B226" s="5">
        <v>221</v>
      </c>
    </row>
    <row r="227" spans="2:2">
      <c r="B227" s="5">
        <v>222</v>
      </c>
    </row>
    <row r="228" spans="2:2">
      <c r="B228" s="5">
        <v>223</v>
      </c>
    </row>
    <row r="229" spans="2:2">
      <c r="B229" s="5">
        <v>224</v>
      </c>
    </row>
    <row r="230" spans="2:2">
      <c r="B230" s="5">
        <v>225</v>
      </c>
    </row>
    <row r="231" spans="2:2">
      <c r="B231" s="5">
        <v>226</v>
      </c>
    </row>
    <row r="232" spans="2:2">
      <c r="B232" s="5">
        <v>227</v>
      </c>
    </row>
    <row r="233" spans="2:2">
      <c r="B233" s="5">
        <v>228</v>
      </c>
    </row>
    <row r="234" spans="2:2">
      <c r="B234" s="5">
        <v>229</v>
      </c>
    </row>
    <row r="235" spans="2:2">
      <c r="B235" s="5">
        <v>230</v>
      </c>
    </row>
    <row r="236" spans="2:2">
      <c r="B236" s="5">
        <v>231</v>
      </c>
    </row>
    <row r="237" spans="2:2">
      <c r="B237" s="5">
        <v>232</v>
      </c>
    </row>
    <row r="238" spans="2:2">
      <c r="B238" s="5">
        <v>233</v>
      </c>
    </row>
    <row r="239" spans="2:2">
      <c r="B239" s="5">
        <v>234</v>
      </c>
    </row>
    <row r="240" spans="2:2">
      <c r="B240" s="5">
        <v>235</v>
      </c>
    </row>
    <row r="241" spans="2:2">
      <c r="B241" s="5">
        <v>236</v>
      </c>
    </row>
    <row r="242" spans="2:2">
      <c r="B242" s="5">
        <v>237</v>
      </c>
    </row>
    <row r="243" spans="2:2">
      <c r="B243" s="5">
        <v>238</v>
      </c>
    </row>
    <row r="244" spans="2:2">
      <c r="B244" s="5">
        <v>239</v>
      </c>
    </row>
    <row r="245" spans="2:2">
      <c r="B245" s="5">
        <v>240</v>
      </c>
    </row>
    <row r="246" spans="2:2">
      <c r="B246" s="5">
        <v>241</v>
      </c>
    </row>
    <row r="247" spans="2:2">
      <c r="B247" s="5">
        <v>242</v>
      </c>
    </row>
    <row r="248" spans="2:2">
      <c r="B248" s="5">
        <v>243</v>
      </c>
    </row>
    <row r="249" spans="2:2">
      <c r="B249" s="5">
        <v>244</v>
      </c>
    </row>
    <row r="250" spans="2:2">
      <c r="B250" s="5">
        <v>245</v>
      </c>
    </row>
    <row r="251" spans="2:2">
      <c r="B251" s="5">
        <v>246</v>
      </c>
    </row>
    <row r="252" spans="2:2">
      <c r="B252" s="5">
        <v>247</v>
      </c>
    </row>
    <row r="253" spans="2:2">
      <c r="B253" s="5">
        <v>248</v>
      </c>
    </row>
    <row r="254" spans="2:2">
      <c r="B254" s="5">
        <v>249</v>
      </c>
    </row>
    <row r="255" spans="2:2">
      <c r="B255" s="5">
        <v>250</v>
      </c>
    </row>
    <row r="256" spans="2:2">
      <c r="B256" s="5">
        <v>251</v>
      </c>
    </row>
    <row r="257" spans="2:2">
      <c r="B257" s="5">
        <v>252</v>
      </c>
    </row>
    <row r="258" spans="2:2">
      <c r="B258" s="5">
        <v>253</v>
      </c>
    </row>
    <row r="259" spans="2:2">
      <c r="B259" s="5">
        <v>254</v>
      </c>
    </row>
    <row r="260" spans="2:2">
      <c r="B260" s="5">
        <v>255</v>
      </c>
    </row>
    <row r="261" spans="2:2">
      <c r="B261" s="5">
        <v>256</v>
      </c>
    </row>
    <row r="262" spans="2:2">
      <c r="B262" s="5">
        <v>257</v>
      </c>
    </row>
    <row r="263" spans="2:2">
      <c r="B263" s="5">
        <v>258</v>
      </c>
    </row>
    <row r="264" spans="2:2">
      <c r="B264" s="5">
        <v>259</v>
      </c>
    </row>
    <row r="265" spans="2:2">
      <c r="B265" s="5">
        <v>260</v>
      </c>
    </row>
    <row r="266" spans="2:2">
      <c r="B266" s="5">
        <v>261</v>
      </c>
    </row>
    <row r="267" spans="2:2">
      <c r="B267" s="5">
        <v>262</v>
      </c>
    </row>
    <row r="268" spans="2:2">
      <c r="B268" s="5">
        <v>263</v>
      </c>
    </row>
    <row r="269" spans="2:2">
      <c r="B269" s="5">
        <v>264</v>
      </c>
    </row>
    <row r="270" spans="2:2">
      <c r="B270" s="5">
        <v>265</v>
      </c>
    </row>
    <row r="271" spans="2:2">
      <c r="B271" s="5">
        <v>266</v>
      </c>
    </row>
    <row r="272" spans="2:2">
      <c r="B272" s="5">
        <v>267</v>
      </c>
    </row>
    <row r="273" spans="2:2">
      <c r="B273" s="5">
        <v>268</v>
      </c>
    </row>
    <row r="274" spans="2:2">
      <c r="B274" s="5">
        <v>269</v>
      </c>
    </row>
    <row r="275" spans="2:2">
      <c r="B275" s="5">
        <v>270</v>
      </c>
    </row>
    <row r="276" spans="2:2">
      <c r="B276" s="5">
        <v>271</v>
      </c>
    </row>
    <row r="277" spans="2:2">
      <c r="B277" s="5">
        <v>272</v>
      </c>
    </row>
    <row r="278" spans="2:2">
      <c r="B278" s="5">
        <v>273</v>
      </c>
    </row>
    <row r="279" spans="2:2">
      <c r="B279" s="5">
        <v>274</v>
      </c>
    </row>
    <row r="280" spans="2:2">
      <c r="B280" s="5">
        <v>275</v>
      </c>
    </row>
    <row r="281" spans="2:2">
      <c r="B281" s="5">
        <v>276</v>
      </c>
    </row>
    <row r="282" spans="2:2">
      <c r="B282" s="5">
        <v>277</v>
      </c>
    </row>
    <row r="283" spans="2:2">
      <c r="B283" s="5">
        <v>278</v>
      </c>
    </row>
    <row r="284" spans="2:2">
      <c r="B284" s="5">
        <v>279</v>
      </c>
    </row>
    <row r="285" spans="2:2">
      <c r="B285" s="5">
        <v>280</v>
      </c>
    </row>
    <row r="286" spans="2:2">
      <c r="B286" s="5">
        <v>281</v>
      </c>
    </row>
    <row r="287" spans="2:2">
      <c r="B287" s="5">
        <v>282</v>
      </c>
    </row>
    <row r="288" spans="2:2">
      <c r="B288" s="5">
        <v>283</v>
      </c>
    </row>
    <row r="289" spans="2:2">
      <c r="B289" s="5">
        <v>284</v>
      </c>
    </row>
    <row r="290" spans="2:2">
      <c r="B290" s="5">
        <v>285</v>
      </c>
    </row>
    <row r="291" spans="2:2">
      <c r="B291" s="5">
        <v>286</v>
      </c>
    </row>
    <row r="292" spans="2:2">
      <c r="B292" s="5">
        <v>287</v>
      </c>
    </row>
    <row r="293" spans="2:2">
      <c r="B293" s="5">
        <v>288</v>
      </c>
    </row>
    <row r="294" spans="2:2">
      <c r="B294" s="5">
        <v>289</v>
      </c>
    </row>
    <row r="295" spans="2:2">
      <c r="B295" s="5">
        <v>290</v>
      </c>
    </row>
    <row r="296" spans="2:2">
      <c r="B296" s="5">
        <v>291</v>
      </c>
    </row>
    <row r="297" spans="2:2">
      <c r="B297" s="5">
        <v>292</v>
      </c>
    </row>
    <row r="298" spans="2:2">
      <c r="B298" s="5">
        <v>293</v>
      </c>
    </row>
    <row r="299" spans="2:2">
      <c r="B299" s="5">
        <v>294</v>
      </c>
    </row>
    <row r="300" spans="2:2">
      <c r="B300" s="5">
        <v>295</v>
      </c>
    </row>
    <row r="301" spans="2:2">
      <c r="B301" s="5">
        <v>296</v>
      </c>
    </row>
    <row r="302" spans="2:2">
      <c r="B302" s="5">
        <v>297</v>
      </c>
    </row>
    <row r="303" spans="2:2">
      <c r="B303" s="5">
        <v>298</v>
      </c>
    </row>
    <row r="304" spans="2:2">
      <c r="B304" s="5">
        <v>299</v>
      </c>
    </row>
    <row r="305" spans="2:2">
      <c r="B305" s="5">
        <v>300</v>
      </c>
    </row>
    <row r="306" spans="2:2">
      <c r="B306" s="5">
        <v>301</v>
      </c>
    </row>
    <row r="307" spans="2:2">
      <c r="B307" s="5">
        <v>302</v>
      </c>
    </row>
    <row r="308" spans="2:2">
      <c r="B308" s="5">
        <v>303</v>
      </c>
    </row>
    <row r="309" spans="2:2">
      <c r="B309" s="5">
        <v>304</v>
      </c>
    </row>
    <row r="310" spans="2:2">
      <c r="B310" s="5">
        <v>305</v>
      </c>
    </row>
    <row r="311" spans="2:2">
      <c r="B311" s="5">
        <v>306</v>
      </c>
    </row>
    <row r="312" spans="2:2">
      <c r="B312" s="5">
        <v>307</v>
      </c>
    </row>
    <row r="313" spans="2:2">
      <c r="B313" s="5">
        <v>308</v>
      </c>
    </row>
    <row r="314" spans="2:2">
      <c r="B314" s="5">
        <v>309</v>
      </c>
    </row>
    <row r="315" spans="2:2">
      <c r="B315" s="5">
        <v>310</v>
      </c>
    </row>
    <row r="316" spans="2:2">
      <c r="B316" s="5">
        <v>311</v>
      </c>
    </row>
    <row r="317" spans="2:2">
      <c r="B317" s="5">
        <v>312</v>
      </c>
    </row>
    <row r="318" spans="2:2">
      <c r="B318" s="5">
        <v>313</v>
      </c>
    </row>
    <row r="319" spans="2:2">
      <c r="B319" s="5">
        <v>314</v>
      </c>
    </row>
    <row r="320" spans="2:2">
      <c r="B320" s="5">
        <v>315</v>
      </c>
    </row>
    <row r="321" spans="2:2">
      <c r="B321" s="5">
        <v>316</v>
      </c>
    </row>
    <row r="322" spans="2:2">
      <c r="B322" s="5">
        <v>317</v>
      </c>
    </row>
    <row r="323" spans="2:2">
      <c r="B323" s="5">
        <v>318</v>
      </c>
    </row>
    <row r="324" spans="2:2">
      <c r="B324" s="5">
        <v>319</v>
      </c>
    </row>
    <row r="325" spans="2:2">
      <c r="B325" s="5">
        <v>320</v>
      </c>
    </row>
    <row r="326" spans="2:2">
      <c r="B326" s="5">
        <v>321</v>
      </c>
    </row>
    <row r="327" spans="2:2">
      <c r="B327" s="5">
        <v>322</v>
      </c>
    </row>
    <row r="328" spans="2:2">
      <c r="B328" s="5">
        <v>323</v>
      </c>
    </row>
    <row r="329" spans="2:2">
      <c r="B329" s="5">
        <v>324</v>
      </c>
    </row>
    <row r="330" spans="2:2">
      <c r="B330" s="5">
        <v>325</v>
      </c>
    </row>
    <row r="331" spans="2:2">
      <c r="B331" s="5">
        <v>326</v>
      </c>
    </row>
    <row r="332" spans="2:2">
      <c r="B332" s="5">
        <v>327</v>
      </c>
    </row>
    <row r="333" spans="2:2">
      <c r="B333" s="5">
        <v>328</v>
      </c>
    </row>
    <row r="334" spans="2:2">
      <c r="B334" s="5">
        <v>329</v>
      </c>
    </row>
    <row r="335" spans="2:2">
      <c r="B335" s="5">
        <v>330</v>
      </c>
    </row>
    <row r="336" spans="2:2">
      <c r="B336" s="5">
        <v>331</v>
      </c>
    </row>
    <row r="337" spans="2:2">
      <c r="B337" s="5">
        <v>332</v>
      </c>
    </row>
    <row r="338" spans="2:2">
      <c r="B338" s="5">
        <v>333</v>
      </c>
    </row>
    <row r="339" spans="2:2">
      <c r="B339" s="5">
        <v>334</v>
      </c>
    </row>
    <row r="340" spans="2:2">
      <c r="B340" s="5">
        <v>335</v>
      </c>
    </row>
    <row r="341" spans="2:2">
      <c r="B341" s="5">
        <v>336</v>
      </c>
    </row>
    <row r="342" spans="2:2">
      <c r="B342" s="5">
        <v>337</v>
      </c>
    </row>
    <row r="343" spans="2:2">
      <c r="B343" s="5">
        <v>338</v>
      </c>
    </row>
    <row r="344" spans="2:2">
      <c r="B344" s="5">
        <v>339</v>
      </c>
    </row>
    <row r="345" spans="2:2">
      <c r="B345" s="5">
        <v>340</v>
      </c>
    </row>
    <row r="346" spans="2:2">
      <c r="B346" s="5">
        <v>341</v>
      </c>
    </row>
    <row r="347" spans="2:2">
      <c r="B347" s="5">
        <v>342</v>
      </c>
    </row>
    <row r="348" spans="2:2">
      <c r="B348" s="5">
        <v>343</v>
      </c>
    </row>
    <row r="349" spans="2:2">
      <c r="B349" s="5">
        <v>344</v>
      </c>
    </row>
    <row r="350" spans="2:2">
      <c r="B350" s="5">
        <v>345</v>
      </c>
    </row>
    <row r="351" spans="2:2">
      <c r="B351" s="5">
        <v>346</v>
      </c>
    </row>
    <row r="352" spans="2:2">
      <c r="B352" s="5">
        <v>347</v>
      </c>
    </row>
    <row r="353" spans="2:2">
      <c r="B353" s="5">
        <v>348</v>
      </c>
    </row>
    <row r="354" spans="2:2">
      <c r="B354" s="5">
        <v>349</v>
      </c>
    </row>
    <row r="355" spans="2:2">
      <c r="B355" s="5">
        <v>350</v>
      </c>
    </row>
    <row r="356" spans="2:2">
      <c r="B356" s="5">
        <v>351</v>
      </c>
    </row>
    <row r="357" spans="2:2">
      <c r="B357" s="5">
        <v>352</v>
      </c>
    </row>
    <row r="358" spans="2:2">
      <c r="B358" s="5">
        <v>353</v>
      </c>
    </row>
    <row r="359" spans="2:2">
      <c r="B359" s="5">
        <v>354</v>
      </c>
    </row>
    <row r="360" spans="2:2">
      <c r="B360" s="5">
        <v>355</v>
      </c>
    </row>
    <row r="361" spans="2:2">
      <c r="B361" s="5">
        <v>356</v>
      </c>
    </row>
    <row r="362" spans="2:2">
      <c r="B362" s="5">
        <v>357</v>
      </c>
    </row>
    <row r="363" spans="2:2">
      <c r="B363" s="5">
        <v>358</v>
      </c>
    </row>
    <row r="364" spans="2:2">
      <c r="B364" s="5">
        <v>359</v>
      </c>
    </row>
    <row r="365" spans="2:2">
      <c r="B365" s="5">
        <v>360</v>
      </c>
    </row>
    <row r="366" spans="2:2">
      <c r="B366" s="5">
        <v>361</v>
      </c>
    </row>
    <row r="367" spans="2:2">
      <c r="B367" s="5">
        <v>362</v>
      </c>
    </row>
    <row r="368" spans="2:2">
      <c r="B368" s="5">
        <v>363</v>
      </c>
    </row>
    <row r="369" spans="2:2">
      <c r="B369" s="5">
        <v>364</v>
      </c>
    </row>
    <row r="370" spans="2:2">
      <c r="B370" s="5">
        <v>365</v>
      </c>
    </row>
    <row r="371" spans="2:2">
      <c r="B371" s="5">
        <v>366</v>
      </c>
    </row>
    <row r="372" spans="2:2">
      <c r="B372" s="5">
        <v>367</v>
      </c>
    </row>
    <row r="373" spans="2:2">
      <c r="B373" s="5">
        <v>368</v>
      </c>
    </row>
    <row r="374" spans="2:2">
      <c r="B374" s="5">
        <v>369</v>
      </c>
    </row>
    <row r="375" spans="2:2">
      <c r="B375" s="5">
        <v>370</v>
      </c>
    </row>
    <row r="376" spans="2:2">
      <c r="B376" s="5">
        <v>371</v>
      </c>
    </row>
    <row r="377" spans="2:2">
      <c r="B377" s="5">
        <v>372</v>
      </c>
    </row>
    <row r="378" spans="2:2">
      <c r="B378" s="5">
        <v>373</v>
      </c>
    </row>
    <row r="379" spans="2:2">
      <c r="B379" s="5">
        <v>374</v>
      </c>
    </row>
    <row r="380" spans="2:2">
      <c r="B380" s="5">
        <v>375</v>
      </c>
    </row>
    <row r="381" spans="2:2">
      <c r="B381" s="5">
        <v>376</v>
      </c>
    </row>
    <row r="382" spans="2:2">
      <c r="B382" s="5">
        <v>377</v>
      </c>
    </row>
    <row r="383" spans="2:2">
      <c r="B383" s="5">
        <v>378</v>
      </c>
    </row>
    <row r="384" spans="2:2">
      <c r="B384" s="5">
        <v>379</v>
      </c>
    </row>
    <row r="385" spans="2:2">
      <c r="B385" s="5">
        <v>380</v>
      </c>
    </row>
    <row r="386" spans="2:2">
      <c r="B386" s="5">
        <v>381</v>
      </c>
    </row>
    <row r="387" spans="2:2">
      <c r="B387" s="5">
        <v>382</v>
      </c>
    </row>
    <row r="388" spans="2:2">
      <c r="B388" s="5">
        <v>383</v>
      </c>
    </row>
    <row r="389" spans="2:2">
      <c r="B389" s="5">
        <v>384</v>
      </c>
    </row>
    <row r="390" spans="2:2">
      <c r="B390" s="5">
        <v>385</v>
      </c>
    </row>
    <row r="391" spans="2:2">
      <c r="B391" s="5">
        <v>386</v>
      </c>
    </row>
    <row r="392" spans="2:2">
      <c r="B392" s="5">
        <v>387</v>
      </c>
    </row>
    <row r="393" spans="2:2">
      <c r="B393" s="5">
        <v>388</v>
      </c>
    </row>
    <row r="394" spans="2:2">
      <c r="B394" s="5">
        <v>389</v>
      </c>
    </row>
    <row r="395" spans="2:2">
      <c r="B395" s="5">
        <v>390</v>
      </c>
    </row>
    <row r="396" spans="2:2">
      <c r="B396" s="5">
        <v>391</v>
      </c>
    </row>
    <row r="397" spans="2:2">
      <c r="B397" s="5">
        <v>392</v>
      </c>
    </row>
    <row r="398" spans="2:2">
      <c r="B398" s="5">
        <v>393</v>
      </c>
    </row>
    <row r="399" spans="2:2">
      <c r="B399" s="5">
        <v>394</v>
      </c>
    </row>
    <row r="400" spans="2:2">
      <c r="B400" s="5">
        <v>395</v>
      </c>
    </row>
    <row r="401" spans="2:2">
      <c r="B401" s="5">
        <v>396</v>
      </c>
    </row>
    <row r="402" spans="2:2">
      <c r="B402" s="5">
        <v>397</v>
      </c>
    </row>
    <row r="403" spans="2:2">
      <c r="B403" s="5">
        <v>398</v>
      </c>
    </row>
    <row r="404" spans="2:2">
      <c r="B404" s="5">
        <v>399</v>
      </c>
    </row>
    <row r="405" spans="2:2">
      <c r="B405" s="5">
        <v>400</v>
      </c>
    </row>
    <row r="406" spans="2:2">
      <c r="B406" s="5">
        <v>401</v>
      </c>
    </row>
    <row r="407" spans="2:2">
      <c r="B407" s="5">
        <v>402</v>
      </c>
    </row>
    <row r="408" spans="2:2">
      <c r="B408" s="5">
        <v>403</v>
      </c>
    </row>
    <row r="409" spans="2:2">
      <c r="B409" s="5">
        <v>404</v>
      </c>
    </row>
    <row r="410" spans="2:2">
      <c r="B410" s="5">
        <v>405</v>
      </c>
    </row>
    <row r="411" spans="2:2">
      <c r="B411" s="5">
        <v>406</v>
      </c>
    </row>
    <row r="412" spans="2:2">
      <c r="B412" s="5">
        <v>407</v>
      </c>
    </row>
    <row r="413" spans="2:2">
      <c r="B413" s="5">
        <v>408</v>
      </c>
    </row>
    <row r="414" spans="2:2">
      <c r="B414" s="5">
        <v>409</v>
      </c>
    </row>
    <row r="415" spans="2:2">
      <c r="B415" s="5">
        <v>410</v>
      </c>
    </row>
    <row r="416" spans="2:2">
      <c r="B416" s="5">
        <v>411</v>
      </c>
    </row>
    <row r="417" spans="2:2">
      <c r="B417" s="5">
        <v>412</v>
      </c>
    </row>
    <row r="418" spans="2:2">
      <c r="B418" s="5">
        <v>413</v>
      </c>
    </row>
    <row r="419" spans="2:2">
      <c r="B419" s="5">
        <v>414</v>
      </c>
    </row>
    <row r="420" spans="2:2">
      <c r="B420" s="5">
        <v>415</v>
      </c>
    </row>
    <row r="421" spans="2:2">
      <c r="B421" s="5">
        <v>416</v>
      </c>
    </row>
    <row r="422" spans="2:2">
      <c r="B422" s="5">
        <v>417</v>
      </c>
    </row>
    <row r="423" spans="2:2">
      <c r="B423" s="5">
        <v>418</v>
      </c>
    </row>
    <row r="424" spans="2:2">
      <c r="B424" s="5">
        <v>419</v>
      </c>
    </row>
    <row r="425" spans="2:2">
      <c r="B425" s="5">
        <v>420</v>
      </c>
    </row>
    <row r="426" spans="2:2">
      <c r="B426" s="5">
        <v>421</v>
      </c>
    </row>
    <row r="427" spans="2:2">
      <c r="B427" s="5">
        <v>422</v>
      </c>
    </row>
    <row r="428" spans="2:2">
      <c r="B428" s="5">
        <v>423</v>
      </c>
    </row>
    <row r="429" spans="2:2">
      <c r="B429" s="5">
        <v>424</v>
      </c>
    </row>
    <row r="430" spans="2:2">
      <c r="B430" s="5">
        <v>425</v>
      </c>
    </row>
    <row r="431" spans="2:2">
      <c r="B431" s="5">
        <v>426</v>
      </c>
    </row>
    <row r="432" spans="2:2">
      <c r="B432" s="5">
        <v>427</v>
      </c>
    </row>
    <row r="433" spans="2:2">
      <c r="B433" s="5">
        <v>428</v>
      </c>
    </row>
    <row r="434" spans="2:2">
      <c r="B434" s="5">
        <v>429</v>
      </c>
    </row>
    <row r="435" spans="2:2">
      <c r="B435" s="5">
        <v>430</v>
      </c>
    </row>
    <row r="436" spans="2:2">
      <c r="B436" s="5">
        <v>431</v>
      </c>
    </row>
    <row r="437" spans="2:2">
      <c r="B437" s="5">
        <v>432</v>
      </c>
    </row>
    <row r="438" spans="2:2">
      <c r="B438" s="5">
        <v>433</v>
      </c>
    </row>
    <row r="439" spans="2:2">
      <c r="B439" s="5">
        <v>434</v>
      </c>
    </row>
    <row r="440" spans="2:2">
      <c r="B440" s="5">
        <v>435</v>
      </c>
    </row>
    <row r="441" spans="2:2">
      <c r="B441" s="5">
        <v>436</v>
      </c>
    </row>
    <row r="442" spans="2:2">
      <c r="B442" s="5">
        <v>437</v>
      </c>
    </row>
    <row r="443" spans="2:2">
      <c r="B443" s="5">
        <v>438</v>
      </c>
    </row>
    <row r="444" spans="2:2">
      <c r="B444" s="5">
        <v>439</v>
      </c>
    </row>
    <row r="445" spans="2:2">
      <c r="B445" s="5">
        <v>440</v>
      </c>
    </row>
    <row r="446" spans="2:2">
      <c r="B446" s="5">
        <v>441</v>
      </c>
    </row>
    <row r="447" spans="2:2">
      <c r="B447" s="5">
        <v>442</v>
      </c>
    </row>
    <row r="448" spans="2:2">
      <c r="B448" s="5">
        <v>443</v>
      </c>
    </row>
    <row r="449" spans="2:2">
      <c r="B449" s="5">
        <v>444</v>
      </c>
    </row>
    <row r="450" spans="2:2">
      <c r="B450" s="5">
        <v>445</v>
      </c>
    </row>
    <row r="451" spans="2:2">
      <c r="B451" s="5">
        <v>446</v>
      </c>
    </row>
    <row r="452" spans="2:2">
      <c r="B452" s="5">
        <v>447</v>
      </c>
    </row>
    <row r="453" spans="2:2">
      <c r="B453" s="5">
        <v>448</v>
      </c>
    </row>
    <row r="454" spans="2:2">
      <c r="B454" s="5">
        <v>449</v>
      </c>
    </row>
    <row r="455" spans="2:2">
      <c r="B455" s="5">
        <v>450</v>
      </c>
    </row>
    <row r="456" spans="2:2">
      <c r="B456" s="5">
        <v>451</v>
      </c>
    </row>
    <row r="457" spans="2:2">
      <c r="B457" s="5">
        <v>452</v>
      </c>
    </row>
    <row r="458" spans="2:2">
      <c r="B458" s="5">
        <v>453</v>
      </c>
    </row>
    <row r="459" spans="2:2">
      <c r="B459" s="5">
        <v>454</v>
      </c>
    </row>
    <row r="460" spans="2:2">
      <c r="B460" s="5">
        <v>455</v>
      </c>
    </row>
    <row r="461" spans="2:2">
      <c r="B461" s="5">
        <v>456</v>
      </c>
    </row>
    <row r="462" spans="2:2">
      <c r="B462" s="5">
        <v>457</v>
      </c>
    </row>
    <row r="463" spans="2:2">
      <c r="B463" s="5">
        <v>458</v>
      </c>
    </row>
    <row r="464" spans="2:2">
      <c r="B464" s="5">
        <v>459</v>
      </c>
    </row>
    <row r="465" spans="2:2">
      <c r="B465" s="5">
        <v>460</v>
      </c>
    </row>
    <row r="466" spans="2:2">
      <c r="B466" s="5">
        <v>461</v>
      </c>
    </row>
    <row r="467" spans="2:2">
      <c r="B467" s="5">
        <v>462</v>
      </c>
    </row>
    <row r="468" spans="2:2">
      <c r="B468" s="5">
        <v>463</v>
      </c>
    </row>
    <row r="469" spans="2:2">
      <c r="B469" s="5">
        <v>464</v>
      </c>
    </row>
    <row r="470" spans="2:2">
      <c r="B470" s="5">
        <v>465</v>
      </c>
    </row>
    <row r="471" spans="2:2">
      <c r="B471" s="5">
        <v>466</v>
      </c>
    </row>
    <row r="472" spans="2:2">
      <c r="B472" s="5">
        <v>467</v>
      </c>
    </row>
    <row r="473" spans="2:2">
      <c r="B473" s="5">
        <v>468</v>
      </c>
    </row>
    <row r="474" spans="2:2">
      <c r="B474" s="5">
        <v>469</v>
      </c>
    </row>
    <row r="475" spans="2:2">
      <c r="B475" s="5">
        <v>470</v>
      </c>
    </row>
    <row r="476" spans="2:2">
      <c r="B476" s="5">
        <v>471</v>
      </c>
    </row>
    <row r="477" spans="2:2">
      <c r="B477" s="5">
        <v>472</v>
      </c>
    </row>
    <row r="478" spans="2:2">
      <c r="B478" s="5">
        <v>473</v>
      </c>
    </row>
    <row r="479" spans="2:2">
      <c r="B479" s="5">
        <v>474</v>
      </c>
    </row>
    <row r="480" spans="2:2">
      <c r="B480" s="5">
        <v>475</v>
      </c>
    </row>
    <row r="481" spans="2:2">
      <c r="B481" s="5">
        <v>476</v>
      </c>
    </row>
    <row r="482" spans="2:2">
      <c r="B482" s="5">
        <v>477</v>
      </c>
    </row>
    <row r="483" spans="2:2">
      <c r="B483" s="5">
        <v>478</v>
      </c>
    </row>
    <row r="484" spans="2:2">
      <c r="B484" s="5">
        <v>479</v>
      </c>
    </row>
    <row r="485" spans="2:2">
      <c r="B485" s="5">
        <v>480</v>
      </c>
    </row>
    <row r="486" spans="2:2">
      <c r="B486" s="5">
        <v>481</v>
      </c>
    </row>
    <row r="487" spans="2:2">
      <c r="B487" s="5">
        <v>482</v>
      </c>
    </row>
    <row r="488" spans="2:2">
      <c r="B488" s="5">
        <v>483</v>
      </c>
    </row>
    <row r="489" spans="2:2">
      <c r="B489" s="5">
        <v>484</v>
      </c>
    </row>
    <row r="490" spans="2:2">
      <c r="B490" s="5">
        <v>485</v>
      </c>
    </row>
    <row r="491" spans="2:2">
      <c r="B491" s="5">
        <v>486</v>
      </c>
    </row>
    <row r="492" spans="2:2">
      <c r="B492" s="5">
        <v>487</v>
      </c>
    </row>
    <row r="493" spans="2:2">
      <c r="B493" s="5">
        <v>488</v>
      </c>
    </row>
    <row r="494" spans="2:2">
      <c r="B494" s="5">
        <v>489</v>
      </c>
    </row>
    <row r="495" spans="2:2">
      <c r="B495" s="5">
        <v>490</v>
      </c>
    </row>
    <row r="496" spans="2:2">
      <c r="B496" s="5">
        <v>491</v>
      </c>
    </row>
    <row r="497" spans="2:8">
      <c r="B497" s="5">
        <v>492</v>
      </c>
    </row>
    <row r="498" spans="2:8">
      <c r="B498" s="5">
        <v>493</v>
      </c>
    </row>
    <row r="499" spans="2:8">
      <c r="B499" s="5">
        <v>494</v>
      </c>
    </row>
    <row r="500" spans="2:8">
      <c r="B500" s="5">
        <v>495</v>
      </c>
      <c r="H500" s="5" t="s">
        <v>17</v>
      </c>
    </row>
    <row r="501" spans="2:8">
      <c r="B501" s="5">
        <v>496</v>
      </c>
    </row>
    <row r="502" spans="2:8">
      <c r="B502" s="5">
        <v>497</v>
      </c>
    </row>
    <row r="503" spans="2:8">
      <c r="B503" s="5">
        <v>498</v>
      </c>
    </row>
    <row r="504" spans="2:8">
      <c r="B504" s="5">
        <v>499</v>
      </c>
    </row>
    <row r="505" spans="2:8">
      <c r="B505" s="5">
        <v>500</v>
      </c>
    </row>
    <row r="506" spans="2:8">
      <c r="B506" s="5">
        <v>501</v>
      </c>
    </row>
    <row r="507" spans="2:8">
      <c r="B507" s="5">
        <v>502</v>
      </c>
    </row>
    <row r="508" spans="2:8">
      <c r="B508" s="5">
        <v>503</v>
      </c>
    </row>
    <row r="509" spans="2:8">
      <c r="B509" s="5">
        <v>504</v>
      </c>
    </row>
    <row r="510" spans="2:8">
      <c r="B510" s="5">
        <v>505</v>
      </c>
    </row>
    <row r="511" spans="2:8">
      <c r="B511" s="5">
        <v>506</v>
      </c>
    </row>
    <row r="512" spans="2:8">
      <c r="B512" s="5">
        <v>507</v>
      </c>
    </row>
    <row r="513" spans="2:2">
      <c r="B513" s="5">
        <v>508</v>
      </c>
    </row>
    <row r="514" spans="2:2">
      <c r="B514" s="5">
        <v>509</v>
      </c>
    </row>
    <row r="515" spans="2:2">
      <c r="B515" s="5">
        <v>510</v>
      </c>
    </row>
    <row r="516" spans="2:2">
      <c r="B516" s="5">
        <v>511</v>
      </c>
    </row>
    <row r="517" spans="2:2">
      <c r="B517" s="5">
        <v>512</v>
      </c>
    </row>
    <row r="518" spans="2:2">
      <c r="B518" s="5">
        <v>513</v>
      </c>
    </row>
    <row r="519" spans="2:2">
      <c r="B519" s="5">
        <v>514</v>
      </c>
    </row>
    <row r="520" spans="2:2">
      <c r="B520" s="5">
        <v>515</v>
      </c>
    </row>
    <row r="521" spans="2:2">
      <c r="B521" s="5">
        <v>516</v>
      </c>
    </row>
    <row r="522" spans="2:2">
      <c r="B522" s="5">
        <v>517</v>
      </c>
    </row>
    <row r="523" spans="2:2">
      <c r="B523" s="5">
        <v>518</v>
      </c>
    </row>
    <row r="524" spans="2:2">
      <c r="B524" s="5">
        <v>519</v>
      </c>
    </row>
    <row r="525" spans="2:2">
      <c r="B525" s="5">
        <v>520</v>
      </c>
    </row>
    <row r="526" spans="2:2">
      <c r="B526" s="5">
        <v>521</v>
      </c>
    </row>
    <row r="527" spans="2:2">
      <c r="B527" s="5">
        <v>522</v>
      </c>
    </row>
    <row r="528" spans="2:2">
      <c r="B528" s="5">
        <v>523</v>
      </c>
    </row>
    <row r="529" spans="2:2">
      <c r="B529" s="5">
        <v>524</v>
      </c>
    </row>
    <row r="530" spans="2:2">
      <c r="B530" s="5">
        <v>525</v>
      </c>
    </row>
    <row r="531" spans="2:2">
      <c r="B531" s="5">
        <v>526</v>
      </c>
    </row>
    <row r="532" spans="2:2">
      <c r="B532" s="5">
        <v>527</v>
      </c>
    </row>
    <row r="533" spans="2:2">
      <c r="B533" s="5">
        <v>528</v>
      </c>
    </row>
    <row r="534" spans="2:2">
      <c r="B534" s="5">
        <v>529</v>
      </c>
    </row>
    <row r="535" spans="2:2">
      <c r="B535" s="5">
        <v>530</v>
      </c>
    </row>
    <row r="536" spans="2:2">
      <c r="B536" s="5">
        <v>531</v>
      </c>
    </row>
    <row r="537" spans="2:2">
      <c r="B537" s="5">
        <v>532</v>
      </c>
    </row>
    <row r="538" spans="2:2">
      <c r="B538" s="5">
        <v>533</v>
      </c>
    </row>
    <row r="539" spans="2:2">
      <c r="B539" s="5">
        <v>534</v>
      </c>
    </row>
    <row r="540" spans="2:2">
      <c r="B540" s="5">
        <v>535</v>
      </c>
    </row>
    <row r="541" spans="2:2">
      <c r="B541" s="5">
        <v>536</v>
      </c>
    </row>
    <row r="542" spans="2:2">
      <c r="B542" s="5">
        <v>537</v>
      </c>
    </row>
    <row r="543" spans="2:2">
      <c r="B543" s="5">
        <v>538</v>
      </c>
    </row>
    <row r="544" spans="2:2">
      <c r="B544" s="5">
        <v>539</v>
      </c>
    </row>
    <row r="545" spans="2:2">
      <c r="B545" s="5">
        <v>540</v>
      </c>
    </row>
    <row r="546" spans="2:2">
      <c r="B546" s="5">
        <v>541</v>
      </c>
    </row>
    <row r="547" spans="2:2">
      <c r="B547" s="5">
        <v>542</v>
      </c>
    </row>
    <row r="548" spans="2:2">
      <c r="B548" s="5">
        <v>543</v>
      </c>
    </row>
    <row r="549" spans="2:2">
      <c r="B549" s="5">
        <v>544</v>
      </c>
    </row>
    <row r="550" spans="2:2">
      <c r="B550" s="5">
        <v>545</v>
      </c>
    </row>
    <row r="551" spans="2:2">
      <c r="B551" s="5">
        <v>546</v>
      </c>
    </row>
    <row r="552" spans="2:2">
      <c r="B552" s="5">
        <v>547</v>
      </c>
    </row>
    <row r="553" spans="2:2">
      <c r="B553" s="5">
        <v>548</v>
      </c>
    </row>
    <row r="554" spans="2:2">
      <c r="B554" s="5">
        <v>549</v>
      </c>
    </row>
    <row r="555" spans="2:2">
      <c r="B555" s="5">
        <v>550</v>
      </c>
    </row>
    <row r="556" spans="2:2">
      <c r="B556" s="5">
        <v>551</v>
      </c>
    </row>
    <row r="557" spans="2:2">
      <c r="B557" s="5">
        <v>552</v>
      </c>
    </row>
    <row r="558" spans="2:2">
      <c r="B558" s="5">
        <v>553</v>
      </c>
    </row>
    <row r="559" spans="2:2">
      <c r="B559" s="5">
        <v>554</v>
      </c>
    </row>
    <row r="560" spans="2:2">
      <c r="B560" s="5">
        <v>555</v>
      </c>
    </row>
    <row r="561" spans="2:2">
      <c r="B561" s="5">
        <v>556</v>
      </c>
    </row>
    <row r="562" spans="2:2">
      <c r="B562" s="5">
        <v>557</v>
      </c>
    </row>
    <row r="563" spans="2:2">
      <c r="B563" s="5">
        <v>558</v>
      </c>
    </row>
    <row r="564" spans="2:2">
      <c r="B564" s="5">
        <v>559</v>
      </c>
    </row>
    <row r="565" spans="2:2">
      <c r="B565" s="5">
        <v>560</v>
      </c>
    </row>
    <row r="566" spans="2:2">
      <c r="B566" s="5">
        <v>561</v>
      </c>
    </row>
    <row r="567" spans="2:2">
      <c r="B567" s="5">
        <v>562</v>
      </c>
    </row>
    <row r="568" spans="2:2">
      <c r="B568" s="5">
        <v>563</v>
      </c>
    </row>
    <row r="569" spans="2:2">
      <c r="B569" s="5">
        <v>564</v>
      </c>
    </row>
    <row r="570" spans="2:2">
      <c r="B570" s="5">
        <v>565</v>
      </c>
    </row>
    <row r="571" spans="2:2">
      <c r="B571" s="5">
        <v>566</v>
      </c>
    </row>
    <row r="572" spans="2:2">
      <c r="B572" s="5">
        <v>567</v>
      </c>
    </row>
    <row r="573" spans="2:2">
      <c r="B573" s="5">
        <v>568</v>
      </c>
    </row>
    <row r="574" spans="2:2">
      <c r="B574" s="5">
        <v>569</v>
      </c>
    </row>
    <row r="575" spans="2:2">
      <c r="B575" s="5">
        <v>570</v>
      </c>
    </row>
    <row r="576" spans="2:2">
      <c r="B576" s="5">
        <v>571</v>
      </c>
    </row>
    <row r="577" spans="2:2">
      <c r="B577" s="5">
        <v>572</v>
      </c>
    </row>
    <row r="578" spans="2:2">
      <c r="B578" s="5">
        <v>573</v>
      </c>
    </row>
    <row r="579" spans="2:2">
      <c r="B579" s="5">
        <v>574</v>
      </c>
    </row>
    <row r="580" spans="2:2">
      <c r="B580" s="5">
        <v>575</v>
      </c>
    </row>
    <row r="581" spans="2:2">
      <c r="B581" s="5">
        <v>576</v>
      </c>
    </row>
    <row r="582" spans="2:2">
      <c r="B582" s="5">
        <v>577</v>
      </c>
    </row>
    <row r="583" spans="2:2">
      <c r="B583" s="5">
        <v>578</v>
      </c>
    </row>
    <row r="584" spans="2:2">
      <c r="B584" s="5">
        <v>579</v>
      </c>
    </row>
    <row r="585" spans="2:2">
      <c r="B585" s="5">
        <v>580</v>
      </c>
    </row>
    <row r="586" spans="2:2">
      <c r="B586" s="5">
        <v>581</v>
      </c>
    </row>
    <row r="587" spans="2:2">
      <c r="B587" s="5">
        <v>582</v>
      </c>
    </row>
    <row r="588" spans="2:2">
      <c r="B588" s="5">
        <v>583</v>
      </c>
    </row>
    <row r="589" spans="2:2">
      <c r="B589" s="5">
        <v>584</v>
      </c>
    </row>
    <row r="590" spans="2:2">
      <c r="B590" s="5">
        <v>585</v>
      </c>
    </row>
    <row r="591" spans="2:2">
      <c r="B591" s="5">
        <v>586</v>
      </c>
    </row>
    <row r="592" spans="2:2">
      <c r="B592" s="5">
        <v>587</v>
      </c>
    </row>
    <row r="593" spans="2:2">
      <c r="B593" s="5">
        <v>588</v>
      </c>
    </row>
    <row r="594" spans="2:2">
      <c r="B594" s="5">
        <v>589</v>
      </c>
    </row>
    <row r="595" spans="2:2">
      <c r="B595" s="5">
        <v>590</v>
      </c>
    </row>
    <row r="596" spans="2:2">
      <c r="B596" s="5">
        <v>591</v>
      </c>
    </row>
    <row r="597" spans="2:2">
      <c r="B597" s="5">
        <v>592</v>
      </c>
    </row>
    <row r="598" spans="2:2">
      <c r="B598" s="5">
        <v>593</v>
      </c>
    </row>
    <row r="599" spans="2:2">
      <c r="B599" s="5">
        <v>594</v>
      </c>
    </row>
    <row r="600" spans="2:2">
      <c r="B600" s="5">
        <v>595</v>
      </c>
    </row>
    <row r="601" spans="2:2">
      <c r="B601" s="5">
        <v>596</v>
      </c>
    </row>
    <row r="602" spans="2:2">
      <c r="B602" s="5">
        <v>597</v>
      </c>
    </row>
    <row r="603" spans="2:2">
      <c r="B603" s="5">
        <v>598</v>
      </c>
    </row>
    <row r="604" spans="2:2">
      <c r="B604" s="5">
        <v>599</v>
      </c>
    </row>
    <row r="605" spans="2:2">
      <c r="B605" s="5">
        <v>600</v>
      </c>
    </row>
    <row r="606" spans="2:2">
      <c r="B606" s="5">
        <v>601</v>
      </c>
    </row>
    <row r="607" spans="2:2">
      <c r="B607" s="5">
        <v>602</v>
      </c>
    </row>
    <row r="608" spans="2:2">
      <c r="B608" s="5">
        <v>603</v>
      </c>
    </row>
    <row r="609" spans="2:2">
      <c r="B609" s="5">
        <v>604</v>
      </c>
    </row>
    <row r="610" spans="2:2">
      <c r="B610" s="5">
        <v>605</v>
      </c>
    </row>
    <row r="611" spans="2:2">
      <c r="B611" s="5">
        <v>606</v>
      </c>
    </row>
    <row r="612" spans="2:2">
      <c r="B612" s="5">
        <v>607</v>
      </c>
    </row>
    <row r="613" spans="2:2">
      <c r="B613" s="5">
        <v>608</v>
      </c>
    </row>
    <row r="614" spans="2:2">
      <c r="B614" s="5">
        <v>609</v>
      </c>
    </row>
    <row r="615" spans="2:2">
      <c r="B615" s="5">
        <v>610</v>
      </c>
    </row>
    <row r="616" spans="2:2">
      <c r="B616" s="5">
        <v>611</v>
      </c>
    </row>
    <row r="617" spans="2:2">
      <c r="B617" s="5">
        <v>612</v>
      </c>
    </row>
    <row r="618" spans="2:2">
      <c r="B618" s="5">
        <v>613</v>
      </c>
    </row>
    <row r="619" spans="2:2">
      <c r="B619" s="5">
        <v>614</v>
      </c>
    </row>
    <row r="620" spans="2:2">
      <c r="B620" s="5">
        <v>615</v>
      </c>
    </row>
    <row r="621" spans="2:2">
      <c r="B621" s="5">
        <v>616</v>
      </c>
    </row>
    <row r="622" spans="2:2">
      <c r="B622" s="5">
        <v>617</v>
      </c>
    </row>
    <row r="623" spans="2:2">
      <c r="B623" s="5">
        <v>618</v>
      </c>
    </row>
    <row r="624" spans="2:2">
      <c r="B624" s="5">
        <v>619</v>
      </c>
    </row>
    <row r="625" spans="2:2">
      <c r="B625" s="5">
        <v>620</v>
      </c>
    </row>
    <row r="626" spans="2:2">
      <c r="B626" s="5">
        <v>621</v>
      </c>
    </row>
    <row r="627" spans="2:2">
      <c r="B627" s="5">
        <v>622</v>
      </c>
    </row>
    <row r="628" spans="2:2">
      <c r="B628" s="5">
        <v>623</v>
      </c>
    </row>
    <row r="629" spans="2:2">
      <c r="B629" s="5">
        <v>624</v>
      </c>
    </row>
    <row r="630" spans="2:2">
      <c r="B630" s="5">
        <v>625</v>
      </c>
    </row>
    <row r="631" spans="2:2">
      <c r="B631" s="5">
        <v>626</v>
      </c>
    </row>
    <row r="632" spans="2:2">
      <c r="B632" s="5">
        <v>627</v>
      </c>
    </row>
    <row r="633" spans="2:2">
      <c r="B633" s="5">
        <v>628</v>
      </c>
    </row>
    <row r="634" spans="2:2">
      <c r="B634" s="5">
        <v>629</v>
      </c>
    </row>
    <row r="635" spans="2:2">
      <c r="B635" s="5">
        <v>630</v>
      </c>
    </row>
    <row r="636" spans="2:2">
      <c r="B636" s="5">
        <v>631</v>
      </c>
    </row>
    <row r="637" spans="2:2">
      <c r="B637" s="5">
        <v>632</v>
      </c>
    </row>
    <row r="638" spans="2:2">
      <c r="B638" s="5">
        <v>633</v>
      </c>
    </row>
    <row r="639" spans="2:2">
      <c r="B639" s="5">
        <v>634</v>
      </c>
    </row>
    <row r="640" spans="2:2">
      <c r="B640" s="5">
        <v>635</v>
      </c>
    </row>
    <row r="641" spans="2:2">
      <c r="B641" s="5">
        <v>636</v>
      </c>
    </row>
    <row r="642" spans="2:2">
      <c r="B642" s="5">
        <v>637</v>
      </c>
    </row>
    <row r="643" spans="2:2">
      <c r="B643" s="5">
        <v>638</v>
      </c>
    </row>
    <row r="644" spans="2:2">
      <c r="B644" s="5">
        <v>639</v>
      </c>
    </row>
    <row r="645" spans="2:2">
      <c r="B645" s="5">
        <v>640</v>
      </c>
    </row>
    <row r="646" spans="2:2">
      <c r="B646" s="5">
        <v>641</v>
      </c>
    </row>
    <row r="647" spans="2:2">
      <c r="B647" s="5">
        <v>642</v>
      </c>
    </row>
    <row r="648" spans="2:2">
      <c r="B648" s="5">
        <v>643</v>
      </c>
    </row>
    <row r="649" spans="2:2">
      <c r="B649" s="5">
        <v>644</v>
      </c>
    </row>
    <row r="650" spans="2:2">
      <c r="B650" s="5">
        <v>645</v>
      </c>
    </row>
    <row r="651" spans="2:2">
      <c r="B651" s="5">
        <v>646</v>
      </c>
    </row>
    <row r="652" spans="2:2">
      <c r="B652" s="5">
        <v>647</v>
      </c>
    </row>
    <row r="653" spans="2:2">
      <c r="B653" s="5">
        <v>648</v>
      </c>
    </row>
    <row r="654" spans="2:2">
      <c r="B654" s="5">
        <v>649</v>
      </c>
    </row>
    <row r="655" spans="2:2">
      <c r="B655" s="5">
        <v>650</v>
      </c>
    </row>
    <row r="656" spans="2:2">
      <c r="B656" s="5">
        <v>651</v>
      </c>
    </row>
    <row r="657" spans="2:2">
      <c r="B657" s="5">
        <v>652</v>
      </c>
    </row>
    <row r="658" spans="2:2">
      <c r="B658" s="5">
        <v>653</v>
      </c>
    </row>
    <row r="659" spans="2:2">
      <c r="B659" s="5">
        <v>654</v>
      </c>
    </row>
    <row r="660" spans="2:2">
      <c r="B660" s="5">
        <v>655</v>
      </c>
    </row>
    <row r="661" spans="2:2">
      <c r="B661" s="5">
        <v>656</v>
      </c>
    </row>
    <row r="662" spans="2:2">
      <c r="B662" s="5">
        <v>657</v>
      </c>
    </row>
    <row r="663" spans="2:2">
      <c r="B663" s="5">
        <v>658</v>
      </c>
    </row>
    <row r="664" spans="2:2">
      <c r="B664" s="5">
        <v>659</v>
      </c>
    </row>
    <row r="665" spans="2:2">
      <c r="B665" s="5">
        <v>660</v>
      </c>
    </row>
    <row r="666" spans="2:2">
      <c r="B666" s="5">
        <v>661</v>
      </c>
    </row>
    <row r="667" spans="2:2">
      <c r="B667" s="5">
        <v>662</v>
      </c>
    </row>
    <row r="668" spans="2:2">
      <c r="B668" s="5">
        <v>663</v>
      </c>
    </row>
    <row r="669" spans="2:2">
      <c r="B669" s="5">
        <v>664</v>
      </c>
    </row>
    <row r="670" spans="2:2">
      <c r="B670" s="5">
        <v>665</v>
      </c>
    </row>
    <row r="671" spans="2:2">
      <c r="B671" s="5">
        <v>666</v>
      </c>
    </row>
    <row r="672" spans="2:2">
      <c r="B672" s="5">
        <v>667</v>
      </c>
    </row>
    <row r="673" spans="2:2">
      <c r="B673" s="5">
        <v>668</v>
      </c>
    </row>
    <row r="674" spans="2:2">
      <c r="B674" s="5">
        <v>669</v>
      </c>
    </row>
    <row r="675" spans="2:2">
      <c r="B675" s="5">
        <v>670</v>
      </c>
    </row>
    <row r="676" spans="2:2">
      <c r="B676" s="5">
        <v>671</v>
      </c>
    </row>
    <row r="677" spans="2:2">
      <c r="B677" s="5">
        <v>672</v>
      </c>
    </row>
    <row r="678" spans="2:2">
      <c r="B678" s="5">
        <v>673</v>
      </c>
    </row>
    <row r="679" spans="2:2">
      <c r="B679" s="5">
        <v>674</v>
      </c>
    </row>
    <row r="680" spans="2:2">
      <c r="B680" s="5">
        <v>675</v>
      </c>
    </row>
    <row r="681" spans="2:2">
      <c r="B681" s="5">
        <v>676</v>
      </c>
    </row>
    <row r="682" spans="2:2">
      <c r="B682" s="5">
        <v>677</v>
      </c>
    </row>
    <row r="683" spans="2:2">
      <c r="B683" s="5">
        <v>678</v>
      </c>
    </row>
    <row r="684" spans="2:2">
      <c r="B684" s="5">
        <v>679</v>
      </c>
    </row>
    <row r="685" spans="2:2">
      <c r="B685" s="5">
        <v>680</v>
      </c>
    </row>
    <row r="686" spans="2:2">
      <c r="B686" s="5">
        <v>681</v>
      </c>
    </row>
    <row r="687" spans="2:2">
      <c r="B687" s="5">
        <v>682</v>
      </c>
    </row>
    <row r="688" spans="2:2">
      <c r="B688" s="5">
        <v>683</v>
      </c>
    </row>
    <row r="689" spans="2:2">
      <c r="B689" s="5">
        <v>684</v>
      </c>
    </row>
    <row r="690" spans="2:2">
      <c r="B690" s="5">
        <v>685</v>
      </c>
    </row>
    <row r="691" spans="2:2">
      <c r="B691" s="5">
        <v>686</v>
      </c>
    </row>
    <row r="692" spans="2:2">
      <c r="B692" s="5">
        <v>687</v>
      </c>
    </row>
    <row r="693" spans="2:2">
      <c r="B693" s="5">
        <v>688</v>
      </c>
    </row>
    <row r="694" spans="2:2">
      <c r="B694" s="5">
        <v>689</v>
      </c>
    </row>
    <row r="695" spans="2:2">
      <c r="B695" s="5">
        <v>690</v>
      </c>
    </row>
    <row r="696" spans="2:2">
      <c r="B696" s="5">
        <v>691</v>
      </c>
    </row>
    <row r="697" spans="2:2">
      <c r="B697" s="5">
        <v>692</v>
      </c>
    </row>
    <row r="698" spans="2:2">
      <c r="B698" s="5">
        <v>693</v>
      </c>
    </row>
    <row r="699" spans="2:2">
      <c r="B699" s="5">
        <v>694</v>
      </c>
    </row>
    <row r="700" spans="2:2">
      <c r="B700" s="5">
        <v>695</v>
      </c>
    </row>
    <row r="701" spans="2:2">
      <c r="B701" s="5">
        <v>696</v>
      </c>
    </row>
    <row r="702" spans="2:2">
      <c r="B702" s="5">
        <v>697</v>
      </c>
    </row>
    <row r="703" spans="2:2">
      <c r="B703" s="5">
        <v>698</v>
      </c>
    </row>
    <row r="704" spans="2:2">
      <c r="B704" s="5">
        <v>699</v>
      </c>
    </row>
    <row r="705" spans="2:2">
      <c r="B705" s="5">
        <v>700</v>
      </c>
    </row>
    <row r="706" spans="2:2">
      <c r="B706" s="5">
        <v>701</v>
      </c>
    </row>
    <row r="707" spans="2:2">
      <c r="B707" s="5">
        <v>702</v>
      </c>
    </row>
    <row r="708" spans="2:2">
      <c r="B708" s="5">
        <v>703</v>
      </c>
    </row>
    <row r="709" spans="2:2">
      <c r="B709" s="5">
        <v>704</v>
      </c>
    </row>
    <row r="710" spans="2:2">
      <c r="B710" s="5">
        <v>705</v>
      </c>
    </row>
    <row r="711" spans="2:2">
      <c r="B711" s="5">
        <v>706</v>
      </c>
    </row>
    <row r="712" spans="2:2">
      <c r="B712" s="5">
        <v>707</v>
      </c>
    </row>
    <row r="713" spans="2:2">
      <c r="B713" s="5">
        <v>708</v>
      </c>
    </row>
    <row r="714" spans="2:2">
      <c r="B714" s="5">
        <v>709</v>
      </c>
    </row>
    <row r="715" spans="2:2">
      <c r="B715" s="5">
        <v>710</v>
      </c>
    </row>
    <row r="716" spans="2:2">
      <c r="B716" s="5">
        <v>711</v>
      </c>
    </row>
    <row r="717" spans="2:2">
      <c r="B717" s="5">
        <v>712</v>
      </c>
    </row>
    <row r="718" spans="2:2">
      <c r="B718" s="5">
        <v>713</v>
      </c>
    </row>
    <row r="719" spans="2:2">
      <c r="B719" s="5">
        <v>714</v>
      </c>
    </row>
    <row r="720" spans="2:2">
      <c r="B720" s="5">
        <v>715</v>
      </c>
    </row>
    <row r="721" spans="2:2">
      <c r="B721" s="5">
        <v>716</v>
      </c>
    </row>
    <row r="722" spans="2:2">
      <c r="B722" s="5">
        <v>717</v>
      </c>
    </row>
    <row r="723" spans="2:2">
      <c r="B723" s="5">
        <v>718</v>
      </c>
    </row>
    <row r="724" spans="2:2">
      <c r="B724" s="5">
        <v>719</v>
      </c>
    </row>
    <row r="725" spans="2:2">
      <c r="B725" s="5">
        <v>720</v>
      </c>
    </row>
    <row r="726" spans="2:2">
      <c r="B726" s="5">
        <v>721</v>
      </c>
    </row>
    <row r="727" spans="2:2">
      <c r="B727" s="5">
        <v>722</v>
      </c>
    </row>
    <row r="728" spans="2:2">
      <c r="B728" s="5">
        <v>723</v>
      </c>
    </row>
    <row r="729" spans="2:2">
      <c r="B729" s="5">
        <v>724</v>
      </c>
    </row>
    <row r="730" spans="2:2">
      <c r="B730" s="5">
        <v>725</v>
      </c>
    </row>
    <row r="731" spans="2:2">
      <c r="B731" s="5">
        <v>726</v>
      </c>
    </row>
    <row r="732" spans="2:2">
      <c r="B732" s="5">
        <v>727</v>
      </c>
    </row>
    <row r="733" spans="2:2">
      <c r="B733" s="5">
        <v>728</v>
      </c>
    </row>
    <row r="734" spans="2:2">
      <c r="B734" s="5">
        <v>729</v>
      </c>
    </row>
    <row r="735" spans="2:2">
      <c r="B735" s="5">
        <v>730</v>
      </c>
    </row>
    <row r="736" spans="2:2">
      <c r="B736" s="5">
        <v>731</v>
      </c>
    </row>
    <row r="737" spans="2:2">
      <c r="B737" s="5">
        <v>732</v>
      </c>
    </row>
    <row r="738" spans="2:2">
      <c r="B738" s="5">
        <v>733</v>
      </c>
    </row>
    <row r="739" spans="2:2">
      <c r="B739" s="5">
        <v>734</v>
      </c>
    </row>
    <row r="740" spans="2:2">
      <c r="B740" s="5">
        <v>735</v>
      </c>
    </row>
    <row r="741" spans="2:2">
      <c r="B741" s="5">
        <v>736</v>
      </c>
    </row>
    <row r="742" spans="2:2">
      <c r="B742" s="5">
        <v>737</v>
      </c>
    </row>
    <row r="743" spans="2:2">
      <c r="B743" s="5">
        <v>738</v>
      </c>
    </row>
    <row r="744" spans="2:2">
      <c r="B744" s="5">
        <v>739</v>
      </c>
    </row>
    <row r="745" spans="2:2">
      <c r="B745" s="5">
        <v>740</v>
      </c>
    </row>
    <row r="746" spans="2:2">
      <c r="B746" s="5">
        <v>741</v>
      </c>
    </row>
    <row r="747" spans="2:2">
      <c r="B747" s="5">
        <v>742</v>
      </c>
    </row>
    <row r="748" spans="2:2">
      <c r="B748" s="5">
        <v>743</v>
      </c>
    </row>
    <row r="749" spans="2:2">
      <c r="B749" s="5">
        <v>744</v>
      </c>
    </row>
    <row r="750" spans="2:2">
      <c r="B750" s="5">
        <v>745</v>
      </c>
    </row>
    <row r="751" spans="2:2">
      <c r="B751" s="5">
        <v>746</v>
      </c>
    </row>
    <row r="752" spans="2:2">
      <c r="B752" s="5">
        <v>747</v>
      </c>
    </row>
    <row r="753" spans="2:2">
      <c r="B753" s="5">
        <v>748</v>
      </c>
    </row>
    <row r="754" spans="2:2">
      <c r="B754" s="5">
        <v>749</v>
      </c>
    </row>
    <row r="755" spans="2:2">
      <c r="B755" s="5">
        <v>750</v>
      </c>
    </row>
    <row r="756" spans="2:2">
      <c r="B756" s="5">
        <v>751</v>
      </c>
    </row>
    <row r="757" spans="2:2">
      <c r="B757" s="5">
        <v>752</v>
      </c>
    </row>
    <row r="758" spans="2:2">
      <c r="B758" s="5">
        <v>753</v>
      </c>
    </row>
    <row r="759" spans="2:2">
      <c r="B759" s="5">
        <v>754</v>
      </c>
    </row>
    <row r="760" spans="2:2">
      <c r="B760" s="5">
        <v>755</v>
      </c>
    </row>
    <row r="761" spans="2:2">
      <c r="B761" s="5">
        <v>756</v>
      </c>
    </row>
    <row r="762" spans="2:2">
      <c r="B762" s="5">
        <v>757</v>
      </c>
    </row>
    <row r="763" spans="2:2">
      <c r="B763" s="5">
        <v>758</v>
      </c>
    </row>
    <row r="764" spans="2:2">
      <c r="B764" s="5">
        <v>759</v>
      </c>
    </row>
    <row r="765" spans="2:2">
      <c r="B765" s="5">
        <v>760</v>
      </c>
    </row>
    <row r="766" spans="2:2">
      <c r="B766" s="5">
        <v>761</v>
      </c>
    </row>
    <row r="767" spans="2:2">
      <c r="B767" s="5">
        <v>762</v>
      </c>
    </row>
    <row r="768" spans="2:2">
      <c r="B768" s="5">
        <v>763</v>
      </c>
    </row>
    <row r="769" spans="2:2">
      <c r="B769" s="5">
        <v>764</v>
      </c>
    </row>
    <row r="770" spans="2:2">
      <c r="B770" s="5">
        <v>765</v>
      </c>
    </row>
    <row r="771" spans="2:2">
      <c r="B771" s="5">
        <v>766</v>
      </c>
    </row>
    <row r="772" spans="2:2">
      <c r="B772" s="5">
        <v>767</v>
      </c>
    </row>
    <row r="773" spans="2:2">
      <c r="B773" s="5">
        <v>768</v>
      </c>
    </row>
    <row r="774" spans="2:2">
      <c r="B774" s="5">
        <v>769</v>
      </c>
    </row>
    <row r="775" spans="2:2">
      <c r="B775" s="5">
        <v>770</v>
      </c>
    </row>
    <row r="776" spans="2:2">
      <c r="B776" s="5">
        <v>771</v>
      </c>
    </row>
    <row r="777" spans="2:2">
      <c r="B777" s="5">
        <v>772</v>
      </c>
    </row>
    <row r="778" spans="2:2">
      <c r="B778" s="5">
        <v>773</v>
      </c>
    </row>
    <row r="779" spans="2:2">
      <c r="B779" s="5">
        <v>774</v>
      </c>
    </row>
    <row r="780" spans="2:2">
      <c r="B780" s="5">
        <v>775</v>
      </c>
    </row>
    <row r="781" spans="2:2">
      <c r="B781" s="5">
        <v>776</v>
      </c>
    </row>
    <row r="782" spans="2:2">
      <c r="B782" s="5">
        <v>777</v>
      </c>
    </row>
    <row r="783" spans="2:2">
      <c r="B783" s="5">
        <v>778</v>
      </c>
    </row>
    <row r="784" spans="2:2">
      <c r="B784" s="5">
        <v>779</v>
      </c>
    </row>
    <row r="785" spans="2:2">
      <c r="B785" s="5">
        <v>780</v>
      </c>
    </row>
    <row r="786" spans="2:2">
      <c r="B786" s="5">
        <v>781</v>
      </c>
    </row>
    <row r="787" spans="2:2">
      <c r="B787" s="5">
        <v>782</v>
      </c>
    </row>
    <row r="788" spans="2:2">
      <c r="B788" s="5">
        <v>783</v>
      </c>
    </row>
    <row r="789" spans="2:2">
      <c r="B789" s="5">
        <v>784</v>
      </c>
    </row>
    <row r="790" spans="2:2">
      <c r="B790" s="5">
        <v>785</v>
      </c>
    </row>
    <row r="791" spans="2:2">
      <c r="B791" s="5">
        <v>786</v>
      </c>
    </row>
    <row r="792" spans="2:2">
      <c r="B792" s="5">
        <v>787</v>
      </c>
    </row>
    <row r="793" spans="2:2">
      <c r="B793" s="5">
        <v>788</v>
      </c>
    </row>
    <row r="794" spans="2:2">
      <c r="B794" s="5">
        <v>789</v>
      </c>
    </row>
    <row r="795" spans="2:2">
      <c r="B795" s="5">
        <v>790</v>
      </c>
    </row>
    <row r="796" spans="2:2">
      <c r="B796" s="5">
        <v>791</v>
      </c>
    </row>
    <row r="797" spans="2:2">
      <c r="B797" s="5">
        <v>792</v>
      </c>
    </row>
    <row r="798" spans="2:2">
      <c r="B798" s="5">
        <v>793</v>
      </c>
    </row>
    <row r="799" spans="2:2">
      <c r="B799" s="5">
        <v>794</v>
      </c>
    </row>
    <row r="800" spans="2:2">
      <c r="B800" s="5">
        <v>795</v>
      </c>
    </row>
    <row r="801" spans="2:5">
      <c r="B801" s="5">
        <v>796</v>
      </c>
    </row>
    <row r="802" spans="2:5">
      <c r="B802" s="5">
        <v>797</v>
      </c>
    </row>
    <row r="803" spans="2:5">
      <c r="B803" s="5">
        <v>798</v>
      </c>
    </row>
    <row r="804" spans="2:5">
      <c r="B804" s="5">
        <v>799</v>
      </c>
    </row>
    <row r="805" spans="2:5">
      <c r="B805" s="5">
        <v>800</v>
      </c>
    </row>
    <row r="806" spans="2:5">
      <c r="B806" s="5" t="s">
        <v>10</v>
      </c>
    </row>
    <row r="810" spans="2:5">
      <c r="B810" s="28" t="s">
        <v>18</v>
      </c>
      <c r="C810" s="28" t="s">
        <v>19</v>
      </c>
      <c r="D810" s="28" t="s">
        <v>20</v>
      </c>
      <c r="E810" s="28" t="s">
        <v>21</v>
      </c>
    </row>
    <row r="811" spans="2:5">
      <c r="B811" s="5" t="s">
        <v>22</v>
      </c>
      <c r="C811" s="5" t="s">
        <v>23</v>
      </c>
      <c r="D811" s="5" t="s">
        <v>24</v>
      </c>
      <c r="E811" s="5">
        <v>40</v>
      </c>
    </row>
    <row r="812" spans="2:5">
      <c r="B812" s="5" t="s">
        <v>25</v>
      </c>
      <c r="C812" s="5" t="s">
        <v>26</v>
      </c>
      <c r="D812" s="5" t="s">
        <v>27</v>
      </c>
      <c r="E812" s="5">
        <v>15</v>
      </c>
    </row>
    <row r="813" spans="2:5">
      <c r="B813" s="5" t="s">
        <v>28</v>
      </c>
      <c r="C813" s="5" t="s">
        <v>29</v>
      </c>
      <c r="D813" s="5" t="s">
        <v>30</v>
      </c>
      <c r="E813" s="5">
        <v>55</v>
      </c>
    </row>
    <row r="814" spans="2:5">
      <c r="B814" s="5" t="s">
        <v>31</v>
      </c>
      <c r="C814" s="5" t="s">
        <v>23</v>
      </c>
      <c r="D814" s="5" t="s">
        <v>24</v>
      </c>
      <c r="E814" s="5">
        <v>20</v>
      </c>
    </row>
    <row r="815" spans="2:5">
      <c r="B815" s="5" t="s">
        <v>32</v>
      </c>
      <c r="C815" s="5" t="s">
        <v>33</v>
      </c>
      <c r="D815" s="5" t="s">
        <v>34</v>
      </c>
      <c r="E815" s="5">
        <v>60</v>
      </c>
    </row>
    <row r="816" spans="2:5">
      <c r="B816" s="5" t="s">
        <v>35</v>
      </c>
      <c r="C816" s="5" t="s">
        <v>26</v>
      </c>
      <c r="D816" s="5" t="s">
        <v>27</v>
      </c>
      <c r="E816" s="5">
        <v>35</v>
      </c>
    </row>
    <row r="817" spans="2:10">
      <c r="B817" s="5" t="s">
        <v>36</v>
      </c>
      <c r="C817" s="5" t="s">
        <v>23</v>
      </c>
      <c r="D817" s="5" t="s">
        <v>30</v>
      </c>
      <c r="E817" s="5">
        <v>25</v>
      </c>
    </row>
    <row r="818" spans="2:10">
      <c r="B818" s="5" t="s">
        <v>37</v>
      </c>
      <c r="C818" s="5" t="s">
        <v>29</v>
      </c>
      <c r="D818" s="5" t="s">
        <v>34</v>
      </c>
      <c r="E818" s="5">
        <v>45</v>
      </c>
    </row>
    <row r="819" spans="2:10">
      <c r="B819" s="5" t="s">
        <v>38</v>
      </c>
      <c r="C819" s="5" t="s">
        <v>26</v>
      </c>
      <c r="D819" s="5" t="s">
        <v>24</v>
      </c>
      <c r="E819" s="5">
        <v>10</v>
      </c>
    </row>
    <row r="820" spans="2:10">
      <c r="B820" s="5" t="s">
        <v>39</v>
      </c>
      <c r="C820" s="5" t="s">
        <v>23</v>
      </c>
      <c r="D820" s="5" t="s">
        <v>27</v>
      </c>
      <c r="E820" s="5">
        <v>70</v>
      </c>
    </row>
    <row r="821" spans="2:10">
      <c r="B821" s="5" t="s">
        <v>40</v>
      </c>
      <c r="C821" s="5" t="s">
        <v>33</v>
      </c>
      <c r="D821" s="5" t="s">
        <v>30</v>
      </c>
      <c r="E821" s="5">
        <v>30</v>
      </c>
    </row>
    <row r="822" spans="2:10">
      <c r="B822" s="5" t="s">
        <v>41</v>
      </c>
      <c r="C822" s="5" t="s">
        <v>29</v>
      </c>
      <c r="D822" s="5" t="s">
        <v>24</v>
      </c>
      <c r="E822" s="5">
        <v>50</v>
      </c>
    </row>
    <row r="823" spans="2:10">
      <c r="B823" s="5" t="s">
        <v>42</v>
      </c>
      <c r="C823" s="5" t="s">
        <v>23</v>
      </c>
      <c r="D823" s="5" t="s">
        <v>34</v>
      </c>
      <c r="E823" s="5">
        <v>65</v>
      </c>
    </row>
    <row r="824" spans="2:10">
      <c r="B824" s="5" t="s">
        <v>43</v>
      </c>
      <c r="C824" s="5" t="s">
        <v>26</v>
      </c>
      <c r="D824" s="5" t="s">
        <v>30</v>
      </c>
      <c r="E824" s="5">
        <v>20</v>
      </c>
    </row>
    <row r="825" spans="2:10">
      <c r="B825" s="5" t="s">
        <v>44</v>
      </c>
      <c r="C825" s="5" t="s">
        <v>33</v>
      </c>
      <c r="D825" s="5" t="s">
        <v>27</v>
      </c>
      <c r="E825" s="5">
        <v>15</v>
      </c>
    </row>
    <row r="826" spans="2:10">
      <c r="B826" s="5" t="s">
        <v>45</v>
      </c>
      <c r="C826" s="5" t="s">
        <v>23</v>
      </c>
      <c r="D826" s="5" t="s">
        <v>24</v>
      </c>
      <c r="E826" s="5">
        <v>50</v>
      </c>
    </row>
    <row r="827" spans="2:10">
      <c r="B827" s="5" t="s">
        <v>46</v>
      </c>
      <c r="C827" s="5" t="s">
        <v>29</v>
      </c>
      <c r="D827" s="5" t="s">
        <v>27</v>
      </c>
      <c r="E827" s="5">
        <v>25</v>
      </c>
    </row>
    <row r="828" spans="2:10">
      <c r="B828" s="5" t="s">
        <v>47</v>
      </c>
      <c r="C828" s="5" t="s">
        <v>26</v>
      </c>
      <c r="D828" s="5" t="s">
        <v>34</v>
      </c>
      <c r="E828" s="5">
        <v>40</v>
      </c>
    </row>
    <row r="829" spans="2:10">
      <c r="B829" s="5" t="s">
        <v>48</v>
      </c>
      <c r="C829" s="5" t="s">
        <v>33</v>
      </c>
      <c r="D829" s="5" t="s">
        <v>24</v>
      </c>
      <c r="E829" s="5">
        <v>35</v>
      </c>
    </row>
    <row r="830" spans="2:10">
      <c r="B830" s="5" t="s">
        <v>49</v>
      </c>
      <c r="C830" s="5" t="s">
        <v>23</v>
      </c>
      <c r="D830" s="5" t="s">
        <v>30</v>
      </c>
      <c r="E830" s="5">
        <v>55</v>
      </c>
    </row>
    <row r="831" spans="2:10">
      <c r="J831" s="5" t="s">
        <v>50</v>
      </c>
    </row>
  </sheetData>
  <hyperlinks>
    <hyperlink ref="D3" location="'R1 Shortcut Gauntlet'!A1" display="◀ Back to R1 Shortcut Gauntle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5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437</v>
      </c>
      <c r="B1" s="2"/>
      <c r="C1" s="2"/>
      <c r="D1" s="2"/>
      <c r="E1" s="2"/>
      <c r="F1" s="2"/>
      <c r="G1" s="2"/>
    </row>
    <row r="2" spans="1:7">
      <c r="A2" s="3" t="s">
        <v>438</v>
      </c>
    </row>
    <row r="3" spans="1:7" ht="26" customHeight="1">
      <c r="A3" s="16" cm="1" t="str">
        <f t="array" ref="A3">"SCORE "&amp;TEXT(SUM($G$7:$G$50),"0000")&amp;" / 0400"</f>
        <v>SCORE 0000 / 0400</v>
      </c>
      <c r="C3" s="17" cm="1" t="str">
        <f t="array" ref="C3">IF(SUM($G$7:$G$50)&gt;=400,"★★★",IF(SUM($G$7:$G$50)&gt;=400*0.8,"★★☆",IF(SUM($G$7:$G$50)&gt;=400*0.5,"★☆☆","☆☆☆")))</f>
        <v>☆☆☆</v>
      </c>
      <c r="D3" s="18" cm="1" t="str">
        <f t="array" ref="D3">REPT("█",ROUND(10*SUM($G$7:$G$50)/400,0))&amp;REPT("░",10-ROUND(10*SUM($G$7:$G$50)/400,0))&amp;"  "&amp;TEXT(SUM($G$7:$G$50)/400,"0%")</f>
        <v>░░░░░░░░░░  0%</v>
      </c>
      <c r="F3" s="19" cm="1" t="str">
        <f t="array" ref="F3">IF(SUM($G$7:$G$50)&gt;=400*0.5,"STAGE CLEAR! ▶ Next: R3 Real-World Mission","")</f>
        <v/>
      </c>
    </row>
    <row r="5" spans="1:7" ht="22" customHeight="1">
      <c r="A5" s="4" t="s">
        <v>124</v>
      </c>
      <c r="B5" s="4"/>
      <c r="C5" s="4"/>
      <c r="D5" s="4"/>
      <c r="E5" s="4"/>
      <c r="F5" s="4"/>
      <c r="G5" s="4"/>
    </row>
    <row r="6" spans="1:7">
      <c r="A6" s="6" t="s">
        <v>53</v>
      </c>
      <c r="B6" s="6" t="s">
        <v>54</v>
      </c>
      <c r="C6" s="6" t="s">
        <v>55</v>
      </c>
      <c r="D6" s="6" t="s">
        <v>56</v>
      </c>
      <c r="E6" s="6" t="s">
        <v>57</v>
      </c>
      <c r="F6" s="6" t="s">
        <v>1</v>
      </c>
      <c r="G6" s="6" t="s">
        <v>58</v>
      </c>
    </row>
    <row r="7" spans="1:7" ht="35.5" customHeight="1">
      <c r="A7" s="20" t="s">
        <v>131</v>
      </c>
      <c r="B7" s="8" t="s">
        <v>132</v>
      </c>
      <c r="C7" s="21"/>
      <c r="D7" s="22" cm="1" t="str">
        <f t="array" ref="D7">IFERROR(_xlfn.LET(_xlpm.a,'R2 Formula Gauntlet'!$C$7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H$11),"✔ CLEAR","✘ TRY AGAIN"))),"✘ TRY AGAIN")</f>
        <v/>
      </c>
      <c r="E7" s="23"/>
      <c r="F7" s="24" cm="1" t="str">
        <f t="array" ref="F7">IF(E7="Show hint",Key!$B$11,"")</f>
        <v/>
      </c>
      <c r="G7" s="25" cm="1">
        <f t="array" ref="G7">IF(LEFT(D7,1)="✔",IF(E7="Show hint",5,10),0)</f>
        <v>0</v>
      </c>
    </row>
    <row r="8" spans="1:7" ht="35.5" customHeight="1">
      <c r="A8" s="20" t="s">
        <v>141</v>
      </c>
      <c r="B8" s="8" t="s">
        <v>142</v>
      </c>
      <c r="C8" s="21"/>
      <c r="D8" s="22" cm="1" t="str">
        <f t="array" ref="D8">IFERROR(_xlfn.LET(_xlpm.a,'R2 Formula Gauntlet'!$C$8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:$J$12),"✔ CLEAR","✘ TRY AGAIN"))),"✘ TRY AGAIN")</f>
        <v/>
      </c>
      <c r="E8" s="23"/>
      <c r="F8" s="24" cm="1" t="str">
        <f t="array" ref="F8">IF(E8="Show hint",Key!$B$12,"")</f>
        <v/>
      </c>
      <c r="G8" s="25" cm="1">
        <f t="array" ref="G8">IF(LEFT(D8,1)="✔",IF(E8="Show hint",5,10),0)</f>
        <v>0</v>
      </c>
    </row>
    <row r="9" spans="1:7" ht="35.5" customHeight="1">
      <c r="A9" s="20" t="s">
        <v>151</v>
      </c>
      <c r="B9" s="8" t="s">
        <v>152</v>
      </c>
      <c r="C9" s="21"/>
      <c r="D9" s="22" cm="1" t="str">
        <f t="array" ref="D9">IFERROR(_xlfn.LET(_xlpm.a,'R2 Formula Gauntlet'!$C$9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:$J$13),"✔ CLEAR","✘ TRY AGAIN"))),"✘ TRY AGAIN")</f>
        <v/>
      </c>
      <c r="E9" s="23"/>
      <c r="F9" s="24" cm="1" t="str">
        <f t="array" ref="F9">IF(E9="Show hint",Key!$B$13,"")</f>
        <v/>
      </c>
      <c r="G9" s="25" cm="1">
        <f t="array" ref="G9">IF(LEFT(D9,1)="✔",IF(E9="Show hint",5,10),0)</f>
        <v>0</v>
      </c>
    </row>
    <row r="10" spans="1:7" ht="35.5" customHeight="1">
      <c r="A10" s="20" t="s">
        <v>161</v>
      </c>
      <c r="B10" s="8" t="s">
        <v>162</v>
      </c>
      <c r="C10" s="21"/>
      <c r="D10" s="22" cm="1" t="str">
        <f t="array" ref="D10">IFERROR(_xlfn.LET(_xlpm.a,'R2 Formula Gauntlet'!$C$10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:$J$14),"✔ CLEAR","✘ TRY AGAIN"))),"✘ TRY AGAIN")</f>
        <v/>
      </c>
      <c r="E10" s="23"/>
      <c r="F10" s="24" cm="1" t="str">
        <f t="array" ref="F10">IF(E10="Show hint",Key!$B$14,"")</f>
        <v/>
      </c>
      <c r="G10" s="25" cm="1">
        <f t="array" ref="G10">IF(LEFT(D10,1)="✔",IF(E10="Show hint",5,10),0)</f>
        <v>0</v>
      </c>
    </row>
    <row r="11" spans="1:7" ht="35.5" customHeight="1">
      <c r="A11" s="20" t="s">
        <v>171</v>
      </c>
      <c r="B11" s="8" t="s">
        <v>172</v>
      </c>
      <c r="C11" s="21"/>
      <c r="D11" s="22" cm="1" t="str">
        <f t="array" ref="D11">IFERROR(_xlfn.LET(_xlpm.a,'R2 Formula Gauntlet'!$C$11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:$J$15),"✔ CLEAR","✘ TRY AGAIN"))),"✘ TRY AGAIN")</f>
        <v/>
      </c>
      <c r="E11" s="23"/>
      <c r="F11" s="24" cm="1" t="str">
        <f t="array" ref="F11">IF(E11="Show hint",Key!$B$15,"")</f>
        <v/>
      </c>
      <c r="G11" s="25" cm="1">
        <f t="array" ref="G11">IF(LEFT(D11,1)="✔",IF(E11="Show hint",5,10),0)</f>
        <v>0</v>
      </c>
    </row>
    <row r="12" spans="1:7" ht="35.5" customHeight="1">
      <c r="A12" s="20" t="s">
        <v>175</v>
      </c>
      <c r="B12" s="8" t="s">
        <v>176</v>
      </c>
      <c r="C12" s="21"/>
      <c r="D12" s="22" cm="1" t="str">
        <f t="array" ref="D12">IFERROR(_xlfn.LET(_xlpm.a,'R2 Formula Gauntlet'!$C$12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:$E$16),"✔ CLEAR","✘ TRY AGAIN"))),"✘ TRY AGAIN")</f>
        <v/>
      </c>
      <c r="E12" s="23"/>
      <c r="F12" s="24" cm="1" t="str">
        <f t="array" ref="F12">IF(E12="Show hint",Key!$B$16,"")</f>
        <v/>
      </c>
      <c r="G12" s="25" cm="1">
        <f t="array" ref="G12">IF(LEFT(D12,1)="✔",IF(E12="Show hint",5,10),0)</f>
        <v>0</v>
      </c>
    </row>
    <row r="13" spans="1:7" ht="35.5" customHeight="1">
      <c r="A13" s="20" t="s">
        <v>185</v>
      </c>
      <c r="B13" s="8" t="s">
        <v>186</v>
      </c>
      <c r="C13" s="21"/>
      <c r="D13" s="22" cm="1" t="str">
        <f t="array" ref="D13">IFERROR(_xlfn.LET(_xlpm.a,'R2 Formula Gauntlet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:$J$17),"✔ CLEAR","✘ TRY AGAIN"))),"✘ TRY AGAIN")</f>
        <v/>
      </c>
      <c r="E13" s="23"/>
      <c r="F13" s="24" cm="1" t="str">
        <f t="array" ref="F13">IF(E13="Show hint",Key!$B$17,"")</f>
        <v/>
      </c>
      <c r="G13" s="25" cm="1">
        <f t="array" ref="G13">IF(LEFT(D13,1)="✔",IF(E13="Show hint",5,10),0)</f>
        <v>0</v>
      </c>
    </row>
    <row r="14" spans="1:7" ht="35.5" customHeight="1">
      <c r="A14" s="20" t="s">
        <v>195</v>
      </c>
      <c r="B14" s="8" t="s">
        <v>196</v>
      </c>
      <c r="C14" s="21"/>
      <c r="D14" s="22" cm="1" t="str">
        <f t="array" ref="D14">IFERROR(_xlfn.LET(_xlpm.a,'R2 Formula Gauntlet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$18:$J$18),"✔ CLEAR","✘ TRY AGAIN"))),"✘ TRY AGAIN")</f>
        <v/>
      </c>
      <c r="E14" s="23"/>
      <c r="F14" s="24" cm="1" t="str">
        <f t="array" ref="F14">IF(E14="Show hint",Key!$B$18,"")</f>
        <v/>
      </c>
      <c r="G14" s="25" cm="1">
        <f t="array" ref="G14">IF(LEFT(D14,1)="✔",IF(E14="Show hint",5,10),0)</f>
        <v>0</v>
      </c>
    </row>
    <row r="15" spans="1:7" ht="51.25" customHeight="1">
      <c r="A15" s="20" t="s">
        <v>199</v>
      </c>
      <c r="B15" s="8" t="s">
        <v>200</v>
      </c>
      <c r="C15" s="21"/>
      <c r="D15" s="22" cm="1" t="str">
        <f t="array" ref="D15">IFERROR(_xlfn.LET(_xlpm.a,'R2 Formula Gauntlet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$19:$E$19),"✔ CLEAR","✘ TRY AGAIN"))),"✘ TRY AGAIN")</f>
        <v/>
      </c>
      <c r="E15" s="23"/>
      <c r="F15" s="24" cm="1" t="str">
        <f t="array" ref="F15">IF(E15="Show hint",Key!$B$19,"")</f>
        <v/>
      </c>
      <c r="G15" s="25" cm="1">
        <f t="array" ref="G15">IF(LEFT(D15,1)="✔",IF(E15="Show hint",5,10),0)</f>
        <v>0</v>
      </c>
    </row>
    <row r="16" spans="1:7" ht="35.5" customHeight="1">
      <c r="A16" s="20" t="s">
        <v>209</v>
      </c>
      <c r="B16" s="8" t="s">
        <v>210</v>
      </c>
      <c r="C16" s="21"/>
      <c r="D16" s="22" cm="1" t="str">
        <f t="array" ref="D16">IFERROR(_xlfn.LET(_xlpm.a,'R2 Formula Gauntlet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$20:$J$20),"✔ CLEAR","✘ TRY AGAIN"))),"✘ TRY AGAIN")</f>
        <v/>
      </c>
      <c r="E16" s="23"/>
      <c r="F16" s="24" cm="1" t="str">
        <f t="array" ref="F16">IF(E16="Show hint",Key!$B$20,"")</f>
        <v/>
      </c>
      <c r="G16" s="25" cm="1">
        <f t="array" ref="G16">IF(LEFT(D16,1)="✔",IF(E16="Show hint",5,10),0)</f>
        <v>0</v>
      </c>
    </row>
    <row r="17" spans="1:7" ht="35.5" customHeight="1">
      <c r="A17" s="20" t="s">
        <v>218</v>
      </c>
      <c r="B17" s="8" t="s">
        <v>219</v>
      </c>
      <c r="C17" s="21"/>
      <c r="D17" s="22" cm="1" t="str">
        <f t="array" ref="D17">IFERROR(_xlfn.LET(_xlpm.a,'R2 Formula Gauntlet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$21:$J$21),"✔ CLEAR","✘ TRY AGAIN"))),"✘ TRY AGAIN")</f>
        <v/>
      </c>
      <c r="E17" s="23"/>
      <c r="F17" s="24" cm="1" t="str">
        <f t="array" ref="F17">IF(E17="Show hint",Key!$B$21,"")</f>
        <v/>
      </c>
      <c r="G17" s="25" cm="1">
        <f t="array" ref="G17">IF(LEFT(D17,1)="✔",IF(E17="Show hint",5,10),0)</f>
        <v>0</v>
      </c>
    </row>
    <row r="18" spans="1:7" ht="35.5" customHeight="1">
      <c r="A18" s="20" t="s">
        <v>228</v>
      </c>
      <c r="B18" s="8" t="s">
        <v>229</v>
      </c>
      <c r="C18" s="21"/>
      <c r="D18" s="22" cm="1" t="str">
        <f t="array" ref="D18">IFERROR(_xlfn.LET(_xlpm.a,'R2 Formula Gauntlet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$22:$J$22),"✔ CLEAR","✘ TRY AGAIN"))),"✘ TRY AGAIN")</f>
        <v/>
      </c>
      <c r="E18" s="23"/>
      <c r="F18" s="24" cm="1" t="str">
        <f t="array" ref="F18">IF(E18="Show hint",Key!$B$22,"")</f>
        <v/>
      </c>
      <c r="G18" s="25" cm="1">
        <f t="array" ref="G18">IF(LEFT(D18,1)="✔",IF(E18="Show hint",5,10),0)</f>
        <v>0</v>
      </c>
    </row>
    <row r="19" spans="1:7" ht="35.5" customHeight="1">
      <c r="A19" s="20" t="s">
        <v>238</v>
      </c>
      <c r="B19" s="8" t="s">
        <v>239</v>
      </c>
      <c r="C19" s="21"/>
      <c r="D19" s="22" cm="1" t="str">
        <f t="array" ref="D19">IFERROR(_xlfn.LET(_xlpm.a,'R2 Formula Gauntlet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$23:$J$23),"✔ CLEAR","✘ TRY AGAIN"))),"✘ TRY AGAIN")</f>
        <v/>
      </c>
      <c r="E19" s="23"/>
      <c r="F19" s="24" cm="1" t="str">
        <f t="array" ref="F19">IF(E19="Show hint",Key!$B$23,"")</f>
        <v/>
      </c>
      <c r="G19" s="25" cm="1">
        <f t="array" ref="G19">IF(LEFT(D19,1)="✔",IF(E19="Show hint",5,10),0)</f>
        <v>0</v>
      </c>
    </row>
    <row r="20" spans="1:7" ht="35.5" customHeight="1">
      <c r="A20" s="20" t="s">
        <v>248</v>
      </c>
      <c r="B20" s="8" t="s">
        <v>249</v>
      </c>
      <c r="C20" s="21"/>
      <c r="D20" s="22" cm="1" t="str">
        <f t="array" ref="D20">IFERROR(_xlfn.LET(_xlpm.a,'R2 Formula Gauntlet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$24:$J$24),"✔ CLEAR","✘ TRY AGAIN"))),"✘ TRY AGAIN")</f>
        <v/>
      </c>
      <c r="E20" s="23"/>
      <c r="F20" s="24" cm="1" t="str">
        <f t="array" ref="F20">IF(E20="Show hint",Key!$B$24,"")</f>
        <v/>
      </c>
      <c r="G20" s="25" cm="1">
        <f t="array" ref="G20">IF(LEFT(D20,1)="✔",IF(E20="Show hint",5,10),0)</f>
        <v>0</v>
      </c>
    </row>
    <row r="21" spans="1:7" ht="35.5" customHeight="1">
      <c r="A21" s="20" t="s">
        <v>257</v>
      </c>
      <c r="B21" s="8" t="s">
        <v>258</v>
      </c>
      <c r="C21" s="21"/>
      <c r="D21" s="22" cm="1" t="str">
        <f t="array" ref="D21">IFERROR(_xlfn.LET(_xlpm.a,'R2 Formula Gauntlet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$25:$J$25),"✔ CLEAR","✘ TRY AGAIN"))),"✘ TRY AGAIN")</f>
        <v/>
      </c>
      <c r="E21" s="23"/>
      <c r="F21" s="24" cm="1" t="str">
        <f t="array" ref="F21">IF(E21="Show hint",Key!$B$25,"")</f>
        <v/>
      </c>
      <c r="G21" s="25" cm="1">
        <f t="array" ref="G21">IF(LEFT(D21,1)="✔",IF(E21="Show hint",5,10),0)</f>
        <v>0</v>
      </c>
    </row>
    <row r="22" spans="1:7" ht="35.5" customHeight="1">
      <c r="A22" s="20" t="s">
        <v>266</v>
      </c>
      <c r="B22" s="8" t="s">
        <v>267</v>
      </c>
      <c r="C22" s="21"/>
      <c r="D22" s="22" cm="1" t="str">
        <f t="array" ref="D22">IFERROR(_xlfn.LET(_xlpm.a,'R2 Formula Gauntlet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$26:$J$26),"✔ CLEAR","✘ TRY AGAIN"))),"✘ TRY AGAIN")</f>
        <v/>
      </c>
      <c r="E22" s="23"/>
      <c r="F22" s="24" cm="1" t="str">
        <f t="array" ref="F22">IF(E22="Show hint",Key!$B$26,"")</f>
        <v/>
      </c>
      <c r="G22" s="25" cm="1">
        <f t="array" ref="G22">IF(LEFT(D22,1)="✔",IF(E22="Show hint",5,10),0)</f>
        <v>0</v>
      </c>
    </row>
    <row r="23" spans="1:7" ht="35.5" customHeight="1">
      <c r="A23" s="20" t="s">
        <v>275</v>
      </c>
      <c r="B23" s="8" t="s">
        <v>276</v>
      </c>
      <c r="C23" s="21"/>
      <c r="D23" s="22" cm="1" t="str">
        <f t="array" ref="D23">IFERROR(_xlfn.LET(_xlpm.a,'R2 Formula Gauntlet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$27:$J$27),"✔ CLEAR","✘ TRY AGAIN"))),"✘ TRY AGAIN")</f>
        <v/>
      </c>
      <c r="E23" s="23"/>
      <c r="F23" s="24" cm="1" t="str">
        <f t="array" ref="F23">IF(E23="Show hint",Key!$B$27,"")</f>
        <v/>
      </c>
      <c r="G23" s="25" cm="1">
        <f t="array" ref="G23">IF(LEFT(D23,1)="✔",IF(E23="Show hint",5,10),0)</f>
        <v>0</v>
      </c>
    </row>
    <row r="24" spans="1:7" ht="35.5" customHeight="1">
      <c r="A24" s="20" t="s">
        <v>284</v>
      </c>
      <c r="B24" s="8" t="s">
        <v>285</v>
      </c>
      <c r="C24" s="21"/>
      <c r="D24" s="22" cm="1" t="str">
        <f t="array" ref="D24">IFERROR(_xlfn.LET(_xlpm.a,'R2 Formula Gauntlet'!$C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$28:$J$28),"✔ CLEAR","✘ TRY AGAIN"))),"✘ TRY AGAIN")</f>
        <v/>
      </c>
      <c r="E24" s="23"/>
      <c r="F24" s="24" cm="1" t="str">
        <f t="array" ref="F24">IF(E24="Show hint",Key!$B$28,"")</f>
        <v/>
      </c>
      <c r="G24" s="25" cm="1">
        <f t="array" ref="G24">IF(LEFT(D24,1)="✔",IF(E24="Show hint",5,10),0)</f>
        <v>0</v>
      </c>
    </row>
    <row r="25" spans="1:7" ht="35.5" customHeight="1">
      <c r="A25" s="20" t="s">
        <v>294</v>
      </c>
      <c r="B25" s="8" t="s">
        <v>295</v>
      </c>
      <c r="C25" s="21"/>
      <c r="D25" s="22" cm="1" t="str">
        <f t="array" ref="D25">IFERROR(_xlfn.LET(_xlpm.a,'R2 Formula Gauntlet'!$C$25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$29:$J$29),"✔ CLEAR","✘ TRY AGAIN"))),"✘ TRY AGAIN")</f>
        <v/>
      </c>
      <c r="E25" s="23"/>
      <c r="F25" s="24" cm="1" t="str">
        <f t="array" ref="F25">IF(E25="Show hint",Key!$B$29,"")</f>
        <v/>
      </c>
      <c r="G25" s="25" cm="1">
        <f t="array" ref="G25">IF(LEFT(D25,1)="✔",IF(E25="Show hint",5,10),0)</f>
        <v>0</v>
      </c>
    </row>
    <row r="26" spans="1:7" ht="51.25" customHeight="1">
      <c r="A26" s="20" t="s">
        <v>300</v>
      </c>
      <c r="B26" s="8" t="s">
        <v>301</v>
      </c>
      <c r="C26" s="21"/>
      <c r="D26" s="22" cm="1" t="str">
        <f t="array" ref="D26">IFERROR(_xlfn.LET(_xlpm.a,'R2 Formula Gauntlet'!$C$26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$30:$F$30),"✔ CLEAR","✘ TRY AGAIN"))),"✘ TRY AGAIN")</f>
        <v/>
      </c>
      <c r="E26" s="23"/>
      <c r="F26" s="24" cm="1" t="str">
        <f t="array" ref="F26">IF(E26="Show hint",Key!$B$30,"")</f>
        <v/>
      </c>
      <c r="G26" s="25" cm="1">
        <f t="array" ref="G26">IF(LEFT(D26,1)="✔",IF(E26="Show hint",5,10),0)</f>
        <v>0</v>
      </c>
    </row>
    <row r="27" spans="1:7" ht="35.5" customHeight="1">
      <c r="A27" s="20" t="s">
        <v>308</v>
      </c>
      <c r="B27" s="8" t="s">
        <v>309</v>
      </c>
      <c r="C27" s="21"/>
      <c r="D27" s="22" cm="1" t="str">
        <f t="array" ref="D27">IFERROR(_xlfn.LET(_xlpm.a,'R2 Formula Gauntlet'!$C$27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$31:$H$31),"✔ CLEAR","✘ TRY AGAIN"))),"✘ TRY AGAIN")</f>
        <v/>
      </c>
      <c r="E27" s="23"/>
      <c r="F27" s="24" cm="1" t="str">
        <f t="array" ref="F27">IF(E27="Show hint",Key!$B$31,"")</f>
        <v/>
      </c>
      <c r="G27" s="25" cm="1">
        <f t="array" ref="G27">IF(LEFT(D27,1)="✔",IF(E27="Show hint",5,10),0)</f>
        <v>0</v>
      </c>
    </row>
    <row r="28" spans="1:7" ht="35.5" customHeight="1">
      <c r="A28" s="20" t="s">
        <v>318</v>
      </c>
      <c r="B28" s="8" t="s">
        <v>319</v>
      </c>
      <c r="C28" s="21"/>
      <c r="D28" s="22" cm="1" t="str">
        <f t="array" ref="D28">IFERROR(_xlfn.LET(_xlpm.a,'R2 Formula Gauntlet'!$C$28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$32:$J$32),"✔ CLEAR","✘ TRY AGAIN"))),"✘ TRY AGAIN")</f>
        <v/>
      </c>
      <c r="E28" s="23"/>
      <c r="F28" s="24" cm="1" t="str">
        <f t="array" ref="F28">IF(E28="Show hint",Key!$B$32,"")</f>
        <v/>
      </c>
      <c r="G28" s="25" cm="1">
        <f t="array" ref="G28">IF(LEFT(D28,1)="✔",IF(E28="Show hint",5,10),0)</f>
        <v>0</v>
      </c>
    </row>
    <row r="29" spans="1:7" ht="35.5" customHeight="1">
      <c r="A29" s="20" t="s">
        <v>328</v>
      </c>
      <c r="B29" s="8" t="s">
        <v>329</v>
      </c>
      <c r="C29" s="21"/>
      <c r="D29" s="22" cm="1" t="str">
        <f t="array" ref="D29">IFERROR(_xlfn.LET(_xlpm.a,'R2 Formula Gauntlet'!$C$29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$33:$J$33),"✔ CLEAR","✘ TRY AGAIN"))),"✘ TRY AGAIN")</f>
        <v/>
      </c>
      <c r="E29" s="23"/>
      <c r="F29" s="24" cm="1" t="str">
        <f t="array" ref="F29">IF(E29="Show hint",Key!$B$33,"")</f>
        <v/>
      </c>
      <c r="G29" s="25" cm="1">
        <f t="array" ref="G29">IF(LEFT(D29,1)="✔",IF(E29="Show hint",5,10),0)</f>
        <v>0</v>
      </c>
    </row>
    <row r="30" spans="1:7" ht="35.5" customHeight="1">
      <c r="A30" s="20" t="s">
        <v>338</v>
      </c>
      <c r="B30" s="8" t="s">
        <v>339</v>
      </c>
      <c r="C30" s="21"/>
      <c r="D30" s="22" cm="1" t="str">
        <f t="array" ref="D30">IFERROR(_xlfn.LET(_xlpm.a,'R2 Formula Gauntlet'!$C$30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$34:$J$34),"✔ CLEAR","✘ TRY AGAIN"))),"✘ TRY AGAIN")</f>
        <v/>
      </c>
      <c r="E30" s="23"/>
      <c r="F30" s="24" cm="1" t="str">
        <f t="array" ref="F30">IF(E30="Show hint",Key!$B$34,"")</f>
        <v/>
      </c>
      <c r="G30" s="25" cm="1">
        <f t="array" ref="G30">IF(LEFT(D30,1)="✔",IF(E30="Show hint",5,10),0)</f>
        <v>0</v>
      </c>
    </row>
    <row r="31" spans="1:7" ht="35.5" customHeight="1">
      <c r="A31" s="20" t="s">
        <v>348</v>
      </c>
      <c r="B31" s="8" t="s">
        <v>349</v>
      </c>
      <c r="C31" s="21"/>
      <c r="D31" s="22" cm="1" t="str">
        <f t="array" ref="D31">IFERROR(_xlfn.LET(_xlpm.a,'R2 Formula Gauntlet'!$C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$35:$J$35),"✔ CLEAR","✘ TRY AGAIN"))),"✘ TRY AGAIN")</f>
        <v/>
      </c>
      <c r="E31" s="23"/>
      <c r="F31" s="24" cm="1" t="str">
        <f t="array" ref="F31">IF(E31="Show hint",Key!$B$35,"")</f>
        <v/>
      </c>
      <c r="G31" s="25" cm="1">
        <f t="array" ref="G31">IF(LEFT(D31,1)="✔",IF(E31="Show hint",5,10),0)</f>
        <v>0</v>
      </c>
    </row>
    <row r="32" spans="1:7" ht="35.5" customHeight="1">
      <c r="A32" s="20" t="s">
        <v>358</v>
      </c>
      <c r="B32" s="8" t="s">
        <v>359</v>
      </c>
      <c r="C32" s="21"/>
      <c r="D32" s="22" cm="1" t="str">
        <f t="array" ref="D32">IFERROR(_xlfn.LET(_xlpm.a,'R2 Formula Gauntlet'!$C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$36:$J$36),"✔ CLEAR","✘ TRY AGAIN"))),"✘ TRY AGAIN")</f>
        <v/>
      </c>
      <c r="E32" s="23"/>
      <c r="F32" s="24" cm="1" t="str">
        <f t="array" ref="F32">IF(E32="Show hint",Key!$B$36,"")</f>
        <v/>
      </c>
      <c r="G32" s="25" cm="1">
        <f t="array" ref="G32">IF(LEFT(D32,1)="✔",IF(E32="Show hint",5,10),0)</f>
        <v>0</v>
      </c>
    </row>
    <row r="33" spans="1:7" ht="51.25" customHeight="1">
      <c r="A33" s="20" t="s">
        <v>365</v>
      </c>
      <c r="B33" s="8" t="s">
        <v>366</v>
      </c>
      <c r="C33" s="21"/>
      <c r="D33" s="22" cm="1" t="str">
        <f t="array" ref="D33">IFERROR(_xlfn.LET(_xlpm.a,'R2 Formula Gauntlet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$37:$G$37),"✔ CLEAR","✘ TRY AGAIN"))),"✘ TRY AGAIN")</f>
        <v/>
      </c>
      <c r="E33" s="23"/>
      <c r="F33" s="24" cm="1" t="str">
        <f t="array" ref="F33">IF(E33="Show hint",Key!$B$37,"")</f>
        <v/>
      </c>
      <c r="G33" s="25" cm="1">
        <f t="array" ref="G33">IF(LEFT(D33,1)="✔",IF(E33="Show hint",5,10),0)</f>
        <v>0</v>
      </c>
    </row>
    <row r="34" spans="1:7" ht="35.5" customHeight="1">
      <c r="A34" s="20" t="s">
        <v>371</v>
      </c>
      <c r="B34" s="8" t="s">
        <v>372</v>
      </c>
      <c r="C34" s="21"/>
      <c r="D34" s="22" cm="1" t="str">
        <f t="array" ref="D34">IFERROR(_xlfn.LET(_xlpm.a,'R2 Formula Gauntlet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$38:$G$38),"✔ CLEAR","✘ TRY AGAIN"))),"✘ TRY AGAIN")</f>
        <v/>
      </c>
      <c r="E34" s="23"/>
      <c r="F34" s="24" cm="1" t="str">
        <f t="array" ref="F34">IF(E34="Show hint",Key!$B$38,"")</f>
        <v/>
      </c>
      <c r="G34" s="25" cm="1">
        <f t="array" ref="G34">IF(LEFT(D34,1)="✔",IF(E34="Show hint",5,10),0)</f>
        <v>0</v>
      </c>
    </row>
    <row r="35" spans="1:7" ht="35.5" customHeight="1">
      <c r="A35" s="20" t="s">
        <v>376</v>
      </c>
      <c r="B35" s="8" t="s">
        <v>377</v>
      </c>
      <c r="C35" s="21"/>
      <c r="D35" s="22" cm="1" t="str">
        <f t="array" ref="D35">IFERROR(_xlfn.LET(_xlpm.a,'R2 Formula Gauntlet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$39:$E$39),"✔ CLEAR","✘ TRY AGAIN"))),"✘ TRY AGAIN")</f>
        <v/>
      </c>
      <c r="E35" s="23"/>
      <c r="F35" s="24" cm="1" t="str">
        <f t="array" ref="F35">IF(E35="Show hint",Key!$B$39,"")</f>
        <v/>
      </c>
      <c r="G35" s="25" cm="1">
        <f t="array" ref="G35">IF(LEFT(D35,1)="✔",IF(E35="Show hint",5,10),0)</f>
        <v>0</v>
      </c>
    </row>
    <row r="36" spans="1:7" ht="35.5" customHeight="1">
      <c r="A36" s="20" t="s">
        <v>386</v>
      </c>
      <c r="B36" s="8" t="s">
        <v>387</v>
      </c>
      <c r="C36" s="21"/>
      <c r="D36" s="22" cm="1" t="str">
        <f t="array" ref="D36">IFERROR(_xlfn.LET(_xlpm.a,'R2 Formula Gauntlet'!$C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$40:$J$40),"✔ CLEAR","✘ TRY AGAIN"))),"✘ TRY AGAIN")</f>
        <v/>
      </c>
      <c r="E36" s="23"/>
      <c r="F36" s="24" cm="1" t="str">
        <f t="array" ref="F36">IF(E36="Show hint",Key!$B$40,"")</f>
        <v/>
      </c>
      <c r="G36" s="25" cm="1">
        <f t="array" ref="G36">IF(LEFT(D36,1)="✔",IF(E36="Show hint",5,10),0)</f>
        <v>0</v>
      </c>
    </row>
    <row r="37" spans="1:7" ht="35.5" customHeight="1">
      <c r="A37" s="20" t="s">
        <v>396</v>
      </c>
      <c r="B37" s="8" t="s">
        <v>397</v>
      </c>
      <c r="C37" s="21"/>
      <c r="D37" s="22" cm="1" t="str">
        <f t="array" ref="D37">IFERROR(_xlfn.LET(_xlpm.a,'R2 Formula Gauntlet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$41:$J$41),"✔ CLEAR","✘ TRY AGAIN"))),"✘ TRY AGAIN")</f>
        <v/>
      </c>
      <c r="E37" s="23"/>
      <c r="F37" s="24" cm="1" t="str">
        <f t="array" ref="F37">IF(E37="Show hint",Key!$B$41,"")</f>
        <v/>
      </c>
      <c r="G37" s="25" cm="1">
        <f t="array" ref="G37">IF(LEFT(D37,1)="✔",IF(E37="Show hint",5,10),0)</f>
        <v>0</v>
      </c>
    </row>
    <row r="38" spans="1:7" ht="35.5" customHeight="1">
      <c r="A38" s="20" t="s">
        <v>402</v>
      </c>
      <c r="B38" s="8" t="s">
        <v>403</v>
      </c>
      <c r="C38" s="21"/>
      <c r="D38" s="22" cm="1" t="str">
        <f t="array" ref="D38">IFERROR(_xlfn.LET(_xlpm.a,'R2 Formula Gauntlet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$42:$F$42),"✔ CLEAR","✘ TRY AGAIN"))),"✘ TRY AGAIN")</f>
        <v/>
      </c>
      <c r="E38" s="23"/>
      <c r="F38" s="24" cm="1" t="str">
        <f t="array" ref="F38">IF(E38="Show hint",Key!$B$42,"")</f>
        <v/>
      </c>
      <c r="G38" s="25" cm="1">
        <f t="array" ref="G38">IF(LEFT(D38,1)="✔",IF(E38="Show hint",5,10),0)</f>
        <v>0</v>
      </c>
    </row>
    <row r="40" spans="1:7" ht="22" customHeight="1">
      <c r="A40" s="4" t="s">
        <v>51</v>
      </c>
      <c r="B40" s="4"/>
      <c r="C40" s="4"/>
      <c r="D40" s="4"/>
      <c r="E40" s="4"/>
      <c r="F40" s="4"/>
      <c r="G40" s="4"/>
    </row>
    <row r="41" spans="1:7">
      <c r="B41" s="11" t="s">
        <v>404</v>
      </c>
    </row>
    <row r="42" spans="1:7">
      <c r="A42" s="6" t="s">
        <v>53</v>
      </c>
      <c r="B42" s="6" t="s">
        <v>54</v>
      </c>
      <c r="C42" s="6" t="s">
        <v>55</v>
      </c>
      <c r="D42" s="6" t="s">
        <v>56</v>
      </c>
      <c r="E42" s="6" t="s">
        <v>57</v>
      </c>
      <c r="F42" s="6" t="s">
        <v>1</v>
      </c>
      <c r="G42" s="6" t="s">
        <v>58</v>
      </c>
    </row>
    <row r="43" spans="1:7" ht="35.5" customHeight="1">
      <c r="A43" s="20" t="s">
        <v>61</v>
      </c>
      <c r="B43" s="8" t="s">
        <v>407</v>
      </c>
      <c r="C43" s="11" t="s">
        <v>408</v>
      </c>
      <c r="D43" s="22" cm="1" t="str">
        <f t="array" ref="D43">IF(ISBLANK('R2 Arena'!$O$6),"",IF(NOT(_xlfn.ISFORMULA('R2 Arena'!$O$6)),"✘ That's a typed value · enter a formula",IF(ISERROR('R2 Arena'!$O$6),"✘ Your formula returns "&amp;IFERROR(CHOOSE(ERROR.TYPE('R2 Arena'!$O$6),"#NULL!","#DIV/0!","#VALUE!","#REF!","#NAME?","#NUM!","#N/A","#GETTING_DATA","#SPILL!","#CONNECT!","#BLOCKED!","#UNKNOWN!","#FIELD!","#CALC!"),"an error"),IF(NOT(AND(IFERROR(AND(ISNUMBER('R2 Arena'!$O$6),ABS('R2 Arena'!$O$6-Key!$C$43)&lt;=1E-9*MAX(1,ABS(Key!$C$43))),FALSE))),"✘ TRY AGAIN",IF(AND(OR(ISNUMBER(FIND({"=","(",",","+","-","*","/","&amp;"," ","&lt;","&gt;",":","@","^"}&amp;"SUMIFS"&amp;"(",UPPER(_xlfn.FORMULATEXT('R2 Arena'!$O$6)))))),"✔ CLEAR","✘ CLOSE · right value, but use SUMIFS")))))</f>
        <v/>
      </c>
      <c r="E43" s="23"/>
      <c r="F43" s="24" cm="1" t="str">
        <f t="array" ref="F43">IF(E43="Show hint",Key!$B$43,"")</f>
        <v/>
      </c>
      <c r="G43" s="25" cm="1">
        <f t="array" ref="G43">IF(LEFT(D43,1)="✔",IF(E43="Show hint",5,10),0)</f>
        <v>0</v>
      </c>
    </row>
    <row r="44" spans="1:7" ht="35.5" customHeight="1">
      <c r="A44" s="20" t="s">
        <v>65</v>
      </c>
      <c r="B44" s="8" t="s">
        <v>411</v>
      </c>
      <c r="C44" s="11" t="s">
        <v>412</v>
      </c>
      <c r="D44" s="22" cm="1" t="str">
        <f t="array" ref="D44">IF(ISBLANK('R2 Arena'!$O$7),"",IF(NOT(_xlfn.ISFORMULA('R2 Arena'!$O$7)),"✘ That's a typed value · enter a formula",IF(ISERROR('R2 Arena'!$O$7),"✘ Your formula returns "&amp;IFERROR(CHOOSE(ERROR.TYPE('R2 Arena'!$O$7),"#NULL!","#DIV/0!","#VALUE!","#REF!","#NAME?","#NUM!","#N/A","#GETTING_DATA","#SPILL!","#CONNECT!","#BLOCKED!","#UNKNOWN!","#FIELD!","#CALC!"),"an error"),IF(NOT(AND(IFERROR(AND(ISNUMBER('R2 Arena'!$O$7),ABS('R2 Arena'!$O$7-Key!$C$44)&lt;=1E-9*MAX(1,ABS(Key!$C$44))),FALSE))),"✘ TRY AGAIN",IF(AND(OR(ISNUMBER(FIND({"=","(",",","+","-","*","/","&amp;"," ","&lt;","&gt;",":","@","^"}&amp;"COUNTIFS"&amp;"(",UPPER(_xlfn.FORMULATEXT('R2 Arena'!$O$7)))))),"✔ CLEAR","✘ CLOSE · right value, but use COUNTIFS")))))</f>
        <v/>
      </c>
      <c r="E44" s="23"/>
      <c r="F44" s="24" cm="1" t="str">
        <f t="array" ref="F44">IF(E44="Show hint",Key!$B$44,"")</f>
        <v/>
      </c>
      <c r="G44" s="25" cm="1">
        <f t="array" ref="G44">IF(LEFT(D44,1)="✔",IF(E44="Show hint",5,10),0)</f>
        <v>0</v>
      </c>
    </row>
    <row r="45" spans="1:7" ht="35.5" customHeight="1">
      <c r="A45" s="20" t="s">
        <v>69</v>
      </c>
      <c r="B45" s="8" t="s">
        <v>415</v>
      </c>
      <c r="C45" s="11" t="s">
        <v>416</v>
      </c>
      <c r="D45" s="22" cm="1" t="str">
        <f t="array" ref="D45">IF(ISBLANK('R2 Arena'!$O$8),"",IF(NOT(_xlfn.ISFORMULA('R2 Arena'!$O$8)),"✘ That's a typed value · enter a formula",IF(ISERROR('R2 Arena'!$O$8),"✘ Your formula returns "&amp;IFERROR(CHOOSE(ERROR.TYPE('R2 Arena'!$O$8),"#NULL!","#DIV/0!","#VALUE!","#REF!","#NAME?","#NUM!","#N/A","#GETTING_DATA","#SPILL!","#CONNECT!","#BLOCKED!","#UNKNOWN!","#FIELD!","#CALC!"),"an error"),IF(NOT(AND(IFERROR(AND(ISTEXT('R2 Arena'!$O$8),'R2 Arena'!$O$8=Key!$C$45),FALSE))),"✘ TRY AGAIN",IF(AND(OR(ISNUMBER(FIND({"=","(",",","+","-","*","/","&amp;"," ","&lt;","&gt;",":","@","^"}&amp;"XLOOKUP"&amp;"(",UPPER(_xlfn.FORMULATEXT('R2 Arena'!$O$8)))))),"✔ CLEAR","✘ CLOSE · right value, but use XLOOKUP")))))</f>
        <v/>
      </c>
      <c r="E45" s="23"/>
      <c r="F45" s="24" cm="1" t="str">
        <f t="array" ref="F45">IF(E45="Show hint",Key!$B$45,"")</f>
        <v/>
      </c>
      <c r="G45" s="25" cm="1">
        <f t="array" ref="G45">IF(LEFT(D45,1)="✔",IF(E45="Show hint",5,10),0)</f>
        <v>0</v>
      </c>
    </row>
    <row r="46" spans="1:7" ht="35.5" customHeight="1">
      <c r="A46" s="20" t="s">
        <v>73</v>
      </c>
      <c r="B46" s="8" t="s">
        <v>419</v>
      </c>
      <c r="C46" s="11" t="s">
        <v>420</v>
      </c>
      <c r="D46" s="22" cm="1" t="str">
        <f t="array" ref="D46">IF(ISBLANK('R2 Arena'!$O$9),"",IF(NOT(_xlfn.ISFORMULA('R2 Arena'!$O$9)),"✘ That's a typed value · enter a formula",IF(ISERROR('R2 Arena'!$O$9),"✘ Your formula returns "&amp;IFERROR(CHOOSE(ERROR.TYPE('R2 Arena'!$O$9),"#NULL!","#DIV/0!","#VALUE!","#REF!","#NAME?","#NUM!","#N/A","#GETTING_DATA","#SPILL!","#CONNECT!","#BLOCKED!","#UNKNOWN!","#FIELD!","#CALC!"),"an error"),IF(NOT(AND(IFERROR(AND(ISNUMBER('R2 Arena'!$O$9),ABS('R2 Arena'!$O$9-Key!$C$46)&lt;=1E-9*MAX(1,ABS(Key!$C$46))),FALSE))),"✘ TRY AGAIN",IF(AND(OR(ISNUMBER(FIND({"=","(",",","+","-","*","/","&amp;"," ","&lt;","&gt;",":","@","^"}&amp;"ROUND"&amp;"(",UPPER(_xlfn.FORMULATEXT('R2 Arena'!$O$9))))),OR(ISNUMBER(FIND({"=","(",",","+","-","*","/","&amp;"," ","&lt;","&gt;",":","@","^"}&amp;"AVERAGEIFS"&amp;"(",UPPER(_xlfn.FORMULATEXT('R2 Arena'!$O$9)))))),"✔ CLEAR","✘ CLOSE · right value, but use ROUND and AVERAGEIFS")))))</f>
        <v/>
      </c>
      <c r="E46" s="23"/>
      <c r="F46" s="24" cm="1" t="str">
        <f t="array" ref="F46">IF(E46="Show hint",Key!$B$46,"")</f>
        <v/>
      </c>
      <c r="G46" s="25" cm="1">
        <f t="array" ref="G46">IF(LEFT(D46,1)="✔",IF(E46="Show hint",5,10),0)</f>
        <v>0</v>
      </c>
    </row>
    <row r="47" spans="1:7" ht="35.5" customHeight="1">
      <c r="A47" s="20" t="s">
        <v>77</v>
      </c>
      <c r="B47" s="8" t="s">
        <v>423</v>
      </c>
      <c r="C47" s="11" t="s">
        <v>424</v>
      </c>
      <c r="D47" s="22" cm="1" t="str">
        <f t="array" ref="D47">IF(ISBLANK('R2 Arena'!$O$10),"",IF(NOT(_xlfn.ISFORMULA('R2 Arena'!$O$10)),"✘ That's a typed value · enter a formula",IF(ISERROR('R2 Arena'!$O$10),"✘ Your formula returns "&amp;IFERROR(CHOOSE(ERROR.TYPE('R2 Arena'!$O$10),"#NULL!","#DIV/0!","#VALUE!","#REF!","#NAME?","#NUM!","#N/A","#GETTING_DATA","#SPILL!","#CONNECT!","#BLOCKED!","#UNKNOWN!","#FIELD!","#CALC!"),"an error"),IF(NOT(AND(IFERROR(AND(ISNUMBER('R2 Arena'!$O$10),ABS('R2 Arena'!$O$10-Key!$C$47)&lt;=1E-9*MAX(1,ABS(Key!$C$47))),FALSE))),"✘ TRY AGAIN",IF(AND(OR(ISNUMBER(FIND({"=","(",",","+","-","*","/","&amp;"," ","&lt;","&gt;",":","@","^"}&amp;"COUNTA"&amp;"(",UPPER(_xlfn.FORMULATEXT('R2 Arena'!$O$10))))),OR(ISNUMBER(FIND({"=","(",",","+","-","*","/","&amp;"," ","&lt;","&gt;",":","@","^"}&amp;"UNIQUE"&amp;"(",UPPER(_xlfn.FORMULATEXT('R2 Arena'!$O$10)))))),"✔ CLEAR","✘ CLOSE · right value, but use COUNTA and UNIQUE")))))</f>
        <v/>
      </c>
      <c r="E47" s="23"/>
      <c r="F47" s="24" cm="1" t="str">
        <f t="array" ref="F47">IF(E47="Show hint",Key!$B$47,"")</f>
        <v/>
      </c>
      <c r="G47" s="25" cm="1">
        <f t="array" ref="G47">IF(LEFT(D47,1)="✔",IF(E47="Show hint",5,10),0)</f>
        <v>0</v>
      </c>
    </row>
    <row r="48" spans="1:7" ht="35.5" customHeight="1">
      <c r="A48" s="20" t="s">
        <v>82</v>
      </c>
      <c r="B48" s="8" t="s">
        <v>427</v>
      </c>
      <c r="C48" s="11" t="s">
        <v>428</v>
      </c>
      <c r="D48" s="22" cm="1" t="str">
        <f t="array" ref="D48">IF(ISBLANK('R2 Arena'!$O$11),"",IF(NOT(_xlfn.ISFORMULA('R2 Arena'!$O$11)),"✘ That's a typed value · enter a formula",IF(ISERROR('R2 Arena'!$O$11),"✘ Your formula returns "&amp;IFERROR(CHOOSE(ERROR.TYPE('R2 Arena'!$O$11),"#NULL!","#DIV/0!","#VALUE!","#REF!","#NAME?","#NUM!","#N/A","#GETTING_DATA","#SPILL!","#CONNECT!","#BLOCKED!","#UNKNOWN!","#FIELD!","#CALC!"),"an error"),IF(NOT(AND(IFERROR(AND(ISNUMBER('R2 Arena'!$O$11),ABS('R2 Arena'!$O$11-Key!$C$48)&lt;=1E-9*MAX(1,ABS(Key!$C$48))),FALSE))),"✘ TRY AGAIN",IF(AND(OR(ISNUMBER(FIND({"=","(",",","+","-","*","/","&amp;"," ","&lt;","&gt;",":","@","^"}&amp;"EOMONTH"&amp;"(",UPPER(_xlfn.FORMULATEXT('R2 Arena'!$O$11))))),OR(ISNUMBER(FIND({"=","(",",","+","-","*","/","&amp;"," ","&lt;","&gt;",":","@","^"}&amp;"MAX"&amp;"(",UPPER(_xlfn.FORMULATEXT('R2 Arena'!$O$11)))))),"✔ CLEAR","✘ CLOSE · right value, but use EOMONTH and MAX")))))</f>
        <v/>
      </c>
      <c r="E48" s="23"/>
      <c r="F48" s="24" cm="1" t="str">
        <f t="array" ref="F48">IF(E48="Show hint",Key!$B$48,"")</f>
        <v/>
      </c>
      <c r="G48" s="25" cm="1">
        <f t="array" ref="G48">IF(LEFT(D48,1)="✔",IF(E48="Show hint",5,10),0)</f>
        <v>0</v>
      </c>
    </row>
    <row r="49" spans="1:7" ht="35.5" customHeight="1">
      <c r="A49" s="20" t="s">
        <v>87</v>
      </c>
      <c r="B49" s="8" t="s">
        <v>431</v>
      </c>
      <c r="C49" s="11" t="s">
        <v>432</v>
      </c>
      <c r="D49" s="22" cm="1" t="str">
        <f t="array" ref="D49">IF(COUNTA('R2 Arena'!$I$6,'R2 Arena'!$I$7,'R2 Arena'!$I$8,'R2 Arena'!$I$9,'R2 Arena'!$I$10,'R2 Arena'!$I$11,'R2 Arena'!$I$12,'R2 Arena'!$I$13,'R2 Arena'!$I$14,'R2 Arena'!$I$15,'R2 Arena'!$I$16,'R2 Arena'!$I$17,'R2 Arena'!$I$18,'R2 Arena'!$I$19,'R2 Arena'!$I$20,'R2 Arena'!$I$21,'R2 Arena'!$I$22,'R2 Arena'!$I$23,'R2 Arena'!$I$24,'R2 Arena'!$I$25)=0,"",IF(OR(NOT(_xlfn.ISFORMULA('R2 Arena'!$I$6)),NOT(_xlfn.ISFORMULA('R2 Arena'!$I$7)),NOT(_xlfn.ISFORMULA('R2 Arena'!$I$8)),NOT(_xlfn.ISFORMULA('R2 Arena'!$I$9)),NOT(_xlfn.ISFORMULA('R2 Arena'!$I$10)),NOT(_xlfn.ISFORMULA('R2 Arena'!$I$11)),NOT(_xlfn.ISFORMULA('R2 Arena'!$I$12)),NOT(_xlfn.ISFORMULA('R2 Arena'!$I$13)),NOT(_xlfn.ISFORMULA('R2 Arena'!$I$14)),NOT(_xlfn.ISFORMULA('R2 Arena'!$I$15)),NOT(_xlfn.ISFORMULA('R2 Arena'!$I$16)),NOT(_xlfn.ISFORMULA('R2 Arena'!$I$17)),NOT(_xlfn.ISFORMULA('R2 Arena'!$I$18)),NOT(_xlfn.ISFORMULA('R2 Arena'!$I$19)),NOT(_xlfn.ISFORMULA('R2 Arena'!$I$20)),NOT(_xlfn.ISFORMULA('R2 Arena'!$I$21)),NOT(_xlfn.ISFORMULA('R2 Arena'!$I$22)),NOT(_xlfn.ISFORMULA('R2 Arena'!$I$23)),NOT(_xlfn.ISFORMULA('R2 Arena'!$I$24)),NOT(_xlfn.ISFORMULA('R2 Arena'!$I$25))),"✘ Some cells aren't formulas yet",IF(OR(ISERROR('R2 Arena'!$I$6),ISERROR('R2 Arena'!$I$7),ISERROR('R2 Arena'!$I$8),ISERROR('R2 Arena'!$I$9),ISERROR('R2 Arena'!$I$10),ISERROR('R2 Arena'!$I$11),ISERROR('R2 Arena'!$I$12),ISERROR('R2 Arena'!$I$13),ISERROR('R2 Arena'!$I$14),ISERROR('R2 Arena'!$I$15),ISERROR('R2 Arena'!$I$16),ISERROR('R2 Arena'!$I$17),ISERROR('R2 Arena'!$I$18),ISERROR('R2 Arena'!$I$19),ISERROR('R2 Arena'!$I$20),ISERROR('R2 Arena'!$I$21),ISERROR('R2 Arena'!$I$22),ISERROR('R2 Arena'!$I$23),ISERROR('R2 Arena'!$I$24),ISERROR('R2 Arena'!$I$25)),"✘ Some cells show an error",IF(NOT(AND(IFERROR(AND(ISTEXT('R2 Arena'!$I$6),'R2 Arena'!$I$6=Key!$E$49),FALSE),IFERROR(AND(ISTEXT('R2 Arena'!$I$7),'R2 Arena'!$I$7=Key!$F$49),FALSE),IFERROR(AND(ISTEXT('R2 Arena'!$I$8),'R2 Arena'!$I$8=Key!$G$49),FALSE),IFERROR(AND(ISTEXT('R2 Arena'!$I$9),'R2 Arena'!$I$9=Key!$H$49),FALSE),IFERROR(AND(ISTEXT('R2 Arena'!$I$10),'R2 Arena'!$I$10=Key!$I$49),FALSE),IFERROR(AND(ISTEXT('R2 Arena'!$I$11),'R2 Arena'!$I$11=Key!$J$49),FALSE),IFERROR(AND(ISTEXT('R2 Arena'!$I$12),'R2 Arena'!$I$12=Key!$K$49),FALSE),IFERROR(AND(ISTEXT('R2 Arena'!$I$13),'R2 Arena'!$I$13=Key!$L$49),FALSE),IFERROR(AND(ISTEXT('R2 Arena'!$I$14),'R2 Arena'!$I$14=Key!$M$49),FALSE),IFERROR(AND(ISTEXT('R2 Arena'!$I$15),'R2 Arena'!$I$15=Key!$N$49),FALSE),IFERROR(AND(ISTEXT('R2 Arena'!$I$16),'R2 Arena'!$I$16=Key!$O$49),FALSE),IFERROR(AND(ISTEXT('R2 Arena'!$I$17),'R2 Arena'!$I$17=Key!$P$49),FALSE),IFERROR(AND(ISTEXT('R2 Arena'!$I$18),'R2 Arena'!$I$18=Key!$Q$49),FALSE),IFERROR(AND(ISTEXT('R2 Arena'!$I$19),'R2 Arena'!$I$19=Key!$R$49),FALSE),IFERROR(AND(ISTEXT('R2 Arena'!$I$20),'R2 Arena'!$I$20=Key!$S$49),FALSE),IFERROR(AND(ISTEXT('R2 Arena'!$I$21),'R2 Arena'!$I$21=Key!$T$49),FALSE),IFERROR(AND(ISTEXT('R2 Arena'!$I$22),'R2 Arena'!$I$22=Key!$U$49),FALSE),IFERROR(AND(ISTEXT('R2 Arena'!$I$23),'R2 Arena'!$I$23=Key!$V$49),FALSE),IFERROR(AND(ISTEXT('R2 Arena'!$I$24),'R2 Arena'!$I$24=Key!$W$49),FALSE),IFERROR(AND(ISTEXT('R2 Arena'!$I$25),'R2 Arena'!$I$25=Key!$X$49),FALSE))),"✘ TRY AGAIN",IF(AND(OR(ISNUMBER(FIND({"=","(",",","+","-","*","/","&amp;"," ","&lt;","&gt;",":","@","^"}&amp;"IF"&amp;"(",UPPER(_xlfn.FORMULATEXT('R2 Arena'!$I$6))))),OR(ISNUMBER(FIND({"=","(",",","+","-","*","/","&amp;"," ","&lt;","&gt;",":","@","^"}&amp;"AND"&amp;"(",UPPER(_xlfn.FORMULATEXT('R2 Arena'!$I$6)))))),"✔ CLEAR","✘ CLOSE · right value, but use IF and AND")))))</f>
        <v/>
      </c>
      <c r="E49" s="23"/>
      <c r="F49" s="24" cm="1" t="str">
        <f t="array" ref="F49">IF(E49="Show hint",Key!$B$49,"")</f>
        <v/>
      </c>
      <c r="G49" s="25" cm="1">
        <f t="array" ref="G49">IF(LEFT(D49,1)="✔",IF(E49="Show hint",5,10),0)</f>
        <v>0</v>
      </c>
    </row>
    <row r="50" spans="1:7" ht="35.5" customHeight="1">
      <c r="A50" s="20" t="s">
        <v>92</v>
      </c>
      <c r="B50" s="8" t="s">
        <v>435</v>
      </c>
      <c r="C50" s="11" t="s">
        <v>436</v>
      </c>
      <c r="D50" s="22" cm="1" t="str">
        <f t="array" ref="D50">IF(ISBLANK('R2 Arena'!$Q$6),"",IF(NOT(_xlfn.ISFORMULA('R2 Arena'!$Q$6)),"✘ That's a typed value · enter a formula",IF(ISERROR('R2 Arena'!$Q$6),"✘ Your formula returns "&amp;IFERROR(CHOOSE(ERROR.TYPE('R2 Arena'!$Q$6),"#NULL!","#DIV/0!","#VALUE!","#REF!","#NAME?","#NUM!","#N/A","#GETTING_DATA","#SPILL!","#CONNECT!","#BLOCKED!","#UNKNOWN!","#FIELD!","#CALC!"),"an error"),IF(IFERROR(AND(ROWS(_xlfn.ANCHORARRAY('R2 Arena'!$Q$6))=ROWS(_xlfn.ANCHORARRAY(Key!$E$2001)),COLUMNS(_xlfn.ANCHORARRAY('R2 Arena'!$Q$6))=COLUMNS(_xlfn.ANCHORARRAY(Key!$E$2001)),SUM(--(_xlfn.ANCHORARRAY('R2 Arena'!$Q$6)=_xlfn.ANCHORARRAY(Key!$E$2001)))=ROWS(_xlfn.ANCHORARRAY(Key!$E$2001))*COLUMNS(_xlfn.ANCHORARRAY(Key!$E$2001))),FALSE),IF(AND(OR(ISNUMBER(FIND({"=","(",",","+","-","*","/","&amp;"," ","&lt;","&gt;",":","@","^"}&amp;"FILTER"&amp;"(",UPPER(_xlfn.FORMULATEXT('R2 Arena'!$Q$6)))))),"✔ CLEAR","✘ CLOSE · right result, but use FILTER"),"✘ TRY AGAIN"))))</f>
        <v/>
      </c>
      <c r="E50" s="23"/>
      <c r="F50" s="24" cm="1" t="str">
        <f t="array" ref="F50">IF(E50="Show hint",Key!$B$50,"")</f>
        <v/>
      </c>
      <c r="G50" s="25" cm="1">
        <f t="array" ref="G50">IF(LEFT(D50,1)="✔",IF(E50="Show hint",5,10),0)</f>
        <v>0</v>
      </c>
    </row>
  </sheetData>
  <sheetProtection sheet="1" objects="1" scenarios="1" formatColumns="0" formatRows="0"/>
  <conditionalFormatting sqref="D7:D50">
    <cfRule type="expression" dxfId="0" priority="1">
      <formula>LEFT($D7,1)="✔"</formula>
    </cfRule>
    <cfRule type="expression" dxfId="1" priority="2">
      <formula>LEFT($D7,1)="✘"</formula>
    </cfRule>
    <cfRule type="expression" dxfId="2" priority="3">
      <formula>$D7="LOCKED"</formula>
    </cfRule>
  </conditionalFormatting>
  <dataValidations count="72">
    <dataValidation allowBlank="1" showInputMessage="1" showErrorMessage="1" promptTitle="Type your answer" prompt="Type keys joined with +, like Ctrl+Shift+L. For a function, type its name, like SUMIFS. Case and spaces don't matter." sqref="C7"/>
    <dataValidation type="list" allowBlank="1" showInputMessage="1" showErrorMessage="1" promptTitle="Need a hint?" prompt="Pick 'Show hint' (Alt+Down). This question then gives 5 XP instead of 10." sqref="E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8"/>
    <dataValidation type="list" allowBlank="1" showInputMessage="1" showErrorMessage="1" promptTitle="Need a hint?" prompt="Pick 'Show hint' (Alt+Down). This question then gives 5 XP instead of 10." sqref="E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9"/>
    <dataValidation type="list" allowBlank="1" showInputMessage="1" showErrorMessage="1" promptTitle="Need a hint?" prompt="Pick 'Show hint' (Alt+Down). This question then gives 5 XP instead of 10." sqref="E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0"/>
    <dataValidation type="list" allowBlank="1" showInputMessage="1" showErrorMessage="1" promptTitle="Need a hint?" prompt="Pick 'Show hint' (Alt+Down). This question then gives 5 XP instead of 10." sqref="E1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1"/>
    <dataValidation type="list" allowBlank="1" showInputMessage="1" showErrorMessage="1" promptTitle="Need a hint?" prompt="Pick 'Show hint' (Alt+Down). This question then gives 5 XP instead of 10." sqref="E1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2"/>
    <dataValidation type="list" allowBlank="1" showInputMessage="1" showErrorMessage="1" promptTitle="Need a hint?" prompt="Pick 'Show hint' (Alt+Down). This question then gives 5 XP instead of 10." sqref="E1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4"/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5"/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6"/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7"/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8"/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9"/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0"/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43">
      <formula1>"Show hint"</formula1>
    </dataValidation>
    <dataValidation type="list" allowBlank="1" showInputMessage="1" showErrorMessage="1" promptTitle="Need a hint?" prompt="Pick 'Show hint' (Alt+Down). This question then gives 5 XP instead of 10." sqref="E44">
      <formula1>"Show hint"</formula1>
    </dataValidation>
    <dataValidation type="list" allowBlank="1" showInputMessage="1" showErrorMessage="1" promptTitle="Need a hint?" prompt="Pick 'Show hint' (Alt+Down). This question then gives 5 XP instead of 10." sqref="E45">
      <formula1>"Show hint"</formula1>
    </dataValidation>
    <dataValidation type="list" allowBlank="1" showInputMessage="1" showErrorMessage="1" promptTitle="Need a hint?" prompt="Pick 'Show hint' (Alt+Down). This question then gives 5 XP instead of 10." sqref="E46">
      <formula1>"Show hint"</formula1>
    </dataValidation>
    <dataValidation type="list" allowBlank="1" showInputMessage="1" showErrorMessage="1" promptTitle="Need a hint?" prompt="Pick 'Show hint' (Alt+Down). This question then gives 5 XP instead of 10." sqref="E47">
      <formula1>"Show hint"</formula1>
    </dataValidation>
    <dataValidation type="list" allowBlank="1" showInputMessage="1" showErrorMessage="1" promptTitle="Need a hint?" prompt="Pick 'Show hint' (Alt+Down). This question then gives 5 XP instead of 10." sqref="E48">
      <formula1>"Show hint"</formula1>
    </dataValidation>
    <dataValidation type="list" allowBlank="1" showInputMessage="1" showErrorMessage="1" promptTitle="Need a hint?" prompt="Pick 'Show hint' (Alt+Down). This question then gives 5 XP instead of 10." sqref="E49">
      <formula1>"Show hint"</formula1>
    </dataValidation>
    <dataValidation type="list" allowBlank="1" showInputMessage="1" showErrorMessage="1" promptTitle="Need a hint?" prompt="Pick 'Show hint' (Alt+Down). This question then gives 5 XP instead of 10." sqref="E50">
      <formula1>"Show hint"</formula1>
    </dataValidation>
  </dataValidations>
  <hyperlinks>
    <hyperlink ref="B41" location="'R2 Arena'!A1" display="▶ Open R2 Arena (or press Ctrl+PgDn)"/>
    <hyperlink ref="C43" location="'R2 Arena'!O6" tooltip="Go to R2 Arena, cell O6" display="▶ ARENA M1 (cell O6)"/>
    <hyperlink ref="C44" location="'R2 Arena'!O7" tooltip="Go to R2 Arena, cell O7" display="▶ ARENA M2 (cell O7)"/>
    <hyperlink ref="C45" location="'R2 Arena'!O8" tooltip="Go to R2 Arena, cell O8" display="▶ ARENA M3 (cell O8)"/>
    <hyperlink ref="C46" location="'R2 Arena'!O9" tooltip="Go to R2 Arena, cell O9" display="▶ ARENA M4 (cell O9)"/>
    <hyperlink ref="C47" location="'R2 Arena'!O10" tooltip="Go to R2 Arena, cell O10" display="▶ ARENA M5 (cell O10)"/>
    <hyperlink ref="C48" location="'R2 Arena'!O11" tooltip="Go to R2 Arena, cell O11" display="▶ ARENA M6 (cell O11)"/>
    <hyperlink ref="C49" location="'R2 Arena'!I6" tooltip="Go to R2 Arena, cell I6" display="▶ ARENA M7 (cell I6)"/>
    <hyperlink ref="C50" location="'R2 Arena'!Q6" tooltip="Go to R2 Arena, cell Q6" display="▶ ARENA M8 (cell Q6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13" width="13.7109375" customWidth="1"/>
    <col min="14" max="14" width="30.7109375" customWidth="1"/>
    <col min="15" max="15" width="14.7109375" customWidth="1"/>
    <col min="16" max="26" width="13.7109375" customWidth="1"/>
  </cols>
  <sheetData>
    <row r="1" spans="1:17">
      <c r="A1" s="1" t="s">
        <v>102</v>
      </c>
    </row>
    <row r="2" spans="1:17">
      <c r="A2" s="3" t="s">
        <v>5</v>
      </c>
    </row>
    <row r="3" spans="1:17">
      <c r="A3" s="26" t="s">
        <v>6</v>
      </c>
      <c r="B3" s="27" t="s">
        <v>103</v>
      </c>
      <c r="D3" s="11" t="s">
        <v>104</v>
      </c>
    </row>
    <row r="5" spans="1:17">
      <c r="B5" s="28" t="s">
        <v>18</v>
      </c>
      <c r="C5" s="28" t="s">
        <v>105</v>
      </c>
      <c r="D5" s="28" t="s">
        <v>19</v>
      </c>
      <c r="E5" s="28" t="s">
        <v>20</v>
      </c>
      <c r="F5" s="28" t="s">
        <v>106</v>
      </c>
      <c r="G5" s="28" t="s">
        <v>21</v>
      </c>
      <c r="H5" s="28" t="s">
        <v>107</v>
      </c>
      <c r="I5" s="28" t="s">
        <v>111</v>
      </c>
      <c r="K5" s="28" t="s">
        <v>19</v>
      </c>
      <c r="L5" s="28" t="s">
        <v>112</v>
      </c>
      <c r="Q5" s="28" t="s">
        <v>123</v>
      </c>
    </row>
    <row r="6" spans="1:17">
      <c r="B6" s="5" t="s">
        <v>22</v>
      </c>
      <c r="C6" s="31">
        <v>46027</v>
      </c>
      <c r="D6" s="5" t="s">
        <v>23</v>
      </c>
      <c r="E6" s="5" t="s">
        <v>24</v>
      </c>
      <c r="F6" s="5" t="s">
        <v>108</v>
      </c>
      <c r="G6" s="5">
        <v>40</v>
      </c>
      <c r="H6" s="5">
        <v>1200</v>
      </c>
      <c r="I6" s="29"/>
      <c r="K6" s="5" t="s">
        <v>23</v>
      </c>
      <c r="L6" s="5" t="s">
        <v>113</v>
      </c>
      <c r="N6" s="5" t="s">
        <v>117</v>
      </c>
      <c r="O6" s="29"/>
      <c r="Q6" s="29"/>
    </row>
    <row r="7" spans="1:17">
      <c r="B7" s="5" t="s">
        <v>25</v>
      </c>
      <c r="C7" s="31">
        <v>46031</v>
      </c>
      <c r="D7" s="5" t="s">
        <v>26</v>
      </c>
      <c r="E7" s="5" t="s">
        <v>27</v>
      </c>
      <c r="F7" s="5" t="s">
        <v>109</v>
      </c>
      <c r="G7" s="5">
        <v>15</v>
      </c>
      <c r="H7" s="5">
        <v>900</v>
      </c>
      <c r="I7" s="29"/>
      <c r="K7" s="5" t="s">
        <v>26</v>
      </c>
      <c r="L7" s="5" t="s">
        <v>114</v>
      </c>
      <c r="N7" s="5" t="s">
        <v>118</v>
      </c>
      <c r="O7" s="29"/>
    </row>
    <row r="8" spans="1:17">
      <c r="B8" s="5" t="s">
        <v>28</v>
      </c>
      <c r="C8" s="31">
        <v>46036</v>
      </c>
      <c r="D8" s="5" t="s">
        <v>29</v>
      </c>
      <c r="E8" s="5" t="s">
        <v>30</v>
      </c>
      <c r="F8" s="5" t="s">
        <v>108</v>
      </c>
      <c r="G8" s="5">
        <v>55</v>
      </c>
      <c r="H8" s="5">
        <v>1650</v>
      </c>
      <c r="I8" s="29"/>
      <c r="K8" s="5" t="s">
        <v>29</v>
      </c>
      <c r="L8" s="5" t="s">
        <v>115</v>
      </c>
      <c r="N8" s="5" t="s">
        <v>119</v>
      </c>
      <c r="O8" s="29"/>
    </row>
    <row r="9" spans="1:17">
      <c r="B9" s="5" t="s">
        <v>31</v>
      </c>
      <c r="C9" s="31">
        <v>46042</v>
      </c>
      <c r="D9" s="5" t="s">
        <v>23</v>
      </c>
      <c r="E9" s="5" t="s">
        <v>24</v>
      </c>
      <c r="F9" s="5" t="s">
        <v>110</v>
      </c>
      <c r="G9" s="5">
        <v>20</v>
      </c>
      <c r="H9" s="5">
        <v>1000</v>
      </c>
      <c r="I9" s="29"/>
      <c r="K9" s="5" t="s">
        <v>33</v>
      </c>
      <c r="L9" s="5" t="s">
        <v>116</v>
      </c>
      <c r="N9" s="5" t="s">
        <v>120</v>
      </c>
      <c r="O9" s="29"/>
    </row>
    <row r="10" spans="1:17">
      <c r="B10" s="5" t="s">
        <v>32</v>
      </c>
      <c r="C10" s="31">
        <v>46055</v>
      </c>
      <c r="D10" s="5" t="s">
        <v>33</v>
      </c>
      <c r="E10" s="5" t="s">
        <v>34</v>
      </c>
      <c r="F10" s="5" t="s">
        <v>109</v>
      </c>
      <c r="G10" s="5">
        <v>60</v>
      </c>
      <c r="H10" s="5">
        <v>3600</v>
      </c>
      <c r="I10" s="29"/>
      <c r="N10" s="5" t="s">
        <v>121</v>
      </c>
      <c r="O10" s="29"/>
    </row>
    <row r="11" spans="1:17">
      <c r="B11" s="5" t="s">
        <v>35</v>
      </c>
      <c r="C11" s="31">
        <v>46060</v>
      </c>
      <c r="D11" s="5" t="s">
        <v>26</v>
      </c>
      <c r="E11" s="5" t="s">
        <v>27</v>
      </c>
      <c r="F11" s="5" t="s">
        <v>108</v>
      </c>
      <c r="G11" s="5">
        <v>35</v>
      </c>
      <c r="H11" s="5">
        <v>1050</v>
      </c>
      <c r="I11" s="29"/>
      <c r="N11" s="5" t="s">
        <v>122</v>
      </c>
      <c r="O11" s="30"/>
    </row>
    <row r="12" spans="1:17">
      <c r="B12" s="5" t="s">
        <v>36</v>
      </c>
      <c r="C12" s="31">
        <v>46064</v>
      </c>
      <c r="D12" s="5" t="s">
        <v>23</v>
      </c>
      <c r="E12" s="5" t="s">
        <v>30</v>
      </c>
      <c r="F12" s="5" t="s">
        <v>109</v>
      </c>
      <c r="G12" s="5">
        <v>25</v>
      </c>
      <c r="H12" s="5">
        <v>1500</v>
      </c>
      <c r="I12" s="29"/>
    </row>
    <row r="13" spans="1:17">
      <c r="B13" s="5" t="s">
        <v>37</v>
      </c>
      <c r="C13" s="31">
        <v>46072</v>
      </c>
      <c r="D13" s="5" t="s">
        <v>29</v>
      </c>
      <c r="E13" s="5" t="s">
        <v>34</v>
      </c>
      <c r="F13" s="5" t="s">
        <v>110</v>
      </c>
      <c r="G13" s="5">
        <v>45</v>
      </c>
      <c r="H13" s="5">
        <v>2250</v>
      </c>
      <c r="I13" s="29"/>
    </row>
    <row r="14" spans="1:17">
      <c r="B14" s="5" t="s">
        <v>38</v>
      </c>
      <c r="C14" s="31">
        <v>46084</v>
      </c>
      <c r="D14" s="5" t="s">
        <v>26</v>
      </c>
      <c r="E14" s="5" t="s">
        <v>24</v>
      </c>
      <c r="F14" s="5" t="s">
        <v>110</v>
      </c>
      <c r="G14" s="5">
        <v>10</v>
      </c>
      <c r="H14" s="5">
        <v>500</v>
      </c>
      <c r="I14" s="29"/>
    </row>
    <row r="15" spans="1:17">
      <c r="B15" s="5" t="s">
        <v>39</v>
      </c>
      <c r="C15" s="31">
        <v>46089</v>
      </c>
      <c r="D15" s="5" t="s">
        <v>23</v>
      </c>
      <c r="E15" s="5" t="s">
        <v>27</v>
      </c>
      <c r="F15" s="5" t="s">
        <v>108</v>
      </c>
      <c r="G15" s="5">
        <v>70</v>
      </c>
      <c r="H15" s="5">
        <v>2100</v>
      </c>
      <c r="I15" s="29"/>
    </row>
    <row r="16" spans="1:17">
      <c r="B16" s="5" t="s">
        <v>40</v>
      </c>
      <c r="C16" s="31">
        <v>46096</v>
      </c>
      <c r="D16" s="5" t="s">
        <v>33</v>
      </c>
      <c r="E16" s="5" t="s">
        <v>30</v>
      </c>
      <c r="F16" s="5" t="s">
        <v>108</v>
      </c>
      <c r="G16" s="5">
        <v>30</v>
      </c>
      <c r="H16" s="5">
        <v>900</v>
      </c>
      <c r="I16" s="29"/>
    </row>
    <row r="17" spans="2:9">
      <c r="B17" s="5" t="s">
        <v>41</v>
      </c>
      <c r="C17" s="31">
        <v>46103</v>
      </c>
      <c r="D17" s="5" t="s">
        <v>29</v>
      </c>
      <c r="E17" s="5" t="s">
        <v>24</v>
      </c>
      <c r="F17" s="5" t="s">
        <v>109</v>
      </c>
      <c r="G17" s="5">
        <v>50</v>
      </c>
      <c r="H17" s="5">
        <v>3000</v>
      </c>
      <c r="I17" s="29"/>
    </row>
    <row r="18" spans="2:9">
      <c r="B18" s="5" t="s">
        <v>42</v>
      </c>
      <c r="C18" s="31">
        <v>46113</v>
      </c>
      <c r="D18" s="5" t="s">
        <v>23</v>
      </c>
      <c r="E18" s="5" t="s">
        <v>34</v>
      </c>
      <c r="F18" s="5" t="s">
        <v>110</v>
      </c>
      <c r="G18" s="5">
        <v>65</v>
      </c>
      <c r="H18" s="5">
        <v>3250</v>
      </c>
      <c r="I18" s="29"/>
    </row>
    <row r="19" spans="2:9">
      <c r="B19" s="5" t="s">
        <v>43</v>
      </c>
      <c r="C19" s="31">
        <v>46118</v>
      </c>
      <c r="D19" s="5" t="s">
        <v>26</v>
      </c>
      <c r="E19" s="5" t="s">
        <v>30</v>
      </c>
      <c r="F19" s="5" t="s">
        <v>109</v>
      </c>
      <c r="G19" s="5">
        <v>20</v>
      </c>
      <c r="H19" s="5">
        <v>1200</v>
      </c>
      <c r="I19" s="29"/>
    </row>
    <row r="20" spans="2:9">
      <c r="B20" s="5" t="s">
        <v>44</v>
      </c>
      <c r="C20" s="31">
        <v>46125</v>
      </c>
      <c r="D20" s="5" t="s">
        <v>33</v>
      </c>
      <c r="E20" s="5" t="s">
        <v>27</v>
      </c>
      <c r="F20" s="5" t="s">
        <v>110</v>
      </c>
      <c r="G20" s="5">
        <v>15</v>
      </c>
      <c r="H20" s="5">
        <v>750</v>
      </c>
      <c r="I20" s="29"/>
    </row>
    <row r="21" spans="2:9">
      <c r="B21" s="5" t="s">
        <v>45</v>
      </c>
      <c r="C21" s="31">
        <v>46133</v>
      </c>
      <c r="D21" s="5" t="s">
        <v>23</v>
      </c>
      <c r="E21" s="5" t="s">
        <v>24</v>
      </c>
      <c r="F21" s="5" t="s">
        <v>108</v>
      </c>
      <c r="G21" s="5">
        <v>50</v>
      </c>
      <c r="H21" s="5">
        <v>1500</v>
      </c>
      <c r="I21" s="29"/>
    </row>
    <row r="22" spans="2:9">
      <c r="B22" s="5" t="s">
        <v>46</v>
      </c>
      <c r="C22" s="31">
        <v>46146</v>
      </c>
      <c r="D22" s="5" t="s">
        <v>29</v>
      </c>
      <c r="E22" s="5" t="s">
        <v>27</v>
      </c>
      <c r="F22" s="5" t="s">
        <v>108</v>
      </c>
      <c r="G22" s="5">
        <v>25</v>
      </c>
      <c r="H22" s="5">
        <v>750</v>
      </c>
      <c r="I22" s="29"/>
    </row>
    <row r="23" spans="2:9">
      <c r="B23" s="5" t="s">
        <v>47</v>
      </c>
      <c r="C23" s="31">
        <v>46154</v>
      </c>
      <c r="D23" s="5" t="s">
        <v>26</v>
      </c>
      <c r="E23" s="5" t="s">
        <v>34</v>
      </c>
      <c r="F23" s="5" t="s">
        <v>109</v>
      </c>
      <c r="G23" s="5">
        <v>40</v>
      </c>
      <c r="H23" s="5">
        <v>2400</v>
      </c>
      <c r="I23" s="29"/>
    </row>
    <row r="24" spans="2:9">
      <c r="B24" s="5" t="s">
        <v>48</v>
      </c>
      <c r="C24" s="31">
        <v>46161</v>
      </c>
      <c r="D24" s="5" t="s">
        <v>33</v>
      </c>
      <c r="E24" s="5" t="s">
        <v>24</v>
      </c>
      <c r="F24" s="5" t="s">
        <v>110</v>
      </c>
      <c r="G24" s="5">
        <v>35</v>
      </c>
      <c r="H24" s="5">
        <v>1750</v>
      </c>
      <c r="I24" s="29"/>
    </row>
    <row r="25" spans="2:9">
      <c r="B25" s="5" t="s">
        <v>49</v>
      </c>
      <c r="C25" s="31">
        <v>46169</v>
      </c>
      <c r="D25" s="5" t="s">
        <v>23</v>
      </c>
      <c r="E25" s="5" t="s">
        <v>30</v>
      </c>
      <c r="F25" s="5" t="s">
        <v>109</v>
      </c>
      <c r="G25" s="5">
        <v>55</v>
      </c>
      <c r="H25" s="5">
        <v>3300</v>
      </c>
      <c r="I25" s="29"/>
    </row>
  </sheetData>
  <hyperlinks>
    <hyperlink ref="D3" location="'R2 Formula Gauntlet'!A1" display="◀ Back to R2 Formula Gauntlet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511</v>
      </c>
      <c r="B1" s="2"/>
      <c r="C1" s="2"/>
      <c r="D1" s="2"/>
      <c r="E1" s="2"/>
      <c r="F1" s="2"/>
      <c r="G1" s="2"/>
    </row>
    <row r="2" spans="1:7">
      <c r="A2" s="3" t="s">
        <v>512</v>
      </c>
    </row>
    <row r="3" spans="1:7" ht="26" customHeight="1">
      <c r="A3" s="16" cm="1" t="str">
        <f t="array" ref="A3">"SCORE "&amp;TEXT(SUM($G$8:$G$15),"0000")&amp;" / 0080"</f>
        <v>SCORE 0000 / 0080</v>
      </c>
      <c r="C3" s="17" cm="1" t="str">
        <f t="array" ref="C3">IF(SUM($G$8:$G$15)&gt;=80,"★★★",IF(SUM($G$8:$G$15)&gt;=80*0.8,"★★☆",IF(SUM($G$8:$G$15)&gt;=80*0.5,"★☆☆","☆☆☆")))</f>
        <v>☆☆☆</v>
      </c>
      <c r="D3" s="18" cm="1" t="str">
        <f t="array" ref="D3">REPT("█",ROUND(10*SUM($G$8:$G$15)/80,0))&amp;REPT("░",10-ROUND(10*SUM($G$8:$G$15)/80,0))&amp;"  "&amp;TEXT(SUM($G$8:$G$15)/80,"0%")</f>
        <v>░░░░░░░░░░  0%</v>
      </c>
      <c r="F3" s="19" cm="1" t="str">
        <f t="array" ref="F3">IF(SUM($G$8:$G$15)&gt;=80*0.5,"STAGE CLEAR! ▶ Next: Certificate","")</f>
        <v/>
      </c>
    </row>
    <row r="5" spans="1:7" ht="22" customHeight="1">
      <c r="A5" s="4" t="s">
        <v>51</v>
      </c>
      <c r="B5" s="4"/>
      <c r="C5" s="4"/>
      <c r="D5" s="4"/>
      <c r="E5" s="4"/>
      <c r="F5" s="4"/>
      <c r="G5" s="4"/>
    </row>
    <row r="6" spans="1:7">
      <c r="B6" s="11" t="s">
        <v>478</v>
      </c>
    </row>
    <row r="7" spans="1:7">
      <c r="A7" s="6" t="s">
        <v>53</v>
      </c>
      <c r="B7" s="6" t="s">
        <v>54</v>
      </c>
      <c r="C7" s="6" t="s">
        <v>55</v>
      </c>
      <c r="D7" s="6" t="s">
        <v>56</v>
      </c>
      <c r="E7" s="6" t="s">
        <v>57</v>
      </c>
      <c r="F7" s="6" t="s">
        <v>1</v>
      </c>
      <c r="G7" s="6" t="s">
        <v>58</v>
      </c>
    </row>
    <row r="8" spans="1:7" ht="35.5" customHeight="1">
      <c r="A8" s="20" t="s">
        <v>61</v>
      </c>
      <c r="B8" s="8" t="s">
        <v>481</v>
      </c>
      <c r="C8" s="11" t="s">
        <v>482</v>
      </c>
      <c r="D8" s="22" cm="1" t="str">
        <f t="array" ref="D8">IF(COUNTA('R3 Arena'!$E$6,'R3 Arena'!$E$7,'R3 Arena'!$E$8,'R3 Arena'!$E$9,'R3 Arena'!$E$10,'R3 Arena'!$E$11,'R3 Arena'!$E$12,'R3 Arena'!$E$13,'R3 Arena'!$E$14,'R3 Arena'!$E$15,'R3 Arena'!$E$16,'R3 Arena'!$E$17)=0,"",IF(OR(NOT(_xlfn.ISFORMULA('R3 Arena'!$E$6)),NOT(_xlfn.ISFORMULA('R3 Arena'!$E$7)),NOT(_xlfn.ISFORMULA('R3 Arena'!$E$8)),NOT(_xlfn.ISFORMULA('R3 Arena'!$E$9)),NOT(_xlfn.ISFORMULA('R3 Arena'!$E$10)),NOT(_xlfn.ISFORMULA('R3 Arena'!$E$11)),NOT(_xlfn.ISFORMULA('R3 Arena'!$E$12)),NOT(_xlfn.ISFORMULA('R3 Arena'!$E$13)),NOT(_xlfn.ISFORMULA('R3 Arena'!$E$14)),NOT(_xlfn.ISFORMULA('R3 Arena'!$E$15)),NOT(_xlfn.ISFORMULA('R3 Arena'!$E$16)),NOT(_xlfn.ISFORMULA('R3 Arena'!$E$17))),"✘ Some cells aren't formulas yet",IF(OR(ISERROR('R3 Arena'!$E$6),ISERROR('R3 Arena'!$E$7),ISERROR('R3 Arena'!$E$8),ISERROR('R3 Arena'!$E$9),ISERROR('R3 Arena'!$E$10),ISERROR('R3 Arena'!$E$11),ISERROR('R3 Arena'!$E$12),ISERROR('R3 Arena'!$E$13),ISERROR('R3 Arena'!$E$14),ISERROR('R3 Arena'!$E$15),ISERROR('R3 Arena'!$E$16),ISERROR('R3 Arena'!$E$17)),"✘ Some cells show an error",IF(NOT(AND(IFERROR(AND(ISTEXT('R3 Arena'!$E$6),EXACT('R3 Arena'!$E$6,Key!$E$51)),FALSE),IFERROR(AND(ISTEXT('R3 Arena'!$E$7),EXACT('R3 Arena'!$E$7,Key!$F$51)),FALSE),IFERROR(AND(ISTEXT('R3 Arena'!$E$8),EXACT('R3 Arena'!$E$8,Key!$G$51)),FALSE),IFERROR(AND(ISTEXT('R3 Arena'!$E$9),EXACT('R3 Arena'!$E$9,Key!$H$51)),FALSE),IFERROR(AND(ISTEXT('R3 Arena'!$E$10),EXACT('R3 Arena'!$E$10,Key!$I$51)),FALSE),IFERROR(AND(ISTEXT('R3 Arena'!$E$11),EXACT('R3 Arena'!$E$11,Key!$J$51)),FALSE),IFERROR(AND(ISTEXT('R3 Arena'!$E$12),EXACT('R3 Arena'!$E$12,Key!$K$51)),FALSE),IFERROR(AND(ISTEXT('R3 Arena'!$E$13),EXACT('R3 Arena'!$E$13,Key!$L$51)),FALSE),IFERROR(AND(ISTEXT('R3 Arena'!$E$14),EXACT('R3 Arena'!$E$14,Key!$M$51)),FALSE),IFERROR(AND(ISTEXT('R3 Arena'!$E$15),EXACT('R3 Arena'!$E$15,Key!$N$51)),FALSE),IFERROR(AND(ISTEXT('R3 Arena'!$E$16),EXACT('R3 Arena'!$E$16,Key!$O$51)),FALSE),IFERROR(AND(ISTEXT('R3 Arena'!$E$17),EXACT('R3 Arena'!$E$17,Key!$P$51)),FALSE))),"✘ TRY AGAIN",IF(AND(OR(ISNUMBER(FIND({"=","(",",","+","-","*","/","&amp;"," ","&lt;","&gt;",":","@","^"}&amp;"PROPER"&amp;"(",UPPER(_xlfn.FORMULATEXT('R3 Arena'!$E$6))))),OR(ISNUMBER(FIND({"=","(",",","+","-","*","/","&amp;"," ","&lt;","&gt;",":","@","^"}&amp;"TRIM"&amp;"(",UPPER(_xlfn.FORMULATEXT('R3 Arena'!$E$6)))))),"✔ CLEAR","✘ CLOSE · right value, but use PROPER and TRIM")))))</f>
        <v/>
      </c>
      <c r="E8" s="23"/>
      <c r="F8" s="24" cm="1" t="str">
        <f t="array" ref="F8">IF(E8="Show hint",Key!$B$51,"")</f>
        <v/>
      </c>
      <c r="G8" s="25" cm="1">
        <f t="array" ref="G8">IF(LEFT(D8,1)="✔",IF(E8="Show hint",5,10),0)</f>
        <v>0</v>
      </c>
    </row>
    <row r="9" spans="1:7" ht="35.5" customHeight="1">
      <c r="A9" s="20" t="s">
        <v>65</v>
      </c>
      <c r="B9" s="8" t="s">
        <v>485</v>
      </c>
      <c r="C9" s="11" t="s">
        <v>486</v>
      </c>
      <c r="D9" s="22" cm="1" t="str">
        <f t="array" ref="D9">IF(COUNTA('R3 Arena'!$F$6,'R3 Arena'!$F$7,'R3 Arena'!$F$8,'R3 Arena'!$F$9,'R3 Arena'!$F$10,'R3 Arena'!$F$11,'R3 Arena'!$F$12,'R3 Arena'!$F$13,'R3 Arena'!$F$14,'R3 Arena'!$F$15,'R3 Arena'!$F$16,'R3 Arena'!$F$17)=0,"",IF(OR(NOT(_xlfn.ISFORMULA('R3 Arena'!$F$6)),NOT(_xlfn.ISFORMULA('R3 Arena'!$F$7)),NOT(_xlfn.ISFORMULA('R3 Arena'!$F$8)),NOT(_xlfn.ISFORMULA('R3 Arena'!$F$9)),NOT(_xlfn.ISFORMULA('R3 Arena'!$F$10)),NOT(_xlfn.ISFORMULA('R3 Arena'!$F$11)),NOT(_xlfn.ISFORMULA('R3 Arena'!$F$12)),NOT(_xlfn.ISFORMULA('R3 Arena'!$F$13)),NOT(_xlfn.ISFORMULA('R3 Arena'!$F$14)),NOT(_xlfn.ISFORMULA('R3 Arena'!$F$15)),NOT(_xlfn.ISFORMULA('R3 Arena'!$F$16)),NOT(_xlfn.ISFORMULA('R3 Arena'!$F$17))),"✘ Some cells aren't formulas yet",IF(OR(ISERROR('R3 Arena'!$F$6),ISERROR('R3 Arena'!$F$7),ISERROR('R3 Arena'!$F$8),ISERROR('R3 Arena'!$F$9),ISERROR('R3 Arena'!$F$10),ISERROR('R3 Arena'!$F$11),ISERROR('R3 Arena'!$F$12),ISERROR('R3 Arena'!$F$13),ISERROR('R3 Arena'!$F$14),ISERROR('R3 Arena'!$F$15),ISERROR('R3 Arena'!$F$16),ISERROR('R3 Arena'!$F$17)),"✘ Some cells show an error",IF(NOT(AND(IFERROR(AND(ISNUMBER('R3 Arena'!$F$6),ABS('R3 Arena'!$F$6-Key!$E$52)&lt;=1E-9*MAX(1,ABS(Key!$E$52))),FALSE),IFERROR(AND(ISNUMBER('R3 Arena'!$F$7),ABS('R3 Arena'!$F$7-Key!$F$52)&lt;=1E-9*MAX(1,ABS(Key!$F$52))),FALSE),IFERROR(AND(ISNUMBER('R3 Arena'!$F$8),ABS('R3 Arena'!$F$8-Key!$G$52)&lt;=1E-9*MAX(1,ABS(Key!$G$52))),FALSE),IFERROR(AND(ISNUMBER('R3 Arena'!$F$9),ABS('R3 Arena'!$F$9-Key!$H$52)&lt;=1E-9*MAX(1,ABS(Key!$H$52))),FALSE),IFERROR(AND(ISNUMBER('R3 Arena'!$F$10),ABS('R3 Arena'!$F$10-Key!$I$52)&lt;=1E-9*MAX(1,ABS(Key!$I$52))),FALSE),IFERROR(AND(ISNUMBER('R3 Arena'!$F$11),ABS('R3 Arena'!$F$11-Key!$J$52)&lt;=1E-9*MAX(1,ABS(Key!$J$52))),FALSE),IFERROR(AND(ISNUMBER('R3 Arena'!$F$12),ABS('R3 Arena'!$F$12-Key!$K$52)&lt;=1E-9*MAX(1,ABS(Key!$K$52))),FALSE),IFERROR(AND(ISNUMBER('R3 Arena'!$F$13),ABS('R3 Arena'!$F$13-Key!$L$52)&lt;=1E-9*MAX(1,ABS(Key!$L$52))),FALSE),IFERROR(AND(ISNUMBER('R3 Arena'!$F$14),ABS('R3 Arena'!$F$14-Key!$M$52)&lt;=1E-9*MAX(1,ABS(Key!$M$52))),FALSE),IFERROR(AND(ISNUMBER('R3 Arena'!$F$15),ABS('R3 Arena'!$F$15-Key!$N$52)&lt;=1E-9*MAX(1,ABS(Key!$N$52))),FALSE),IFERROR(AND(ISNUMBER('R3 Arena'!$F$16),ABS('R3 Arena'!$F$16-Key!$O$52)&lt;=1E-9*MAX(1,ABS(Key!$O$52))),FALSE),IFERROR(AND(ISNUMBER('R3 Arena'!$F$17),ABS('R3 Arena'!$F$17-Key!$P$52)&lt;=1E-9*MAX(1,ABS(Key!$P$52))),FALSE))),"✘ TRY AGAIN",IF(AND(OR(ISNUMBER(FIND({"=","(",",","+","-","*","/","&amp;"," ","&lt;","&gt;",":","@","^"}&amp;"VALUE"&amp;"(",UPPER(_xlfn.FORMULATEXT('R3 Arena'!$F$6)))))),"✔ CLEAR","✘ CLOSE · right value, but use VALUE")))))</f>
        <v/>
      </c>
      <c r="E9" s="23"/>
      <c r="F9" s="24" cm="1" t="str">
        <f t="array" ref="F9">IF(E9="Show hint",Key!$B$52,"")</f>
        <v/>
      </c>
      <c r="G9" s="25" cm="1">
        <f t="array" ref="G9">IF(LEFT(D9,1)="✔",IF(E9="Show hint",5,10),0)</f>
        <v>0</v>
      </c>
    </row>
    <row r="10" spans="1:7" ht="35.5" customHeight="1">
      <c r="A10" s="20" t="s">
        <v>69</v>
      </c>
      <c r="B10" s="8" t="s">
        <v>489</v>
      </c>
      <c r="C10" s="11" t="s">
        <v>490</v>
      </c>
      <c r="D10" s="22" cm="1" t="str">
        <f t="array" ref="D10">IF(COUNTA('R3 Arena'!$G$6,'R3 Arena'!$G$7,'R3 Arena'!$G$8,'R3 Arena'!$G$9,'R3 Arena'!$G$10,'R3 Arena'!$G$11,'R3 Arena'!$G$12,'R3 Arena'!$G$13,'R3 Arena'!$G$14,'R3 Arena'!$G$15,'R3 Arena'!$G$16,'R3 Arena'!$G$17)=0,"",IF(OR(NOT(_xlfn.ISFORMULA('R3 Arena'!$G$6)),NOT(_xlfn.ISFORMULA('R3 Arena'!$G$7)),NOT(_xlfn.ISFORMULA('R3 Arena'!$G$8)),NOT(_xlfn.ISFORMULA('R3 Arena'!$G$9)),NOT(_xlfn.ISFORMULA('R3 Arena'!$G$10)),NOT(_xlfn.ISFORMULA('R3 Arena'!$G$11)),NOT(_xlfn.ISFORMULA('R3 Arena'!$G$12)),NOT(_xlfn.ISFORMULA('R3 Arena'!$G$13)),NOT(_xlfn.ISFORMULA('R3 Arena'!$G$14)),NOT(_xlfn.ISFORMULA('R3 Arena'!$G$15)),NOT(_xlfn.ISFORMULA('R3 Arena'!$G$16)),NOT(_xlfn.ISFORMULA('R3 Arena'!$G$17))),"✘ Some cells aren't formulas yet",IF(OR(ISERROR('R3 Arena'!$G$6),ISERROR('R3 Arena'!$G$7),ISERROR('R3 Arena'!$G$8),ISERROR('R3 Arena'!$G$9),ISERROR('R3 Arena'!$G$10),ISERROR('R3 Arena'!$G$11),ISERROR('R3 Arena'!$G$12),ISERROR('R3 Arena'!$G$13),ISERROR('R3 Arena'!$G$14),ISERROR('R3 Arena'!$G$15),ISERROR('R3 Arena'!$G$16),ISERROR('R3 Arena'!$G$17)),"✘ Some cells show an error",IF(NOT(AND(IFERROR(AND(ISTEXT('R3 Arena'!$G$6),'R3 Arena'!$G$6=Key!$E$53),FALSE),IFERROR(AND(ISTEXT('R3 Arena'!$G$7),'R3 Arena'!$G$7=Key!$F$53),FALSE),IFERROR(AND(ISTEXT('R3 Arena'!$G$8),'R3 Arena'!$G$8=Key!$G$53),FALSE),IFERROR(AND(ISTEXT('R3 Arena'!$G$9),'R3 Arena'!$G$9=Key!$H$53),FALSE),IFERROR(AND(ISTEXT('R3 Arena'!$G$10),'R3 Arena'!$G$10=Key!$I$53),FALSE),IFERROR(AND(ISTEXT('R3 Arena'!$G$11),'R3 Arena'!$G$11=Key!$J$53),FALSE),IFERROR(AND(ISTEXT('R3 Arena'!$G$12),'R3 Arena'!$G$12=Key!$K$53),FALSE),IFERROR(AND(ISTEXT('R3 Arena'!$G$13),'R3 Arena'!$G$13=Key!$L$53),FALSE),IFERROR(AND(ISTEXT('R3 Arena'!$G$14),'R3 Arena'!$G$14=Key!$M$53),FALSE),IFERROR(AND(ISTEXT('R3 Arena'!$G$15),'R3 Arena'!$G$15=Key!$N$53),FALSE),IFERROR(AND(ISTEXT('R3 Arena'!$G$16),'R3 Arena'!$G$16=Key!$O$53),FALSE),IFERROR(AND(ISTEXT('R3 Arena'!$G$17),'R3 Arena'!$G$17=Key!$P$53),FALSE))),"✘ TRY AGAIN",IF(AND(OR(ISNUMBER(FIND({"=","(",",","+","-","*","/","&amp;"," ","&lt;","&gt;",":","@","^"}&amp;"XLOOKUP"&amp;"(",UPPER(_xlfn.FORMULATEXT('R3 Arena'!$G$6)))))),IF(ISNUMBER(FIND("$",_xlfn.FORMULATEXT('R3 Arena'!$G$6))),"✔ CLEAR","✘ CLOSE · add $ so it fills correctly (F4)"),"✘ CLOSE · right value, but use XLOOKUP")))))</f>
        <v/>
      </c>
      <c r="E10" s="23"/>
      <c r="F10" s="24" cm="1" t="str">
        <f t="array" ref="F10">IF(E10="Show hint",Key!$B$53,"")</f>
        <v/>
      </c>
      <c r="G10" s="25" cm="1">
        <f t="array" ref="G10">IF(LEFT(D10,1)="✔",IF(E10="Show hint",5,10),0)</f>
        <v>0</v>
      </c>
    </row>
    <row r="11" spans="1:7" ht="35.5" customHeight="1">
      <c r="A11" s="20" t="s">
        <v>73</v>
      </c>
      <c r="B11" s="8" t="s">
        <v>493</v>
      </c>
      <c r="C11" s="11" t="s">
        <v>494</v>
      </c>
      <c r="D11" s="22" cm="1" t="str">
        <f t="array" ref="D11">IF(ISBLANK('R3 Arena'!$O$6),"",IF(NOT(_xlfn.ISFORMULA('R3 Arena'!$O$6)),"✘ That's a typed value · enter a formula",IF(ISERROR('R3 Arena'!$O$6),"✘ Your formula returns "&amp;IFERROR(CHOOSE(ERROR.TYPE('R3 Arena'!$O$6),"#NULL!","#DIV/0!","#VALUE!","#REF!","#NAME?","#NUM!","#N/A","#GETTING_DATA","#SPILL!","#CONNECT!","#BLOCKED!","#UNKNOWN!","#FIELD!","#CALC!"),"an error"),IF(NOT(AND(IFERROR(AND(ISNUMBER('R3 Arena'!$O$6),ABS('R3 Arena'!$O$6-Key!$C$54)&lt;=1E-9*MAX(1,ABS(Key!$C$54))),FALSE))),"✘ TRY AGAIN",IF(AND(OR(ISNUMBER(FIND({"=","(",",","+","-","*","/","&amp;"," ","&lt;","&gt;",":","@","^"}&amp;"SUMIFS"&amp;"(",UPPER(_xlfn.FORMULATEXT('R3 Arena'!$O$6)))))),"✔ CLEAR","✘ CLOSE · right value, but use SUMIFS")))))</f>
        <v/>
      </c>
      <c r="E11" s="23"/>
      <c r="F11" s="24" cm="1" t="str">
        <f t="array" ref="F11">IF(E11="Show hint",Key!$B$54,"")</f>
        <v/>
      </c>
      <c r="G11" s="25" cm="1">
        <f t="array" ref="G11">IF(LEFT(D11,1)="✔",IF(E11="Show hint",5,10),0)</f>
        <v>0</v>
      </c>
    </row>
    <row r="12" spans="1:7" ht="51.25" customHeight="1">
      <c r="A12" s="20" t="s">
        <v>77</v>
      </c>
      <c r="B12" s="8" t="s">
        <v>497</v>
      </c>
      <c r="C12" s="11" t="s">
        <v>498</v>
      </c>
      <c r="D12" s="22" cm="1" t="str">
        <f t="array" ref="D12">IF(COUNTA('R3 Arena'!$H$6,'R3 Arena'!$H$7,'R3 Arena'!$H$8,'R3 Arena'!$H$9,'R3 Arena'!$H$10,'R3 Arena'!$H$11,'R3 Arena'!$H$12,'R3 Arena'!$H$13,'R3 Arena'!$H$14,'R3 Arena'!$H$15,'R3 Arena'!$H$16,'R3 Arena'!$H$17)=0,"",IF(OR(NOT(_xlfn.ISFORMULA('R3 Arena'!$H$6)),NOT(_xlfn.ISFORMULA('R3 Arena'!$H$7)),NOT(_xlfn.ISFORMULA('R3 Arena'!$H$8)),NOT(_xlfn.ISFORMULA('R3 Arena'!$H$9)),NOT(_xlfn.ISFORMULA('R3 Arena'!$H$10)),NOT(_xlfn.ISFORMULA('R3 Arena'!$H$11)),NOT(_xlfn.ISFORMULA('R3 Arena'!$H$12)),NOT(_xlfn.ISFORMULA('R3 Arena'!$H$13)),NOT(_xlfn.ISFORMULA('R3 Arena'!$H$14)),NOT(_xlfn.ISFORMULA('R3 Arena'!$H$15)),NOT(_xlfn.ISFORMULA('R3 Arena'!$H$16)),NOT(_xlfn.ISFORMULA('R3 Arena'!$H$17))),"✘ Some cells aren't formulas yet",IF(OR(ISERROR('R3 Arena'!$H$6),ISERROR('R3 Arena'!$H$7),ISERROR('R3 Arena'!$H$8),ISERROR('R3 Arena'!$H$9),ISERROR('R3 Arena'!$H$10),ISERROR('R3 Arena'!$H$11),ISERROR('R3 Arena'!$H$12),ISERROR('R3 Arena'!$H$13),ISERROR('R3 Arena'!$H$14),ISERROR('R3 Arena'!$H$15),ISERROR('R3 Arena'!$H$16),ISERROR('R3 Arena'!$H$17)),"✘ Some cells show an error",IF(NOT(AND(IFERROR(AND(ISTEXT('R3 Arena'!$H$6),'R3 Arena'!$H$6=Key!$E$55),FALSE),IFERROR(AND(ISTEXT('R3 Arena'!$H$7),'R3 Arena'!$H$7=Key!$F$55),FALSE),IFERROR(AND(ISTEXT('R3 Arena'!$H$8),'R3 Arena'!$H$8=Key!$G$55),FALSE),IFERROR(AND(ISTEXT('R3 Arena'!$H$9),'R3 Arena'!$H$9=Key!$H$55),FALSE),IFERROR(AND(ISTEXT('R3 Arena'!$H$10),'R3 Arena'!$H$10=Key!$I$55),FALSE),IFERROR(AND(ISTEXT('R3 Arena'!$H$11),'R3 Arena'!$H$11=Key!$J$55),FALSE),IFERROR(AND(ISTEXT('R3 Arena'!$H$12),'R3 Arena'!$H$12=Key!$K$55),FALSE),IFERROR(AND(ISTEXT('R3 Arena'!$H$13),'R3 Arena'!$H$13=Key!$L$55),FALSE),IFERROR(AND(ISTEXT('R3 Arena'!$H$14),'R3 Arena'!$H$14=Key!$M$55),FALSE),IFERROR(AND(ISTEXT('R3 Arena'!$H$15),'R3 Arena'!$H$15=Key!$N$55),FALSE),IFERROR(AND(ISTEXT('R3 Arena'!$H$16),'R3 Arena'!$H$16=Key!$O$55),FALSE),IFERROR(AND(ISTEXT('R3 Arena'!$H$17),'R3 Arena'!$H$17=Key!$P$55),FALSE))),"✘ TRY AGAIN",IF(AND(OR(ISNUMBER(FIND({"=","(",",","+","-","*","/","&amp;"," ","&lt;","&gt;",":","@","^"}&amp;"IF"&amp;"(",UPPER(_xlfn.FORMULATEXT('R3 Arena'!$H$6)))))),"✔ CLEAR","✘ CLOSE · right value, but use IF")))))</f>
        <v/>
      </c>
      <c r="E12" s="23"/>
      <c r="F12" s="24" cm="1" t="str">
        <f t="array" ref="F12">IF(E12="Show hint",Key!$B$55,"")</f>
        <v/>
      </c>
      <c r="G12" s="25" cm="1">
        <f t="array" ref="G12">IF(LEFT(D12,1)="✔",IF(E12="Show hint",5,10),0)</f>
        <v>0</v>
      </c>
    </row>
    <row r="13" spans="1:7" ht="35.5" customHeight="1">
      <c r="A13" s="20" t="s">
        <v>82</v>
      </c>
      <c r="B13" s="8" t="s">
        <v>501</v>
      </c>
      <c r="C13" s="11" t="s">
        <v>502</v>
      </c>
      <c r="D13" s="22" cm="1" t="str">
        <f t="array" ref="D13">IF(ISBLANK('R3 Arena'!$Q$6),"",IF(NOT(_xlfn.ISFORMULA('R3 Arena'!$Q$6)),"✘ That's a typed value · enter a formula",IF(ISERROR('R3 Arena'!$Q$6),"✘ Your formula returns "&amp;IFERROR(CHOOSE(ERROR.TYPE('R3 Arena'!$Q$6),"#NULL!","#DIV/0!","#VALUE!","#REF!","#NAME?","#NUM!","#N/A","#GETTING_DATA","#SPILL!","#CONNECT!","#BLOCKED!","#UNKNOWN!","#FIELD!","#CALC!"),"an error"),IF(IFERROR(AND(ROWS(_xlfn.ANCHORARRAY('R3 Arena'!$Q$6))=ROWS(_xlfn.ANCHORARRAY(Key!$E$2101)),COLUMNS(_xlfn.ANCHORARRAY('R3 Arena'!$Q$6))=COLUMNS(_xlfn.ANCHORARRAY(Key!$E$2101)),SUM(--(_xlfn.ANCHORARRAY('R3 Arena'!$Q$6)=_xlfn.ANCHORARRAY(Key!$E$2101)))=ROWS(_xlfn.ANCHORARRAY(Key!$E$2101))*COLUMNS(_xlfn.ANCHORARRAY(Key!$E$2101))),FALSE),IF(AND(OR(ISNUMBER(FIND({"=","(",",","+","-","*","/","&amp;"," ","&lt;","&gt;",":","@","^"}&amp;"SORT"&amp;"(",UPPER(_xlfn.FORMULATEXT('R3 Arena'!$Q$6))))),OR(ISNUMBER(FIND({"=","(",",","+","-","*","/","&amp;"," ","&lt;","&gt;",":","@","^"}&amp;"UNIQUE"&amp;"(",UPPER(_xlfn.FORMULATEXT('R3 Arena'!$Q$6)))))),"✔ CLEAR","✘ CLOSE · right result, but use SORT and UNIQUE"),"✘ TRY AGAIN"))))</f>
        <v/>
      </c>
      <c r="E13" s="23"/>
      <c r="F13" s="24" cm="1" t="str">
        <f t="array" ref="F13">IF(E13="Show hint",Key!$B$56,"")</f>
        <v/>
      </c>
      <c r="G13" s="25" cm="1">
        <f t="array" ref="G13">IF(LEFT(D13,1)="✔",IF(E13="Show hint",5,10),0)</f>
        <v>0</v>
      </c>
    </row>
    <row r="14" spans="1:7" ht="35.5" customHeight="1">
      <c r="A14" s="20" t="s">
        <v>87</v>
      </c>
      <c r="B14" s="8" t="s">
        <v>505</v>
      </c>
      <c r="C14" s="11" t="s">
        <v>506</v>
      </c>
      <c r="D14" s="22" cm="1" t="str">
        <f t="array" ref="D14">IF(IFERROR(AND(OR(CELL("format",'R3 Arena'!$F$6)="C2",CELL("format",'R3 Arena'!$F$6)="C2-"),OR(CELL("format",'R3 Arena'!$F$7)="C2",CELL("format",'R3 Arena'!$F$7)="C2-"),OR(CELL("format",'R3 Arena'!$F$8)="C2",CELL("format",'R3 Arena'!$F$8)="C2-"),OR(CELL("format",'R3 Arena'!$F$9)="C2",CELL("format",'R3 Arena'!$F$9)="C2-"),OR(CELL("format",'R3 Arena'!$F$10)="C2",CELL("format",'R3 Arena'!$F$10)="C2-"),OR(CELL("format",'R3 Arena'!$F$11)="C2",CELL("format",'R3 Arena'!$F$11)="C2-"),OR(CELL("format",'R3 Arena'!$F$12)="C2",CELL("format",'R3 Arena'!$F$12)="C2-"),OR(CELL("format",'R3 Arena'!$F$13)="C2",CELL("format",'R3 Arena'!$F$13)="C2-"),OR(CELL("format",'R3 Arena'!$F$14)="C2",CELL("format",'R3 Arena'!$F$14)="C2-"),OR(CELL("format",'R3 Arena'!$F$15)="C2",CELL("format",'R3 Arena'!$F$15)="C2-"),OR(CELL("format",'R3 Arena'!$F$16)="C2",CELL("format",'R3 Arena'!$F$16)="C2-"),OR(CELL("format",'R3 Arena'!$F$17)="C2",CELL("format",'R3 Arena'!$F$17)="C2-")),FALSE),"✔ CLEAR","· not yet · press F9")</f>
        <v>· not yet · press F9</v>
      </c>
      <c r="E14" s="23"/>
      <c r="F14" s="24" cm="1" t="str">
        <f t="array" ref="F14">IF(E14="Show hint",Key!$B$57,"")</f>
        <v/>
      </c>
      <c r="G14" s="25" cm="1">
        <f t="array" ref="G14">IF(LEFT(D14,1)="✔",IF(E14="Show hint",5,10),0)</f>
        <v>0</v>
      </c>
    </row>
    <row r="15" spans="1:7" ht="51.25" customHeight="1">
      <c r="A15" s="20" t="s">
        <v>92</v>
      </c>
      <c r="B15" s="8" t="s">
        <v>510</v>
      </c>
      <c r="C15" s="21"/>
      <c r="D15" s="22" cm="1" t="str">
        <f t="array" ref="D15">IFERROR(IF('R3 Real-World Mission'!$C$15="Done","✔ CLEAR · self-check",""),"✘ TRY AGAIN")</f>
        <v/>
      </c>
      <c r="E15" s="23"/>
      <c r="F15" s="24" cm="1" t="str">
        <f t="array" ref="F15">IF(E15="Show hint",Key!$B$58,"")</f>
        <v/>
      </c>
      <c r="G15" s="25" cm="1">
        <f t="array" ref="G15">IF(LEFT(D15,1)="✔",IF(E15="Show hint",5,10),0)</f>
        <v>0</v>
      </c>
    </row>
  </sheetData>
  <sheetProtection sheet="1" objects="1" scenarios="1" formatColumns="0" formatRows="0"/>
  <conditionalFormatting sqref="D8:D15">
    <cfRule type="expression" dxfId="0" priority="1">
      <formula>LEFT($D8,1)="✔"</formula>
    </cfRule>
    <cfRule type="expression" dxfId="1" priority="2">
      <formula>LEFT($D8,1)="✘"</formula>
    </cfRule>
    <cfRule type="expression" dxfId="2" priority="3">
      <formula>$D8="LOCKED"</formula>
    </cfRule>
  </conditionalFormatting>
  <dataValidations count="9">
    <dataValidation type="list" allowBlank="1" showInputMessage="1" showErrorMessage="1" promptTitle="Need a hint?" prompt="Pick 'Show hint' (Alt+Down). This question then gives 5 XP instead of 10." sqref="E8">
      <formula1>"Show hint"</formula1>
    </dataValidation>
    <dataValidation type="list" allowBlank="1" showInputMessage="1" showErrorMessage="1" promptTitle="Need a hint?" prompt="Pick 'Show hint' (Alt+Down). This question then gives 5 XP instead of 10." sqref="E9">
      <formula1>"Show hint"</formula1>
    </dataValidation>
    <dataValidation type="list" allowBlank="1" showInputMessage="1" showErrorMessage="1" promptTitle="Need a hint?" prompt="Pick 'Show hint' (Alt+Down). This question then gives 5 XP instead of 10." sqref="E10">
      <formula1>"Show hint"</formula1>
    </dataValidation>
    <dataValidation type="list" allowBlank="1" showInputMessage="1" showErrorMessage="1" promptTitle="Need a hint?" prompt="Pick 'Show hint' (Alt+Down). This question then gives 5 XP instead of 10." sqref="E11">
      <formula1>"Show hint"</formula1>
    </dataValidation>
    <dataValidation type="list" allowBlank="1" showInputMessage="1" showErrorMessage="1" promptTitle="Need a hint?" prompt="Pick 'Show hint' (Alt+Down). This question then gives 5 XP instead of 10." sqref="E12">
      <formula1>"Show hint"</formula1>
    </dataValidation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type="list" allowBlank="1" showInputMessage="1" showErrorMessage="1" promptTitle="Self-check" prompt="Do the task in the arena, then pick Done from the list (Alt+Down)." sqref="C15">
      <formula1>"Done"</formula1>
    </dataValidation>
    <dataValidation type="list" allowBlank="1" showInputMessage="1" showErrorMessage="1" promptTitle="Need a hint?" prompt="Pick 'Show hint' (Alt+Down). This question then gives 5 XP instead of 10." sqref="E15">
      <formula1>"Show hint"</formula1>
    </dataValidation>
  </dataValidations>
  <hyperlinks>
    <hyperlink ref="B6" location="'R3 Arena'!A1" display="▶ Open R3 Arena (or press Ctrl+PgDn)"/>
    <hyperlink ref="C8" location="'R3 Arena'!E6" tooltip="Go to R3 Arena, cell E6" display="▶ ARENA M1 (cell E6)"/>
    <hyperlink ref="C9" location="'R3 Arena'!F6" tooltip="Go to R3 Arena, cell F6" display="▶ ARENA M2 (cell F6)"/>
    <hyperlink ref="C10" location="'R3 Arena'!G6" tooltip="Go to R3 Arena, cell G6" display="▶ ARENA M3 (cell G6)"/>
    <hyperlink ref="C11" location="'R3 Arena'!O6" tooltip="Go to R3 Arena, cell O6" display="▶ ARENA M4 (cell O6)"/>
    <hyperlink ref="C12" location="'R3 Arena'!H6" tooltip="Go to R3 Arena, cell H6" display="▶ ARENA M5 (cell H6)"/>
    <hyperlink ref="C13" location="'R3 Arena'!Q6" tooltip="Go to R3 Arena, cell Q6" display="▶ ARENA M6 (cell Q6)"/>
    <hyperlink ref="C14" location="'R3 Arena'!F6" tooltip="Go to R3 Arena, cell F6" display="▶ ARENA M7 (cell F6)"/>
  </hyperlink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cols>
    <col min="1" max="1" width="14.7109375" customWidth="1"/>
    <col min="2" max="2" width="22.7109375" customWidth="1"/>
    <col min="3" max="4" width="13.7109375" customWidth="1"/>
    <col min="5" max="5" width="22.7109375" customWidth="1"/>
    <col min="6" max="13" width="13.7109375" customWidth="1"/>
    <col min="14" max="14" width="14.7109375" customWidth="1"/>
    <col min="15" max="26" width="13.7109375" customWidth="1"/>
  </cols>
  <sheetData>
    <row r="1" spans="1:17">
      <c r="A1" s="1" t="s">
        <v>439</v>
      </c>
    </row>
    <row r="2" spans="1:17">
      <c r="A2" s="3" t="s">
        <v>5</v>
      </c>
    </row>
    <row r="3" spans="1:17">
      <c r="A3" s="26" t="s">
        <v>6</v>
      </c>
      <c r="B3" s="27" t="s">
        <v>440</v>
      </c>
      <c r="D3" s="11" t="s">
        <v>441</v>
      </c>
    </row>
    <row r="5" spans="1:17">
      <c r="B5" s="28" t="s">
        <v>442</v>
      </c>
      <c r="C5" s="28" t="s">
        <v>443</v>
      </c>
      <c r="D5" s="28" t="s">
        <v>444</v>
      </c>
      <c r="E5" s="28" t="s">
        <v>445</v>
      </c>
      <c r="F5" s="28" t="s">
        <v>446</v>
      </c>
      <c r="G5" s="28" t="s">
        <v>19</v>
      </c>
      <c r="H5" s="28" t="s">
        <v>447</v>
      </c>
      <c r="K5" s="28" t="s">
        <v>443</v>
      </c>
      <c r="L5" s="28" t="s">
        <v>19</v>
      </c>
      <c r="Q5" s="28" t="s">
        <v>477</v>
      </c>
    </row>
    <row r="6" spans="1:17">
      <c r="B6" s="5" t="s">
        <v>448</v>
      </c>
      <c r="C6" s="5" t="s">
        <v>449</v>
      </c>
      <c r="D6" s="5" t="s">
        <v>450</v>
      </c>
      <c r="E6" s="29"/>
      <c r="F6" s="29"/>
      <c r="G6" s="29"/>
      <c r="H6" s="29"/>
      <c r="K6" s="5" t="s">
        <v>449</v>
      </c>
      <c r="L6" s="5" t="s">
        <v>23</v>
      </c>
      <c r="N6" s="7" t="s">
        <v>476</v>
      </c>
      <c r="O6" s="29"/>
      <c r="Q6" s="29"/>
    </row>
    <row r="7" spans="1:17">
      <c r="B7" s="5" t="s">
        <v>451</v>
      </c>
      <c r="C7" s="5" t="s">
        <v>452</v>
      </c>
      <c r="D7" s="5" t="s">
        <v>453</v>
      </c>
      <c r="E7" s="29"/>
      <c r="F7" s="29"/>
      <c r="G7" s="29"/>
      <c r="H7" s="29"/>
      <c r="K7" s="5" t="s">
        <v>452</v>
      </c>
      <c r="L7" s="5" t="s">
        <v>26</v>
      </c>
    </row>
    <row r="8" spans="1:17">
      <c r="B8" s="5" t="s">
        <v>454</v>
      </c>
      <c r="C8" s="5" t="s">
        <v>455</v>
      </c>
      <c r="D8" s="5" t="s">
        <v>456</v>
      </c>
      <c r="E8" s="29"/>
      <c r="F8" s="29"/>
      <c r="G8" s="29"/>
      <c r="H8" s="29"/>
      <c r="K8" s="5" t="s">
        <v>455</v>
      </c>
      <c r="L8" s="5" t="s">
        <v>29</v>
      </c>
    </row>
    <row r="9" spans="1:17">
      <c r="B9" s="5" t="s">
        <v>457</v>
      </c>
      <c r="C9" s="5" t="s">
        <v>458</v>
      </c>
      <c r="D9" s="5" t="s">
        <v>459</v>
      </c>
      <c r="E9" s="29"/>
      <c r="F9" s="29"/>
      <c r="G9" s="29"/>
      <c r="H9" s="29"/>
      <c r="K9" s="5" t="s">
        <v>458</v>
      </c>
      <c r="L9" s="5" t="s">
        <v>33</v>
      </c>
    </row>
    <row r="10" spans="1:17">
      <c r="B10" s="5" t="s">
        <v>460</v>
      </c>
      <c r="C10" s="5" t="s">
        <v>449</v>
      </c>
      <c r="D10" s="5" t="s">
        <v>461</v>
      </c>
      <c r="E10" s="29"/>
      <c r="F10" s="29"/>
      <c r="G10" s="29"/>
      <c r="H10" s="29"/>
    </row>
    <row r="11" spans="1:17">
      <c r="B11" s="5" t="s">
        <v>462</v>
      </c>
      <c r="C11" s="5" t="s">
        <v>452</v>
      </c>
      <c r="D11" s="5" t="s">
        <v>463</v>
      </c>
      <c r="E11" s="29"/>
      <c r="F11" s="29"/>
      <c r="G11" s="29"/>
      <c r="H11" s="29"/>
    </row>
    <row r="12" spans="1:17">
      <c r="B12" s="5" t="s">
        <v>464</v>
      </c>
      <c r="C12" s="5" t="s">
        <v>455</v>
      </c>
      <c r="D12" s="5" t="s">
        <v>465</v>
      </c>
      <c r="E12" s="29"/>
      <c r="F12" s="29"/>
      <c r="G12" s="29"/>
      <c r="H12" s="29"/>
    </row>
    <row r="13" spans="1:17">
      <c r="B13" s="5" t="s">
        <v>466</v>
      </c>
      <c r="C13" s="5" t="s">
        <v>449</v>
      </c>
      <c r="D13" s="5" t="s">
        <v>467</v>
      </c>
      <c r="E13" s="29"/>
      <c r="F13" s="29"/>
      <c r="G13" s="29"/>
      <c r="H13" s="29"/>
    </row>
    <row r="14" spans="1:17">
      <c r="B14" s="5" t="s">
        <v>468</v>
      </c>
      <c r="C14" s="5" t="s">
        <v>458</v>
      </c>
      <c r="D14" s="5" t="s">
        <v>469</v>
      </c>
      <c r="E14" s="29"/>
      <c r="F14" s="29"/>
      <c r="G14" s="29"/>
      <c r="H14" s="29"/>
    </row>
    <row r="15" spans="1:17">
      <c r="B15" s="5" t="s">
        <v>470</v>
      </c>
      <c r="C15" s="5" t="s">
        <v>452</v>
      </c>
      <c r="D15" s="5" t="s">
        <v>471</v>
      </c>
      <c r="E15" s="29"/>
      <c r="F15" s="29"/>
      <c r="G15" s="29"/>
      <c r="H15" s="29"/>
    </row>
    <row r="16" spans="1:17">
      <c r="B16" s="5" t="s">
        <v>472</v>
      </c>
      <c r="C16" s="5" t="s">
        <v>455</v>
      </c>
      <c r="D16" s="5" t="s">
        <v>473</v>
      </c>
      <c r="E16" s="29"/>
      <c r="F16" s="29"/>
      <c r="G16" s="29"/>
      <c r="H16" s="29"/>
    </row>
    <row r="17" spans="2:8">
      <c r="B17" s="5" t="s">
        <v>474</v>
      </c>
      <c r="C17" s="5" t="s">
        <v>449</v>
      </c>
      <c r="D17" s="5" t="s">
        <v>475</v>
      </c>
      <c r="E17" s="29"/>
      <c r="F17" s="29"/>
      <c r="G17" s="29"/>
      <c r="H17" s="29"/>
    </row>
  </sheetData>
  <hyperlinks>
    <hyperlink ref="D3" location="'R3 Real-World Mission'!A1" display="◀ Back to R3 Real-World Mission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B8860B"/>
  </sheetPr>
  <dimension ref="A1:C13"/>
  <sheetViews>
    <sheetView showGridLines="0" workbookViewId="0"/>
  </sheetViews>
  <sheetFormatPr defaultRowHeight="15"/>
  <cols>
    <col min="1" max="1" width="4.7109375" customWidth="1"/>
    <col min="2" max="2" width="40.7109375" customWidth="1"/>
    <col min="3" max="3" width="44.7109375" customWidth="1"/>
  </cols>
  <sheetData>
    <row r="1" spans="1:3" ht="34" customHeight="1">
      <c r="A1" s="1" t="s">
        <v>548</v>
      </c>
      <c r="B1" s="2"/>
      <c r="C1" s="2"/>
    </row>
    <row r="2" spans="1:3">
      <c r="A2" s="3" t="s">
        <v>549</v>
      </c>
    </row>
    <row r="5" spans="1:3">
      <c r="B5" s="7" t="s">
        <v>550</v>
      </c>
      <c r="C5" s="29"/>
    </row>
    <row r="7" spans="1:3">
      <c r="B7" s="7" t="s">
        <v>551</v>
      </c>
      <c r="C7" s="30"/>
    </row>
    <row r="9" spans="1:3">
      <c r="B9" s="7" t="s">
        <v>552</v>
      </c>
      <c r="C9" s="12" cm="1" t="str">
        <f t="array" ref="C9">Start!$B$18</f>
        <v>D</v>
      </c>
    </row>
    <row r="11" spans="1:3" ht="51.25" customHeight="1">
      <c r="B11" s="32" cm="1" t="str">
        <f t="array" ref="B11">"This certifies that "&amp;IF(C5="","[your name]",C5)&amp;" conquered the Excel Arcade with rank "&amp;C9&amp;"."</f>
        <v>This certifies that [your name] conquered the Excel Arcade with rank D.</v>
      </c>
    </row>
    <row r="13" spans="1:3">
      <c r="B13" s="33" t="s">
        <v>553</v>
      </c>
    </row>
  </sheetData>
  <sheetProtection sheet="1" objects="1" scenarios="1" formatColumns="0" formatRows="0"/>
  <dataValidations count="1">
    <dataValidation allowBlank="1" showInputMessage="1" showErrorMessage="1" promptTitle="Your name" prompt="Type your name." sqref="C5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210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E1" t="s">
        <v>3</v>
      </c>
    </row>
    <row r="2" spans="1:10">
      <c r="A2" t="s">
        <v>59</v>
      </c>
      <c r="B2" t="s">
        <v>60</v>
      </c>
      <c r="C2" t="s">
        <v>10</v>
      </c>
    </row>
    <row r="3" spans="1:10">
      <c r="A3" t="s">
        <v>63</v>
      </c>
      <c r="B3" t="s">
        <v>64</v>
      </c>
      <c r="C3" t="s">
        <v>12</v>
      </c>
    </row>
    <row r="4" spans="1:10">
      <c r="A4" t="s">
        <v>67</v>
      </c>
      <c r="B4" t="s">
        <v>68</v>
      </c>
      <c r="C4" t="s">
        <v>17</v>
      </c>
    </row>
    <row r="5" spans="1:10">
      <c r="A5" t="s">
        <v>71</v>
      </c>
      <c r="B5" t="s">
        <v>72</v>
      </c>
      <c r="C5" t="s">
        <v>50</v>
      </c>
    </row>
    <row r="6" spans="1:10">
      <c r="A6" t="s">
        <v>75</v>
      </c>
      <c r="B6" t="s">
        <v>76</v>
      </c>
    </row>
    <row r="7" spans="1:10">
      <c r="A7" t="s">
        <v>80</v>
      </c>
      <c r="B7" t="s">
        <v>81</v>
      </c>
    </row>
    <row r="8" spans="1:10">
      <c r="A8" t="s">
        <v>85</v>
      </c>
      <c r="B8" t="s">
        <v>86</v>
      </c>
    </row>
    <row r="9" spans="1:10">
      <c r="A9" t="s">
        <v>90</v>
      </c>
      <c r="B9" t="s">
        <v>91</v>
      </c>
    </row>
    <row r="10" spans="1:10">
      <c r="A10" t="s">
        <v>95</v>
      </c>
      <c r="B10" t="s">
        <v>96</v>
      </c>
    </row>
    <row r="11" spans="1:10">
      <c r="A11" t="s">
        <v>125</v>
      </c>
      <c r="B11" t="s">
        <v>126</v>
      </c>
      <c r="E11" t="s">
        <v>127</v>
      </c>
      <c r="F11" t="s">
        <v>128</v>
      </c>
      <c r="G11" t="s">
        <v>129</v>
      </c>
      <c r="H11" t="s">
        <v>130</v>
      </c>
    </row>
    <row r="12" spans="1:10">
      <c r="A12" t="s">
        <v>133</v>
      </c>
      <c r="B12" t="s">
        <v>134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</row>
    <row r="13" spans="1:10">
      <c r="A13" t="s">
        <v>143</v>
      </c>
      <c r="B13" t="s">
        <v>144</v>
      </c>
      <c r="E13" t="s">
        <v>145</v>
      </c>
      <c r="F13" t="s">
        <v>146</v>
      </c>
      <c r="G13" t="s">
        <v>147</v>
      </c>
      <c r="H13" t="s">
        <v>148</v>
      </c>
      <c r="I13" t="s">
        <v>149</v>
      </c>
      <c r="J13" t="s">
        <v>150</v>
      </c>
    </row>
    <row r="14" spans="1:10">
      <c r="A14" t="s">
        <v>153</v>
      </c>
      <c r="B14" t="s">
        <v>154</v>
      </c>
      <c r="E14" t="s">
        <v>155</v>
      </c>
      <c r="F14" t="s">
        <v>156</v>
      </c>
      <c r="G14" t="s">
        <v>157</v>
      </c>
      <c r="H14" t="s">
        <v>158</v>
      </c>
      <c r="I14" t="s">
        <v>159</v>
      </c>
      <c r="J14" t="s">
        <v>160</v>
      </c>
    </row>
    <row r="15" spans="1:10">
      <c r="A15" t="s">
        <v>163</v>
      </c>
      <c r="B15" t="s">
        <v>164</v>
      </c>
      <c r="E15" t="s">
        <v>165</v>
      </c>
      <c r="F15" t="s">
        <v>166</v>
      </c>
      <c r="G15" t="s">
        <v>167</v>
      </c>
      <c r="H15" t="s">
        <v>168</v>
      </c>
      <c r="I15" t="s">
        <v>169</v>
      </c>
      <c r="J15" t="s">
        <v>170</v>
      </c>
    </row>
    <row r="16" spans="1:10">
      <c r="A16" t="s">
        <v>173</v>
      </c>
      <c r="B16" t="s">
        <v>174</v>
      </c>
      <c r="E16" t="s">
        <v>158</v>
      </c>
    </row>
    <row r="17" spans="1:10">
      <c r="A17" t="s">
        <v>177</v>
      </c>
      <c r="B17" t="s">
        <v>178</v>
      </c>
      <c r="E17" t="s">
        <v>179</v>
      </c>
      <c r="F17" t="s">
        <v>180</v>
      </c>
      <c r="G17" t="s">
        <v>181</v>
      </c>
      <c r="H17" t="s">
        <v>182</v>
      </c>
      <c r="I17" t="s">
        <v>183</v>
      </c>
      <c r="J17" t="s">
        <v>184</v>
      </c>
    </row>
    <row r="18" spans="1:10">
      <c r="A18" t="s">
        <v>187</v>
      </c>
      <c r="B18" t="s">
        <v>188</v>
      </c>
      <c r="E18" t="s">
        <v>189</v>
      </c>
      <c r="F18" t="s">
        <v>190</v>
      </c>
      <c r="G18" t="s">
        <v>191</v>
      </c>
      <c r="H18" t="s">
        <v>192</v>
      </c>
      <c r="I18" t="s">
        <v>193</v>
      </c>
      <c r="J18" t="s">
        <v>194</v>
      </c>
    </row>
    <row r="19" spans="1:10">
      <c r="A19" t="s">
        <v>197</v>
      </c>
      <c r="B19" t="s">
        <v>198</v>
      </c>
      <c r="E19" t="s">
        <v>182</v>
      </c>
    </row>
    <row r="20" spans="1:10">
      <c r="A20" t="s">
        <v>201</v>
      </c>
      <c r="B20" t="s">
        <v>202</v>
      </c>
      <c r="E20" t="s">
        <v>203</v>
      </c>
      <c r="F20" t="s">
        <v>204</v>
      </c>
      <c r="G20" t="s">
        <v>205</v>
      </c>
      <c r="H20" t="s">
        <v>206</v>
      </c>
      <c r="I20" t="s">
        <v>207</v>
      </c>
      <c r="J20" t="s">
        <v>208</v>
      </c>
    </row>
    <row r="21" spans="1:10">
      <c r="A21" t="s">
        <v>211</v>
      </c>
      <c r="B21" t="s">
        <v>134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</row>
    <row r="22" spans="1:10">
      <c r="A22" t="s">
        <v>220</v>
      </c>
      <c r="B22" t="s">
        <v>221</v>
      </c>
      <c r="E22" t="s">
        <v>222</v>
      </c>
      <c r="F22" t="s">
        <v>223</v>
      </c>
      <c r="G22" t="s">
        <v>224</v>
      </c>
      <c r="H22" t="s">
        <v>225</v>
      </c>
      <c r="I22" t="s">
        <v>226</v>
      </c>
      <c r="J22" t="s">
        <v>227</v>
      </c>
    </row>
    <row r="23" spans="1:10">
      <c r="A23" t="s">
        <v>230</v>
      </c>
      <c r="B23" t="s">
        <v>231</v>
      </c>
      <c r="E23" t="s">
        <v>232</v>
      </c>
      <c r="F23" t="s">
        <v>233</v>
      </c>
      <c r="G23" t="s">
        <v>234</v>
      </c>
      <c r="H23" t="s">
        <v>235</v>
      </c>
      <c r="I23" t="s">
        <v>236</v>
      </c>
      <c r="J23" t="s">
        <v>237</v>
      </c>
    </row>
    <row r="24" spans="1:10">
      <c r="A24" t="s">
        <v>240</v>
      </c>
      <c r="B24" t="s">
        <v>241</v>
      </c>
      <c r="E24" t="s">
        <v>242</v>
      </c>
      <c r="F24" t="s">
        <v>243</v>
      </c>
      <c r="G24" t="s">
        <v>244</v>
      </c>
      <c r="H24" t="s">
        <v>245</v>
      </c>
      <c r="I24" t="s">
        <v>246</v>
      </c>
      <c r="J24" t="s">
        <v>247</v>
      </c>
    </row>
    <row r="25" spans="1:10">
      <c r="A25" t="s">
        <v>250</v>
      </c>
      <c r="B25" t="s">
        <v>134</v>
      </c>
      <c r="E25" t="s">
        <v>251</v>
      </c>
      <c r="F25" t="s">
        <v>252</v>
      </c>
      <c r="G25" t="s">
        <v>253</v>
      </c>
      <c r="H25" t="s">
        <v>254</v>
      </c>
      <c r="I25" t="s">
        <v>255</v>
      </c>
      <c r="J25" t="s">
        <v>256</v>
      </c>
    </row>
    <row r="26" spans="1:10">
      <c r="A26" t="s">
        <v>259</v>
      </c>
      <c r="B26" t="s">
        <v>134</v>
      </c>
      <c r="E26" t="s">
        <v>260</v>
      </c>
      <c r="F26" t="s">
        <v>261</v>
      </c>
      <c r="G26" t="s">
        <v>262</v>
      </c>
      <c r="H26" t="s">
        <v>263</v>
      </c>
      <c r="I26" t="s">
        <v>264</v>
      </c>
      <c r="J26" t="s">
        <v>265</v>
      </c>
    </row>
    <row r="27" spans="1:10">
      <c r="A27" t="s">
        <v>268</v>
      </c>
      <c r="B27" t="s">
        <v>231</v>
      </c>
      <c r="E27" t="s">
        <v>269</v>
      </c>
      <c r="F27" t="s">
        <v>270</v>
      </c>
      <c r="G27" t="s">
        <v>271</v>
      </c>
      <c r="H27" t="s">
        <v>272</v>
      </c>
      <c r="I27" t="s">
        <v>273</v>
      </c>
      <c r="J27" t="s">
        <v>274</v>
      </c>
    </row>
    <row r="28" spans="1:10">
      <c r="A28" t="s">
        <v>277</v>
      </c>
      <c r="B28" t="s">
        <v>241</v>
      </c>
      <c r="E28" t="s">
        <v>278</v>
      </c>
      <c r="F28" t="s">
        <v>279</v>
      </c>
      <c r="G28" t="s">
        <v>280</v>
      </c>
      <c r="H28" t="s">
        <v>281</v>
      </c>
      <c r="I28" t="s">
        <v>282</v>
      </c>
      <c r="J28" t="s">
        <v>283</v>
      </c>
    </row>
    <row r="29" spans="1:10">
      <c r="A29" t="s">
        <v>286</v>
      </c>
      <c r="B29" t="s">
        <v>287</v>
      </c>
      <c r="E29" t="s">
        <v>288</v>
      </c>
      <c r="F29" t="s">
        <v>289</v>
      </c>
      <c r="G29" t="s">
        <v>290</v>
      </c>
      <c r="H29" t="s">
        <v>291</v>
      </c>
      <c r="I29" t="s">
        <v>292</v>
      </c>
      <c r="J29" t="s">
        <v>293</v>
      </c>
    </row>
    <row r="30" spans="1:10">
      <c r="A30" t="s">
        <v>296</v>
      </c>
      <c r="B30" t="s">
        <v>297</v>
      </c>
      <c r="E30" t="s">
        <v>298</v>
      </c>
      <c r="F30" t="s">
        <v>299</v>
      </c>
    </row>
    <row r="31" spans="1:10">
      <c r="A31" t="s">
        <v>302</v>
      </c>
      <c r="B31" t="s">
        <v>303</v>
      </c>
      <c r="E31" t="s">
        <v>304</v>
      </c>
      <c r="F31" t="s">
        <v>305</v>
      </c>
      <c r="G31" t="s">
        <v>306</v>
      </c>
      <c r="H31" t="s">
        <v>307</v>
      </c>
    </row>
    <row r="32" spans="1:10">
      <c r="A32" t="s">
        <v>310</v>
      </c>
      <c r="B32" t="s">
        <v>311</v>
      </c>
      <c r="E32" t="s">
        <v>312</v>
      </c>
      <c r="F32" t="s">
        <v>313</v>
      </c>
      <c r="G32" t="s">
        <v>314</v>
      </c>
      <c r="H32" t="s">
        <v>315</v>
      </c>
      <c r="I32" t="s">
        <v>316</v>
      </c>
      <c r="J32" t="s">
        <v>317</v>
      </c>
    </row>
    <row r="33" spans="1:10">
      <c r="A33" t="s">
        <v>320</v>
      </c>
      <c r="B33" t="s">
        <v>321</v>
      </c>
      <c r="E33" t="s">
        <v>322</v>
      </c>
      <c r="F33" t="s">
        <v>323</v>
      </c>
      <c r="G33" t="s">
        <v>324</v>
      </c>
      <c r="H33" t="s">
        <v>325</v>
      </c>
      <c r="I33" t="s">
        <v>326</v>
      </c>
      <c r="J33" t="s">
        <v>327</v>
      </c>
    </row>
    <row r="34" spans="1:10">
      <c r="A34" t="s">
        <v>330</v>
      </c>
      <c r="B34" t="s">
        <v>331</v>
      </c>
      <c r="E34" t="s">
        <v>332</v>
      </c>
      <c r="F34" t="s">
        <v>333</v>
      </c>
      <c r="G34" t="s">
        <v>334</v>
      </c>
      <c r="H34" t="s">
        <v>335</v>
      </c>
      <c r="I34" t="s">
        <v>336</v>
      </c>
      <c r="J34" t="s">
        <v>337</v>
      </c>
    </row>
    <row r="35" spans="1:10">
      <c r="A35" t="s">
        <v>340</v>
      </c>
      <c r="B35" t="s">
        <v>341</v>
      </c>
      <c r="E35" t="s">
        <v>342</v>
      </c>
      <c r="F35" t="s">
        <v>343</v>
      </c>
      <c r="G35" t="s">
        <v>344</v>
      </c>
      <c r="H35" t="s">
        <v>345</v>
      </c>
      <c r="I35" t="s">
        <v>346</v>
      </c>
      <c r="J35" t="s">
        <v>347</v>
      </c>
    </row>
    <row r="36" spans="1:10">
      <c r="A36" t="s">
        <v>350</v>
      </c>
      <c r="B36" t="s">
        <v>351</v>
      </c>
      <c r="E36" t="s">
        <v>352</v>
      </c>
      <c r="F36" t="s">
        <v>353</v>
      </c>
      <c r="G36" t="s">
        <v>354</v>
      </c>
      <c r="H36" t="s">
        <v>355</v>
      </c>
      <c r="I36" t="s">
        <v>356</v>
      </c>
      <c r="J36" t="s">
        <v>357</v>
      </c>
    </row>
    <row r="37" spans="1:10">
      <c r="A37" t="s">
        <v>360</v>
      </c>
      <c r="B37" t="s">
        <v>361</v>
      </c>
      <c r="E37" t="s">
        <v>362</v>
      </c>
      <c r="F37" t="s">
        <v>363</v>
      </c>
      <c r="G37" t="s">
        <v>364</v>
      </c>
    </row>
    <row r="38" spans="1:10">
      <c r="A38" t="s">
        <v>367</v>
      </c>
      <c r="B38" t="s">
        <v>368</v>
      </c>
      <c r="E38" t="s">
        <v>369</v>
      </c>
      <c r="F38" t="s">
        <v>370</v>
      </c>
      <c r="G38" t="s">
        <v>362</v>
      </c>
    </row>
    <row r="39" spans="1:10">
      <c r="A39" t="s">
        <v>373</v>
      </c>
      <c r="B39" t="s">
        <v>374</v>
      </c>
      <c r="E39" t="s">
        <v>375</v>
      </c>
    </row>
    <row r="40" spans="1:10">
      <c r="A40" t="s">
        <v>378</v>
      </c>
      <c r="B40" t="s">
        <v>379</v>
      </c>
      <c r="E40" t="s">
        <v>380</v>
      </c>
      <c r="F40" t="s">
        <v>381</v>
      </c>
      <c r="G40" t="s">
        <v>382</v>
      </c>
      <c r="H40" t="s">
        <v>383</v>
      </c>
      <c r="I40" t="s">
        <v>384</v>
      </c>
      <c r="J40" t="s">
        <v>385</v>
      </c>
    </row>
    <row r="41" spans="1:10">
      <c r="A41" t="s">
        <v>388</v>
      </c>
      <c r="B41" t="s">
        <v>389</v>
      </c>
      <c r="E41" t="s">
        <v>390</v>
      </c>
      <c r="F41" t="s">
        <v>391</v>
      </c>
      <c r="G41" t="s">
        <v>392</v>
      </c>
      <c r="H41" t="s">
        <v>393</v>
      </c>
      <c r="I41" t="s">
        <v>394</v>
      </c>
      <c r="J41" t="s">
        <v>395</v>
      </c>
    </row>
    <row r="42" spans="1:10">
      <c r="A42" t="s">
        <v>398</v>
      </c>
      <c r="B42" t="s">
        <v>399</v>
      </c>
      <c r="E42" t="s">
        <v>400</v>
      </c>
      <c r="F42" t="s">
        <v>401</v>
      </c>
    </row>
    <row r="43" spans="1:10">
      <c r="A43" t="s">
        <v>405</v>
      </c>
      <c r="B43" t="s">
        <v>406</v>
      </c>
      <c r="C43" cm="1">
        <f t="array" ref="C43">SUMIFS('R2 Arena'!$H$6:$H$25,'R2 Arena'!$D$6:$D$25,"West",'R2 Arena'!$F$6:$F$25,"Gadget")</f>
        <v>4500</v>
      </c>
    </row>
    <row r="44" spans="1:10">
      <c r="A44" t="s">
        <v>409</v>
      </c>
      <c r="B44" t="s">
        <v>410</v>
      </c>
      <c r="C44" cm="1">
        <f t="array" ref="C44">COUNTIFS('R2 Arena'!$D$6:$D$25,"North",'R2 Arena'!$G$6:$G$25,"&gt;=50")</f>
        <v>2</v>
      </c>
    </row>
    <row r="45" spans="1:10">
      <c r="A45" t="s">
        <v>413</v>
      </c>
      <c r="B45" t="s">
        <v>414</v>
      </c>
      <c r="C45" cm="1" t="str">
        <f t="array" ref="C45">_xlfn.XLOOKUP("South",'R2 Arena'!$K$6:$K$9,'R2 Arena'!$L$6:$L$9)</f>
        <v>Liam</v>
      </c>
    </row>
    <row r="46" spans="1:10">
      <c r="A46" t="s">
        <v>417</v>
      </c>
      <c r="B46" t="s">
        <v>418</v>
      </c>
      <c r="C46" cm="1">
        <f t="array" ref="C46">ROUND(AVERAGEIFS('R2 Arena'!$H$6:$H$25,'R2 Arena'!$D$6:$D$25,"East"),0)</f>
        <v>1979.0</v>
      </c>
    </row>
    <row r="47" spans="1:10">
      <c r="A47" t="s">
        <v>421</v>
      </c>
      <c r="B47" t="s">
        <v>422</v>
      </c>
      <c r="C47" cm="1">
        <f t="array" ref="C47">COUNTA(_xlfn.UNIQUE('R2 Arena'!$F$6:$F$25))</f>
        <v>3</v>
      </c>
    </row>
    <row r="48" spans="1:10">
      <c r="A48" t="s">
        <v>425</v>
      </c>
      <c r="B48" t="s">
        <v>426</v>
      </c>
      <c r="C48" cm="1">
        <f t="array" ref="C48">EOMONTH(MAX('R2 Arena'!$C$6:$C$25),0)</f>
        <v>46173</v>
      </c>
    </row>
    <row r="49" spans="1:24">
      <c r="A49" t="s">
        <v>429</v>
      </c>
      <c r="B49" t="s">
        <v>430</v>
      </c>
      <c r="E49" cm="1" t="str">
        <f t="array" ref="E49">IF(AND('R2 Arena'!$G$6&gt;=50,'R2 Arena'!$H$6&gt;=2500),"Star","-")</f>
        <v>-</v>
      </c>
      <c r="F49" cm="1" t="str">
        <f t="array" ref="F49">IF(AND('R2 Arena'!$G$7&gt;=50,'R2 Arena'!$H$7&gt;=2500),"Star","-")</f>
        <v>-</v>
      </c>
      <c r="G49" cm="1" t="str">
        <f t="array" ref="G49">IF(AND('R2 Arena'!$G$8&gt;=50,'R2 Arena'!$H$8&gt;=2500),"Star","-")</f>
        <v>-</v>
      </c>
      <c r="H49" cm="1" t="str">
        <f t="array" ref="H49">IF(AND('R2 Arena'!$G$9&gt;=50,'R2 Arena'!$H$9&gt;=2500),"Star","-")</f>
        <v>-</v>
      </c>
      <c r="I49" cm="1" t="str">
        <f t="array" ref="I49">IF(AND('R2 Arena'!$G$10&gt;=50,'R2 Arena'!$H$10&gt;=2500),"Star","-")</f>
        <v>Star</v>
      </c>
      <c r="J49" cm="1" t="str">
        <f t="array" ref="J49">IF(AND('R2 Arena'!$G$11&gt;=50,'R2 Arena'!$H$11&gt;=2500),"Star","-")</f>
        <v>-</v>
      </c>
      <c r="K49" cm="1" t="str">
        <f t="array" ref="K49">IF(AND('R2 Arena'!$G$12&gt;=50,'R2 Arena'!$H$12&gt;=2500),"Star","-")</f>
        <v>-</v>
      </c>
      <c r="L49" cm="1" t="str">
        <f t="array" ref="L49">IF(AND('R2 Arena'!$G$13&gt;=50,'R2 Arena'!$H$13&gt;=2500),"Star","-")</f>
        <v>-</v>
      </c>
      <c r="M49" cm="1" t="str">
        <f t="array" ref="M49">IF(AND('R2 Arena'!$G$14&gt;=50,'R2 Arena'!$H$14&gt;=2500),"Star","-")</f>
        <v>-</v>
      </c>
      <c r="N49" cm="1" t="str">
        <f t="array" ref="N49">IF(AND('R2 Arena'!$G$15&gt;=50,'R2 Arena'!$H$15&gt;=2500),"Star","-")</f>
        <v>-</v>
      </c>
      <c r="O49" cm="1" t="str">
        <f t="array" ref="O49">IF(AND('R2 Arena'!$G$16&gt;=50,'R2 Arena'!$H$16&gt;=2500),"Star","-")</f>
        <v>-</v>
      </c>
      <c r="P49" cm="1" t="str">
        <f t="array" ref="P49">IF(AND('R2 Arena'!$G$17&gt;=50,'R2 Arena'!$H$17&gt;=2500),"Star","-")</f>
        <v>Star</v>
      </c>
      <c r="Q49" cm="1" t="str">
        <f t="array" ref="Q49">IF(AND('R2 Arena'!$G$18&gt;=50,'R2 Arena'!$H$18&gt;=2500),"Star","-")</f>
        <v>Star</v>
      </c>
      <c r="R49" cm="1" t="str">
        <f t="array" ref="R49">IF(AND('R2 Arena'!$G$19&gt;=50,'R2 Arena'!$H$19&gt;=2500),"Star","-")</f>
        <v>-</v>
      </c>
      <c r="S49" cm="1" t="str">
        <f t="array" ref="S49">IF(AND('R2 Arena'!$G$20&gt;=50,'R2 Arena'!$H$20&gt;=2500),"Star","-")</f>
        <v>-</v>
      </c>
      <c r="T49" cm="1" t="str">
        <f t="array" ref="T49">IF(AND('R2 Arena'!$G$21&gt;=50,'R2 Arena'!$H$21&gt;=2500),"Star","-")</f>
        <v>-</v>
      </c>
      <c r="U49" cm="1" t="str">
        <f t="array" ref="U49">IF(AND('R2 Arena'!$G$22&gt;=50,'R2 Arena'!$H$22&gt;=2500),"Star","-")</f>
        <v>-</v>
      </c>
      <c r="V49" cm="1" t="str">
        <f t="array" ref="V49">IF(AND('R2 Arena'!$G$23&gt;=50,'R2 Arena'!$H$23&gt;=2500),"Star","-")</f>
        <v>-</v>
      </c>
      <c r="W49" cm="1" t="str">
        <f t="array" ref="W49">IF(AND('R2 Arena'!$G$24&gt;=50,'R2 Arena'!$H$24&gt;=2500),"Star","-")</f>
        <v>-</v>
      </c>
      <c r="X49" cm="1" t="str">
        <f t="array" ref="X49">IF(AND('R2 Arena'!$G$25&gt;=50,'R2 Arena'!$H$25&gt;=2500),"Star","-")</f>
        <v>Star</v>
      </c>
    </row>
    <row r="50" spans="1:24">
      <c r="A50" t="s">
        <v>433</v>
      </c>
      <c r="B50" t="s">
        <v>434</v>
      </c>
    </row>
    <row r="51" spans="1:24">
      <c r="A51" t="s">
        <v>479</v>
      </c>
      <c r="B51" t="s">
        <v>480</v>
      </c>
      <c r="E51" cm="1" t="str">
        <f t="array" ref="E51">PROPER(TRIM('R3 Arena'!$B$6))</f>
        <v>Ada Lovelace</v>
      </c>
      <c r="F51" cm="1" t="str">
        <f t="array" ref="F51">PROPER(TRIM('R3 Arena'!$B$7))</f>
        <v>Grace Hopper</v>
      </c>
      <c r="G51" cm="1" t="str">
        <f t="array" ref="G51">PROPER(TRIM('R3 Arena'!$B$8))</f>
        <v>Alan Turing</v>
      </c>
      <c r="H51" cm="1" t="str">
        <f t="array" ref="H51">PROPER(TRIM('R3 Arena'!$B$9))</f>
        <v>Katherine Johnson</v>
      </c>
      <c r="I51" cm="1" t="str">
        <f t="array" ref="I51">PROPER(TRIM('R3 Arena'!$B$10))</f>
        <v>Tim Berners-Lee</v>
      </c>
      <c r="J51" cm="1" t="str">
        <f t="array" ref="J51">PROPER(TRIM('R3 Arena'!$B$11))</f>
        <v>Margaret Hamilton</v>
      </c>
      <c r="K51" cm="1" t="str">
        <f t="array" ref="K51">PROPER(TRIM('R3 Arena'!$B$12))</f>
        <v>Linus Torvalds</v>
      </c>
      <c r="L51" cm="1" t="str">
        <f t="array" ref="L51">PROPER(TRIM('R3 Arena'!$B$13))</f>
        <v>Hedy Lamarr</v>
      </c>
      <c r="M51" cm="1" t="str">
        <f t="array" ref="M51">PROPER(TRIM('R3 Arena'!$B$14))</f>
        <v>Annie Easley</v>
      </c>
      <c r="N51" cm="1" t="str">
        <f t="array" ref="N51">PROPER(TRIM('R3 Arena'!$B$15))</f>
        <v>Dorothy Vaughan</v>
      </c>
      <c r="O51" cm="1" t="str">
        <f t="array" ref="O51">PROPER(TRIM('R3 Arena'!$B$16))</f>
        <v>Mary Jackson</v>
      </c>
      <c r="P51" cm="1" t="str">
        <f t="array" ref="P51">PROPER(TRIM('R3 Arena'!$B$17))</f>
        <v>Joan Clarke</v>
      </c>
    </row>
    <row r="52" spans="1:24">
      <c r="A52" t="s">
        <v>483</v>
      </c>
      <c r="B52" t="s">
        <v>484</v>
      </c>
      <c r="E52" cm="1">
        <f t="array" ref="E52">VALUE('R3 Arena'!$D$6)</f>
        <v>1250</v>
      </c>
      <c r="F52" cm="1">
        <f t="array" ref="F52">VALUE('R3 Arena'!$D$7)</f>
        <v>980</v>
      </c>
      <c r="G52" cm="1">
        <f t="array" ref="G52">VALUE('R3 Arena'!$D$8)</f>
        <v>2400</v>
      </c>
      <c r="H52" cm="1">
        <f t="array" ref="H52">VALUE('R3 Arena'!$D$9)</f>
        <v>760</v>
      </c>
      <c r="I52" cm="1">
        <f t="array" ref="I52">VALUE('R3 Arena'!$D$10)</f>
        <v>1100</v>
      </c>
      <c r="J52" cm="1">
        <f t="array" ref="J52">VALUE('R3 Arena'!$D$11)</f>
        <v>3050</v>
      </c>
      <c r="K52" cm="1">
        <f t="array" ref="K52">VALUE('R3 Arena'!$D$12)</f>
        <v>640</v>
      </c>
      <c r="L52" cm="1">
        <f t="array" ref="L52">VALUE('R3 Arena'!$D$13)</f>
        <v>1875</v>
      </c>
      <c r="M52" cm="1">
        <f t="array" ref="M52">VALUE('R3 Arena'!$D$14)</f>
        <v>2200</v>
      </c>
      <c r="N52" cm="1">
        <f t="array" ref="N52">VALUE('R3 Arena'!$D$15)</f>
        <v>450</v>
      </c>
      <c r="O52" cm="1">
        <f t="array" ref="O52">VALUE('R3 Arena'!$D$16)</f>
        <v>1010</v>
      </c>
      <c r="P52" cm="1">
        <f t="array" ref="P52">VALUE('R3 Arena'!$D$17)</f>
        <v>890</v>
      </c>
    </row>
    <row r="53" spans="1:24">
      <c r="A53" t="s">
        <v>487</v>
      </c>
      <c r="B53" t="s">
        <v>488</v>
      </c>
      <c r="E53" cm="1" t="str">
        <f t="array" ref="E53">_xlfn.XLOOKUP('R3 Arena'!$C$6,'R3 Arena'!$K$6:$K$9,'R3 Arena'!$L$6:$L$9)</f>
        <v>East</v>
      </c>
      <c r="F53" cm="1" t="str">
        <f t="array" ref="F53">_xlfn.XLOOKUP('R3 Arena'!$C$7,'R3 Arena'!$K$6:$K$9,'R3 Arena'!$L$6:$L$9)</f>
        <v>West</v>
      </c>
      <c r="G53" cm="1" t="str">
        <f t="array" ref="G53">_xlfn.XLOOKUP('R3 Arena'!$C$8,'R3 Arena'!$K$6:$K$9,'R3 Arena'!$L$6:$L$9)</f>
        <v>North</v>
      </c>
      <c r="H53" cm="1" t="str">
        <f t="array" ref="H53">_xlfn.XLOOKUP('R3 Arena'!$C$9,'R3 Arena'!$K$6:$K$9,'R3 Arena'!$L$6:$L$9)</f>
        <v>South</v>
      </c>
      <c r="I53" cm="1" t="str">
        <f t="array" ref="I53">_xlfn.XLOOKUP('R3 Arena'!$C$10,'R3 Arena'!$K$6:$K$9,'R3 Arena'!$L$6:$L$9)</f>
        <v>East</v>
      </c>
      <c r="J53" cm="1" t="str">
        <f t="array" ref="J53">_xlfn.XLOOKUP('R3 Arena'!$C$11,'R3 Arena'!$K$6:$K$9,'R3 Arena'!$L$6:$L$9)</f>
        <v>West</v>
      </c>
      <c r="K53" cm="1" t="str">
        <f t="array" ref="K53">_xlfn.XLOOKUP('R3 Arena'!$C$12,'R3 Arena'!$K$6:$K$9,'R3 Arena'!$L$6:$L$9)</f>
        <v>North</v>
      </c>
      <c r="L53" cm="1" t="str">
        <f t="array" ref="L53">_xlfn.XLOOKUP('R3 Arena'!$C$13,'R3 Arena'!$K$6:$K$9,'R3 Arena'!$L$6:$L$9)</f>
        <v>East</v>
      </c>
      <c r="M53" cm="1" t="str">
        <f t="array" ref="M53">_xlfn.XLOOKUP('R3 Arena'!$C$14,'R3 Arena'!$K$6:$K$9,'R3 Arena'!$L$6:$L$9)</f>
        <v>South</v>
      </c>
      <c r="N53" cm="1" t="str">
        <f t="array" ref="N53">_xlfn.XLOOKUP('R3 Arena'!$C$15,'R3 Arena'!$K$6:$K$9,'R3 Arena'!$L$6:$L$9)</f>
        <v>West</v>
      </c>
      <c r="O53" cm="1" t="str">
        <f t="array" ref="O53">_xlfn.XLOOKUP('R3 Arena'!$C$16,'R3 Arena'!$K$6:$K$9,'R3 Arena'!$L$6:$L$9)</f>
        <v>North</v>
      </c>
      <c r="P53" cm="1" t="str">
        <f t="array" ref="P53">_xlfn.XLOOKUP('R3 Arena'!$C$17,'R3 Arena'!$K$6:$K$9,'R3 Arena'!$L$6:$L$9)</f>
        <v>East</v>
      </c>
    </row>
    <row r="54" spans="1:24">
      <c r="A54" t="s">
        <v>491</v>
      </c>
      <c r="B54" t="s">
        <v>492</v>
      </c>
      <c r="C54" cm="1">
        <f t="array" ref="C54">SUMPRODUCT(VALUE('R3 Arena'!$D$6:$D$17)*('R3 Arena'!$C$6:$C$17="E"))</f>
        <v>5115</v>
      </c>
    </row>
    <row r="55" spans="1:24">
      <c r="A55" t="s">
        <v>495</v>
      </c>
      <c r="B55" t="s">
        <v>496</v>
      </c>
      <c r="E55" cm="1" t="str">
        <f t="array" ref="E55">IF(VALUE('R3 Arena'!$D$6)&gt;=1000,"Big","")</f>
        <v>Big</v>
      </c>
      <c r="F55" cm="1" t="str">
        <f t="array" ref="F55">IF(VALUE('R3 Arena'!$D$7)&gt;=1000,"Big","")</f>
        <v/>
      </c>
      <c r="G55" cm="1" t="str">
        <f t="array" ref="G55">IF(VALUE('R3 Arena'!$D$8)&gt;=1000,"Big","")</f>
        <v>Big</v>
      </c>
      <c r="H55" cm="1" t="str">
        <f t="array" ref="H55">IF(VALUE('R3 Arena'!$D$9)&gt;=1000,"Big","")</f>
        <v/>
      </c>
      <c r="I55" cm="1" t="str">
        <f t="array" ref="I55">IF(VALUE('R3 Arena'!$D$10)&gt;=1000,"Big","")</f>
        <v>Big</v>
      </c>
      <c r="J55" cm="1" t="str">
        <f t="array" ref="J55">IF(VALUE('R3 Arena'!$D$11)&gt;=1000,"Big","")</f>
        <v>Big</v>
      </c>
      <c r="K55" cm="1" t="str">
        <f t="array" ref="K55">IF(VALUE('R3 Arena'!$D$12)&gt;=1000,"Big","")</f>
        <v/>
      </c>
      <c r="L55" cm="1" t="str">
        <f t="array" ref="L55">IF(VALUE('R3 Arena'!$D$13)&gt;=1000,"Big","")</f>
        <v>Big</v>
      </c>
      <c r="M55" cm="1" t="str">
        <f t="array" ref="M55">IF(VALUE('R3 Arena'!$D$14)&gt;=1000,"Big","")</f>
        <v>Big</v>
      </c>
      <c r="N55" cm="1" t="str">
        <f t="array" ref="N55">IF(VALUE('R3 Arena'!$D$15)&gt;=1000,"Big","")</f>
        <v/>
      </c>
      <c r="O55" cm="1" t="str">
        <f t="array" ref="O55">IF(VALUE('R3 Arena'!$D$16)&gt;=1000,"Big","")</f>
        <v>Big</v>
      </c>
      <c r="P55" cm="1" t="str">
        <f t="array" ref="P55">IF(VALUE('R3 Arena'!$D$17)&gt;=1000,"Big","")</f>
        <v/>
      </c>
    </row>
    <row r="56" spans="1:24">
      <c r="A56" t="s">
        <v>499</v>
      </c>
      <c r="B56" t="s">
        <v>500</v>
      </c>
    </row>
    <row r="57" spans="1:24">
      <c r="A57" t="s">
        <v>503</v>
      </c>
      <c r="B57" t="s">
        <v>504</v>
      </c>
    </row>
    <row r="58" spans="1:24">
      <c r="A58" t="s">
        <v>507</v>
      </c>
      <c r="B58" t="s">
        <v>508</v>
      </c>
      <c r="E58" t="s">
        <v>509</v>
      </c>
    </row>
    <row r="2001" spans="5:5">
      <c r="E2001" cm="1" t="str">
        <f t="array" ref="E2001">_xlfn._xlws.FILTER('R2 Arena'!$B$6:$B$25,'R2 Arena'!$E$6:$E$25="Raj")</f>
        <v>O-105</v>
      </c>
    </row>
    <row r="2101" spans="5:5">
      <c r="E2101" cm="1" t="str">
        <f t="array" ref="E2101">_xlfn._xlws.SORT(_xlfn.UNIQUE(_xlfn.XLOOKUP('R3 Arena'!$C$6:$C$17,'R3 Arena'!$K$6:$K$9,'R3 Arena'!$L$6:$L$9)))</f>
        <v>East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Start</vt:lpstr>
      <vt:lpstr>R1 Shortcut Gauntlet</vt:lpstr>
      <vt:lpstr>R1 Arena</vt:lpstr>
      <vt:lpstr>R2 Formula Gauntlet</vt:lpstr>
      <vt:lpstr>R2 Arena</vt:lpstr>
      <vt:lpstr>R3 Real-World Mission</vt:lpstr>
      <vt:lpstr>R3 Arena</vt:lpstr>
      <vt:lpstr>Certificate</vt:lpstr>
      <vt:lpstr>'R1 Shortcut Gauntlet'!Print_Titles</vt:lpstr>
      <vt:lpstr>'R2 Formula Gauntlet'!Print_Titles</vt:lpstr>
      <vt:lpstr>'R3 Real-World Mission'!Print_Titles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Boss · The Championship</dc:title>
  <dc:subject>Excel practice: the whole course in one championship</dc:subject>
  <dc:creator>excel-drills</dc:creator>
  <cp:keywords>Excel, practice, final, championship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