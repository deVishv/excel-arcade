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4-1 Seeker" sheetId="2" r:id="rId2"/>
    <sheet name="F4-1 Arena" sheetId="3" r:id="rId3"/>
    <sheet name="F4-2 Safety Net" sheetId="4" r:id="rId4"/>
    <sheet name="F4-2 Arena" sheetId="5" r:id="rId5"/>
    <sheet name="F4-3 Old School" sheetId="6" r:id="rId6"/>
    <sheet name="F4-3 Arena" sheetId="7" r:id="rId7"/>
    <sheet name="F4-4 Power Couple" sheetId="8" r:id="rId8"/>
    <sheet name="F4-4 Arena" sheetId="9" r:id="rId9"/>
    <sheet name="F4-5 Tiers" sheetId="10" r:id="rId10"/>
    <sheet name="F4-5 Arena" sheetId="11" r:id="rId11"/>
    <sheet name="Boss" sheetId="12" r:id="rId12"/>
    <sheet name="Boss Arena" sheetId="13" r:id="rId13"/>
    <sheet name="Cheat Codes" sheetId="14" r:id="rId14"/>
    <sheet name="Key" sheetId="15" state="veryHidden" r:id="rId15"/>
  </sheets>
  <definedNames>
    <definedName name="_xlnm.Print_Titles" localSheetId="11">Boss!$1:$4</definedName>
    <definedName name="_xlnm.Print_Titles" localSheetId="13">'Cheat Codes'!$4:$4</definedName>
    <definedName name="_xlnm.Print_Titles" localSheetId="1">'F4-1 Seeker'!$1:$4</definedName>
    <definedName name="_xlnm.Print_Titles" localSheetId="3">'F4-2 Safety Net'!$1:$4</definedName>
    <definedName name="_xlnm.Print_Titles" localSheetId="5">'F4-3 Old School'!$1:$4</definedName>
    <definedName name="_xlnm.Print_Titles" localSheetId="7">'F4-4 Power Couple'!$1:$4</definedName>
    <definedName name="_xlnm.Print_Titles" localSheetId="9">'F4-5 Tiers'!$1:$4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<sst xmlns="http://schemas.openxmlformats.org/spreadsheetml/2006/main" count="1474" uniqueCount="725">
  <si>
    <t>Challenge</t>
  </si>
  <si>
    <t>Hint</t>
  </si>
  <si>
    <t>Expected</t>
  </si>
  <si>
    <t>Lists / per-cell expectations →</t>
  </si>
  <si>
    <t>ARENA ▸ F4-1 SEEKER</t>
  </si>
  <si>
    <t>Practice area · everything here is editable. Missions and their checks are on the stage sheet.</t>
  </si>
  <si>
    <t>PASS CODE</t>
  </si>
  <si>
    <t>SEEKER</t>
  </si>
  <si>
    <t>◀ Back to F4-1 Seeker</t>
  </si>
  <si>
    <t>ID</t>
  </si>
  <si>
    <t>Product</t>
  </si>
  <si>
    <t>Category</t>
  </si>
  <si>
    <t>Price</t>
  </si>
  <si>
    <t>Stock</t>
  </si>
  <si>
    <t>P-01</t>
  </si>
  <si>
    <t>Apple</t>
  </si>
  <si>
    <t>Fruit</t>
  </si>
  <si>
    <t>P-02</t>
  </si>
  <si>
    <t>Banana</t>
  </si>
  <si>
    <t>P-03</t>
  </si>
  <si>
    <t>Carrot</t>
  </si>
  <si>
    <t>Veg</t>
  </si>
  <si>
    <t>P-04</t>
  </si>
  <si>
    <t>Dragonfruit</t>
  </si>
  <si>
    <t>P-05</t>
  </si>
  <si>
    <t>Eggplant</t>
  </si>
  <si>
    <t>P-06</t>
  </si>
  <si>
    <t>Fig</t>
  </si>
  <si>
    <t>P-07</t>
  </si>
  <si>
    <t>Garlic</t>
  </si>
  <si>
    <t>P-08</t>
  </si>
  <si>
    <t>Honeydew</t>
  </si>
  <si>
    <t>P-09</t>
  </si>
  <si>
    <t>Iceberg</t>
  </si>
  <si>
    <t>P-10</t>
  </si>
  <si>
    <t>Jalapeno</t>
  </si>
  <si>
    <t>P-11</t>
  </si>
  <si>
    <t>Kiwi</t>
  </si>
  <si>
    <t>P-12</t>
  </si>
  <si>
    <t>Leek</t>
  </si>
  <si>
    <t>P-13</t>
  </si>
  <si>
    <t>Mango</t>
  </si>
  <si>
    <t>P-14</t>
  </si>
  <si>
    <t>Nectarine</t>
  </si>
  <si>
    <t>P-15</t>
  </si>
  <si>
    <t>Okra</t>
  </si>
  <si>
    <t>Find ID</t>
  </si>
  <si>
    <t>Order IDs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</si>
  <si>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</si>
  <si>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</si>
  <si>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</si>
  <si>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</si>
  <si>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</si>
  <si>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XLOOKUP(lookup_value, lookup_array, return_array) finds a match and returns its partner.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Works left or right, exact match by default.</t>
    </r>
  </si>
  <si>
    <t>XLOOKUP</t>
  </si>
  <si>
    <t>2</t>
  </si>
  <si>
    <r>
      <rPr>
        <b/>
        <sz val="12"/>
        <color rgb="FF1F2328"/>
        <rFont val="Calibri"/>
        <family val="2"/>
        <scheme val="minor"/>
      </rPr>
      <t>Lock lookup ranges with $ before you fill the formula down.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Otherwise the ranges slide down and miss rows.</t>
    </r>
  </si>
  <si>
    <t>$B$6:$B$20</t>
  </si>
  <si>
    <t>WARM-UP · flashback to earlier stages</t>
  </si>
  <si>
    <t>Mission</t>
  </si>
  <si>
    <t>Your answer</t>
  </si>
  <si>
    <t>Result</t>
  </si>
  <si>
    <t>Hint?</t>
  </si>
  <si>
    <t>XP</t>
  </si>
  <si>
    <t>F4-1 Seeker W1</t>
  </si>
  <si>
    <t>Ctrl plus a number key.</t>
  </si>
  <si>
    <t>CTRL+9</t>
  </si>
  <si>
    <t>W1</t>
  </si>
  <si>
    <t>Which keys hide the selected rows?  (from S4-1 Construction Crew)</t>
  </si>
  <si>
    <t>F4-1 Seeker W2</t>
  </si>
  <si>
    <t>Ctrl plus zero.</t>
  </si>
  <si>
    <t>CTRL+0</t>
  </si>
  <si>
    <t>W2</t>
  </si>
  <si>
    <t>Which keys hide the selected columns?  (from S4-1 Construction Crew)</t>
  </si>
  <si>
    <t>F4-1 Seeker W3</t>
  </si>
  <si>
    <t>Shift plus F11.</t>
  </si>
  <si>
    <t>ALT+SHIFT+F1</t>
  </si>
  <si>
    <t>SHIFT+ALT+F1</t>
  </si>
  <si>
    <t>SHIFT+F11</t>
  </si>
  <si>
    <t>W3</t>
  </si>
  <si>
    <t>Which keys insert a new worksheet?  (from S4-2 Sheet Master)</t>
  </si>
  <si>
    <t>F4-1 Seeker W4</t>
  </si>
  <si>
    <t>Alt, H, O, R one after another.</t>
  </si>
  <si>
    <t>ALT+H+O+R</t>
  </si>
  <si>
    <t>ALT+H,O,R</t>
  </si>
  <si>
    <t>ALT+H&gt;O&gt;R</t>
  </si>
  <si>
    <t>ALT+HOR</t>
  </si>
  <si>
    <t>ALT,H+O+R</t>
  </si>
  <si>
    <t>ALT,H,O,R</t>
  </si>
  <si>
    <t>ALT,H&gt;O&gt;R</t>
  </si>
  <si>
    <t>ALT,HOR</t>
  </si>
  <si>
    <t>ALT&gt;H+O+R</t>
  </si>
  <si>
    <t>ALT&gt;H,O,R</t>
  </si>
  <si>
    <t>ALT&gt;H&gt;O&gt;R</t>
  </si>
  <si>
    <t>ALT&gt;HOR</t>
  </si>
  <si>
    <t>ALTH+O+R</t>
  </si>
  <si>
    <t>ALTH,O,R</t>
  </si>
  <si>
    <t>ALTH&gt;O&gt;R</t>
  </si>
  <si>
    <t>ALTHOR</t>
  </si>
  <si>
    <t>W4</t>
  </si>
  <si>
    <t>Which KeyTips rename the current sheet?  (from S4-2 Sheet Master)</t>
  </si>
  <si>
    <t>F4-1 Seeker W5</t>
  </si>
  <si>
    <t>S for Save.</t>
  </si>
  <si>
    <t>CTRL+S</t>
  </si>
  <si>
    <t>W5</t>
  </si>
  <si>
    <t>Which keys save the workbook?  (from S4-2 Sheet Master)</t>
  </si>
  <si>
    <t>F4-1 Seeker W6</t>
  </si>
  <si>
    <t>The last function key.</t>
  </si>
  <si>
    <t>F12</t>
  </si>
  <si>
    <t>W6</t>
  </si>
  <si>
    <t>Which key opens Save As?  (from S4-2 Sheet Master)</t>
  </si>
  <si>
    <t>F4-1 Seeker W7</t>
  </si>
  <si>
    <t>N for New.</t>
  </si>
  <si>
    <t>CTRL+N</t>
  </si>
  <si>
    <t>W7</t>
  </si>
  <si>
    <t>Which keys create a new blank workbook?  (from S4-2 Sheet Master)</t>
  </si>
  <si>
    <t>F4-1 Seeker W8</t>
  </si>
  <si>
    <t>O for Open.</t>
  </si>
  <si>
    <t>CTRL+O</t>
  </si>
  <si>
    <t>W8</t>
  </si>
  <si>
    <t>Which keys open a workbook?  (from S4-2 Sheet Master)</t>
  </si>
  <si>
    <t>F4-1 Seeker W9</t>
  </si>
  <si>
    <t>W for Window.</t>
  </si>
  <si>
    <t>CTRL+W</t>
  </si>
  <si>
    <t>W9</t>
  </si>
  <si>
    <t>Which keys close the current workbook?  (from S4-2 Sheet Master)</t>
  </si>
  <si>
    <t>F4-1 Seeker W10</t>
  </si>
  <si>
    <t>P for Print.</t>
  </si>
  <si>
    <t>CTRL+P</t>
  </si>
  <si>
    <t>W10</t>
  </si>
  <si>
    <t>Which keys open Print?  (from S4-2 Sheet Master)</t>
  </si>
  <si>
    <t>TRAINING · recognize the move (pick from the list)</t>
  </si>
  <si>
    <t>F4-1 Seeker T1</t>
  </si>
  <si>
    <t>X plus LOOKUP.</t>
  </si>
  <si>
    <t>INDEX</t>
  </si>
  <si>
    <t>MATCH</t>
  </si>
  <si>
    <t>VLOOKUP</t>
  </si>
  <si>
    <t>T1</t>
  </si>
  <si>
    <t>Which modern function finds a value and returns the matching item from another column?</t>
  </si>
  <si>
    <t>F4-1 Seeker T2</t>
  </si>
  <si>
    <t>The F4 symbol.</t>
  </si>
  <si>
    <t>FALSE = exact</t>
  </si>
  <si>
    <t>if_not_found</t>
  </si>
  <si>
    <t>VLOOKUP TRUE</t>
  </si>
  <si>
    <t>T2</t>
  </si>
  <si>
    <t>Which symbol locks a range so it doesn't shift when you fill down?</t>
  </si>
  <si>
    <t>CHALLENGES · recall it, then do it</t>
  </si>
  <si>
    <t>▶ Open F4-1 Arena (or press Ctrl+PgDn)</t>
  </si>
  <si>
    <t>F4-1 Seeker C1</t>
  </si>
  <si>
    <t>=XLOOKUP</t>
  </si>
  <si>
    <t>=XLOOKUP(</t>
  </si>
  <si>
    <t>=XLOOKUP()</t>
  </si>
  <si>
    <t>XLOOKUP(</t>
  </si>
  <si>
    <t>XLOOKUP()</t>
  </si>
  <si>
    <t>C1</t>
  </si>
  <si>
    <t>F4-1 Seeker C2</t>
  </si>
  <si>
    <t>$</t>
  </si>
  <si>
    <t>DOLLAR</t>
  </si>
  <si>
    <t>DOLLARSIGN</t>
  </si>
  <si>
    <t>C2</t>
  </si>
  <si>
    <t>F4-1 Seeker C3</t>
  </si>
  <si>
    <t>Look up in IDs, return from Price.</t>
  </si>
  <si>
    <t>C3</t>
  </si>
  <si>
    <t>In J6 find the Price of the product whose ID is in I6: =XLOOKUP(I6,B6:B20,E6:E20).</t>
  </si>
  <si>
    <t>▶ ARENA C3 (cell J6)</t>
  </si>
  <si>
    <t>F4-1 Seeker C4</t>
  </si>
  <si>
    <t>Lock both ranges with F4.</t>
  </si>
  <si>
    <t>C4</t>
  </si>
  <si>
    <t>In J10 write =XLOOKUP(I10,$B$6:$B$20,$F$6:$F$20) to get the Stock, then fill down to J13 with Ctrl+D. The $ signs keep the ranges in place.</t>
  </si>
  <si>
    <t>▶ ARENA C4 (cell J10)</t>
  </si>
  <si>
    <t>STAGE F4-1 ▸ SEEKER</t>
  </si>
  <si>
    <t>Goal: look up a value and bring back its partner</t>
  </si>
  <si>
    <t>ARENA ▸ F4-2 SAFETY NET</t>
  </si>
  <si>
    <t>SAFETYNET</t>
  </si>
  <si>
    <t>◀ Back to F4-2 Safety Net</t>
  </si>
  <si>
    <t>P-99</t>
  </si>
  <si>
    <r>
      <rPr>
        <b/>
        <sz val="12"/>
        <color rgb="FF1F2328"/>
        <rFont val="Calibri"/>
        <family val="2"/>
        <scheme val="minor"/>
      </rPr>
      <t>XLOOKUP's 4th argument: what to show when nothing matches.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=XLOOKUP(A2,B:B,C:C,"Not found") instead of #N/A.</t>
    </r>
  </si>
  <si>
    <r>
      <rPr>
        <b/>
        <sz val="12"/>
        <color rgb="FF1F2328"/>
        <rFont val="Calibri"/>
        <family val="2"/>
        <scheme val="minor"/>
      </rPr>
      <t>Give XLOOKUP a return range two columns wide and both values spill out.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One formula, several answers side by side.</t>
    </r>
  </si>
  <si>
    <t>return 2+ columns</t>
  </si>
  <si>
    <t>F4-2 Safety Net W1</t>
  </si>
  <si>
    <t>Which modern function finds a value and returns the matching item from another column?  (from F4-1 Seeker)</t>
  </si>
  <si>
    <t>F4-2 Safety Net W2</t>
  </si>
  <si>
    <t>Which symbol locks a range so it doesn't shift when you fill down?  (from F4-1 Seeker)</t>
  </si>
  <si>
    <t>F4-2 Safety Net W3</t>
  </si>
  <si>
    <t>F for Find.</t>
  </si>
  <si>
    <t>CTRL+F</t>
  </si>
  <si>
    <t>Which keys open Find?  (from S4-3 Detective)</t>
  </si>
  <si>
    <t>F4-2 Safety Net W4</t>
  </si>
  <si>
    <t>The letter after G.</t>
  </si>
  <si>
    <t>CTRL+H</t>
  </si>
  <si>
    <t>Which keys open Find and Replace on the Replace tab?  (from S4-3 Detective)</t>
  </si>
  <si>
    <t>F4-2 Safety Net W5</t>
  </si>
  <si>
    <t>IS plus NUMBER.</t>
  </si>
  <si>
    <t>=ISNUMBER</t>
  </si>
  <si>
    <t>=ISNUMBER(</t>
  </si>
  <si>
    <t>=ISNUMBER()</t>
  </si>
  <si>
    <t>ISNUMBER</t>
  </si>
  <si>
    <t>ISNUMBER(</t>
  </si>
  <si>
    <t>ISNUMBER()</t>
  </si>
  <si>
    <t>Which function is TRUE when a value is a number?  (from F2-5 Error Shield)</t>
  </si>
  <si>
    <t>F4-2 Safety Net W6</t>
  </si>
  <si>
    <t>Ctrl+Shift plus the dollar key.</t>
  </si>
  <si>
    <t>CTRL+SHIFT+$</t>
  </si>
  <si>
    <t>CTRL+SHIFT+4</t>
  </si>
  <si>
    <t>SHIFT+CTRL+$</t>
  </si>
  <si>
    <t>SHIFT+CTRL+4</t>
  </si>
  <si>
    <t>Which keys apply the Currency format?  (from S3-1 Number Skins)</t>
  </si>
  <si>
    <t>F4-2 Safety Net W7</t>
  </si>
  <si>
    <t>Ctrl+Shift plus the % key.</t>
  </si>
  <si>
    <t>CTRL+SHIFT+%</t>
  </si>
  <si>
    <t>CTRL+SHIFT+5</t>
  </si>
  <si>
    <t>SHIFT+CTRL+%</t>
  </si>
  <si>
    <t>SHIFT+CTRL+5</t>
  </si>
  <si>
    <t>Which keys apply the Percent format?  (from S3-1 Number Skins)</t>
  </si>
  <si>
    <t>F4-2 Safety Net W8</t>
  </si>
  <si>
    <t>Ctrl+Shift plus the ! key.</t>
  </si>
  <si>
    <t>CTRL+SHIFT+!</t>
  </si>
  <si>
    <t>CTRL+SHIFT+1</t>
  </si>
  <si>
    <t>SHIFT+CTRL+!</t>
  </si>
  <si>
    <t>SHIFT+CTRL+1</t>
  </si>
  <si>
    <t>Which keys apply the Number format with a thousands separator?  (from S3-1 Number Skins)</t>
  </si>
  <si>
    <t>F4-2 Safety Net W9</t>
  </si>
  <si>
    <t>Ctrl+Shift plus the # key.</t>
  </si>
  <si>
    <t>CTRL+SHIFT+#</t>
  </si>
  <si>
    <t>CTRL+SHIFT+3</t>
  </si>
  <si>
    <t>SHIFT+CTRL+#</t>
  </si>
  <si>
    <t>SHIFT+CTRL+3</t>
  </si>
  <si>
    <t>Which keys apply the Date format?  (from S3-1 Number Skins)</t>
  </si>
  <si>
    <t>F4-2 Safety Net W10</t>
  </si>
  <si>
    <t>Ctrl+Shift plus the @ key.</t>
  </si>
  <si>
    <t>CTRL+SHIFT+2</t>
  </si>
  <si>
    <t>CTRL+SHIFT+@</t>
  </si>
  <si>
    <t>SHIFT+CTRL+2</t>
  </si>
  <si>
    <t>SHIFT+CTRL+@</t>
  </si>
  <si>
    <t>Which keys apply the Time format?  (from S3-1 Number Skins)</t>
  </si>
  <si>
    <t>F4-2 Safety Net T1</t>
  </si>
  <si>
    <t>After lookup, lookup array, return array.</t>
  </si>
  <si>
    <t>INDEX+MATCH</t>
  </si>
  <si>
    <t>Which XLOOKUP argument number sets the result when no match is found?</t>
  </si>
  <si>
    <t>F4-2 Safety Net T2</t>
  </si>
  <si>
    <t>Count E and F.</t>
  </si>
  <si>
    <t>match_mode -1</t>
  </si>
  <si>
    <t>If the return array is E6:F20, how many columns does the result spill into?</t>
  </si>
  <si>
    <t>▶ Open F4-2 Arena (or press Ctrl+PgDn)</t>
  </si>
  <si>
    <t>F4-2 Safety Net C1</t>
  </si>
  <si>
    <t>4</t>
  </si>
  <si>
    <t>4TH</t>
  </si>
  <si>
    <t>FOURTH</t>
  </si>
  <si>
    <t>IF_NOT_FOUND</t>
  </si>
  <si>
    <t>F4-2 Safety Net C2</t>
  </si>
  <si>
    <t>TWO</t>
  </si>
  <si>
    <t>F4-2 Safety Net C3</t>
  </si>
  <si>
    <t>Use XLOOKUP's 4th argument.</t>
  </si>
  <si>
    <t>I6 holds an ID that doesn't exist. In J6 look up its Product (column C) and show "Not found" instead of an error.</t>
  </si>
  <si>
    <t>F4-2 Safety Net C4</t>
  </si>
  <si>
    <t>The result spills into J9:K9.</t>
  </si>
  <si>
    <t>In J9 return BOTH the Price and the Stock of the ID in I9 with one XLOOKUP: make the return array E6:F20.</t>
  </si>
  <si>
    <t>▶ ARENA C4 (cell J9)</t>
  </si>
  <si>
    <t>STAGE F4-2 ▸ SAFETY NET</t>
  </si>
  <si>
    <t>Goal: handle missing values and return several columns</t>
  </si>
  <si>
    <t>ARENA ▸ F4-3 OLD SCHOOL</t>
  </si>
  <si>
    <t>CLASSIC</t>
  </si>
  <si>
    <t>◀ Back to F4-3 Old School</t>
  </si>
  <si>
    <r>
      <rPr>
        <b/>
        <sz val="12"/>
        <color rgb="FF1F2328"/>
        <rFont val="Calibri"/>
        <family val="2"/>
        <scheme val="minor"/>
      </rPr>
      <t>VLOOKUP(value, table, column_number, FALSE) searches the FIRST column of a table.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Still everywhere in older files.</t>
    </r>
  </si>
  <si>
    <r>
      <rPr>
        <b/>
        <sz val="12"/>
        <color rgb="FF1F2328"/>
        <rFont val="Calibri"/>
        <family val="2"/>
        <scheme val="minor"/>
      </rPr>
      <t>End VLOOKUP with FALSE for an exact match.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Forget it and VLOOKUP may return a wrong neighbor.</t>
    </r>
  </si>
  <si>
    <t>F4-3 Old School W1</t>
  </si>
  <si>
    <t>Which XLOOKUP argument number sets the result when no match is found?  (from F4-2 Safety Net)</t>
  </si>
  <si>
    <t>F4-3 Old School W2</t>
  </si>
  <si>
    <t>If the return array is E6:F20, how many columns does the result spill into?  (from F4-2 Safety Net)</t>
  </si>
  <si>
    <t>F4-3 Old School W3</t>
  </si>
  <si>
    <t>Ctrl+Shift plus L.</t>
  </si>
  <si>
    <t>CTRL+SHIFT+L</t>
  </si>
  <si>
    <t>SHIFT+CTRL+L</t>
  </si>
  <si>
    <t>Which keys turn filter buttons on and off?  (from S4-4 Data Wrangler)</t>
  </si>
  <si>
    <t>F4-3 Old School W4</t>
  </si>
  <si>
    <t>The same keys that open a dropdown.</t>
  </si>
  <si>
    <t>ALT+DOWN</t>
  </si>
  <si>
    <t>Which keys open the filter menu of a header cell?  (from S4-4 Data Wrangler)</t>
  </si>
  <si>
    <t>F4-3 Old School W5</t>
  </si>
  <si>
    <t>T for Table.</t>
  </si>
  <si>
    <t>CTRL+L</t>
  </si>
  <si>
    <t>CTRL+T</t>
  </si>
  <si>
    <t>Which keys turn a range into a Table?  (from S4-4 Data Wrangler)</t>
  </si>
  <si>
    <t>F4-3 Old School W6</t>
  </si>
  <si>
    <t>Alt, A, S, then A for ascending.</t>
  </si>
  <si>
    <t>ALT+A+S+A</t>
  </si>
  <si>
    <t>ALT+A,S,A</t>
  </si>
  <si>
    <t>ALT+A&gt;S&gt;A</t>
  </si>
  <si>
    <t>ALT+ASA</t>
  </si>
  <si>
    <t>ALT,A+S+A</t>
  </si>
  <si>
    <t>ALT,A,S,A</t>
  </si>
  <si>
    <t>ALT,A&gt;S&gt;A</t>
  </si>
  <si>
    <t>ALT,ASA</t>
  </si>
  <si>
    <t>ALT&gt;A+S+A</t>
  </si>
  <si>
    <t>ALT&gt;A,S,A</t>
  </si>
  <si>
    <t>ALT&gt;A&gt;S&gt;A</t>
  </si>
  <si>
    <t>ALT&gt;ASA</t>
  </si>
  <si>
    <t>ALTA+S+A</t>
  </si>
  <si>
    <t>ALTA,S,A</t>
  </si>
  <si>
    <t>ALTA&gt;S&gt;A</t>
  </si>
  <si>
    <t>ALTASA</t>
  </si>
  <si>
    <t>Which KeyTips sort A to Z?  (from S4-4 Data Wrangler)</t>
  </si>
  <si>
    <t>F4-3 Old School W7</t>
  </si>
  <si>
    <t>Alt, A, S, then D for descending.</t>
  </si>
  <si>
    <t>ALT+A+S+D</t>
  </si>
  <si>
    <t>ALT+A,S,D</t>
  </si>
  <si>
    <t>ALT+A&gt;S&gt;D</t>
  </si>
  <si>
    <t>ALT+ASD</t>
  </si>
  <si>
    <t>ALT,A+S+D</t>
  </si>
  <si>
    <t>ALT,A,S,D</t>
  </si>
  <si>
    <t>ALT,A&gt;S&gt;D</t>
  </si>
  <si>
    <t>ALT,ASD</t>
  </si>
  <si>
    <t>ALT&gt;A+S+D</t>
  </si>
  <si>
    <t>ALT&gt;A,S,D</t>
  </si>
  <si>
    <t>ALT&gt;A&gt;S&gt;D</t>
  </si>
  <si>
    <t>ALT&gt;ASD</t>
  </si>
  <si>
    <t>ALTA+S+D</t>
  </si>
  <si>
    <t>ALTA,S,D</t>
  </si>
  <si>
    <t>ALTA&gt;S&gt;D</t>
  </si>
  <si>
    <t>ALTASD</t>
  </si>
  <si>
    <t>Which KeyTips sort Z to A?  (from S4-4 Data Wrangler)</t>
  </si>
  <si>
    <t>F4-3 Old School W8</t>
  </si>
  <si>
    <t>Alt plus F1.</t>
  </si>
  <si>
    <t>ALT+F1</t>
  </si>
  <si>
    <t>Which keys insert an instant chart on the sheet?  (from S4-4 Data Wrangler)</t>
  </si>
  <si>
    <t>F4-3 Old School W9</t>
  </si>
  <si>
    <t>Ctrl+Shift plus the ~ key.</t>
  </si>
  <si>
    <t>CTRL+SHIFT+`</t>
  </si>
  <si>
    <t>CTRL+SHIFT+~</t>
  </si>
  <si>
    <t>SHIFT+CTRL+`</t>
  </si>
  <si>
    <t>SHIFT+CTRL+~</t>
  </si>
  <si>
    <t>Which keys reset a cell to the General format?  (from S3-1 Number Skins)</t>
  </si>
  <si>
    <t>F4-3 Old School W10</t>
  </si>
  <si>
    <t>B for Bold.</t>
  </si>
  <si>
    <t>CTRL+2</t>
  </si>
  <si>
    <t>CTRL+B</t>
  </si>
  <si>
    <t>Which keys toggle bold?  (from S3-2 Text Style)</t>
  </si>
  <si>
    <t>F4-3 Old School T1</t>
  </si>
  <si>
    <t>V for vertical.</t>
  </si>
  <si>
    <t>XMATCH</t>
  </si>
  <si>
    <t>Which classic function searches the first column of a table and returns a column by number?</t>
  </si>
  <si>
    <t>F4-3 Old School T2</t>
  </si>
  <si>
    <t>The opposite of TRUE.</t>
  </si>
  <si>
    <t>Which 4th argument makes VLOOKUP find an exact match?</t>
  </si>
  <si>
    <t>▶ Open F4-3 Arena (or press Ctrl+PgDn)</t>
  </si>
  <si>
    <t>F4-3 Old School C1</t>
  </si>
  <si>
    <t>=VLOOKUP</t>
  </si>
  <si>
    <t>=VLOOKUP(</t>
  </si>
  <si>
    <t>=VLOOKUP()</t>
  </si>
  <si>
    <t>VLOOKUP(</t>
  </si>
  <si>
    <t>VLOOKUP()</t>
  </si>
  <si>
    <t>F4-3 Old School C2</t>
  </si>
  <si>
    <t>0</t>
  </si>
  <si>
    <t>FALSE</t>
  </si>
  <si>
    <t>F4-3 Old School C3</t>
  </si>
  <si>
    <t>Count columns from B.</t>
  </si>
  <si>
    <t>In J6 return the Category of the ID in I6 with =VLOOKUP(I6,B6:F20,3,FALSE). Category is the 3rd column of B:F.</t>
  </si>
  <si>
    <t>F4-3 Old School C4</t>
  </si>
  <si>
    <t>B=1 … F=5.</t>
  </si>
  <si>
    <t>In J9 return the Stock of the ID in I9 with VLOOKUP. Stock is column 5 of B:F.</t>
  </si>
  <si>
    <t>STAGE F4-3 ▸ OLD SCHOOL</t>
  </si>
  <si>
    <t>Goal: read and write classic VLOOKUP</t>
  </si>
  <si>
    <t>ARENA ▸ F4-4 POWER COUPLE</t>
  </si>
  <si>
    <t>COUPLE</t>
  </si>
  <si>
    <t>◀ Back to F4-4 Power Couple</t>
  </si>
  <si>
    <t>Find name</t>
  </si>
  <si>
    <t>Position</t>
  </si>
  <si>
    <t>5th price →</t>
  </si>
  <si>
    <r>
      <rPr>
        <b/>
        <sz val="12"/>
        <color rgb="FF1F2328"/>
        <rFont val="Calibri"/>
        <family val="2"/>
        <scheme val="minor"/>
      </rPr>
      <t>INDEX(range, n) returns the n-th item of a range.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=INDEX(E6:E20,5) is the 5th price.</t>
    </r>
  </si>
  <si>
    <r>
      <rPr>
        <b/>
        <sz val="12"/>
        <color rgb="FF1F2328"/>
        <rFont val="Calibri"/>
        <family val="2"/>
        <scheme val="minor"/>
      </rPr>
      <t>MATCH(value, range, 0) returns the position of a value.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0 means exact match.</t>
    </r>
  </si>
  <si>
    <t>3</t>
  </si>
  <si>
    <r>
      <rPr>
        <b/>
        <sz val="12"/>
        <color rgb="FF1F2328"/>
        <rFont val="Calibri"/>
        <family val="2"/>
        <scheme val="minor"/>
      </rPr>
      <t>=INDEX(return_range, MATCH(value, lookup_range, 0)) looks up in any direction.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Works even when the answer is LEFT of the lookup column.</t>
    </r>
  </si>
  <si>
    <r>
      <rPr>
        <b/>
        <sz val="12"/>
        <color rgb="FF1F2328"/>
        <rFont val="Calibri"/>
        <family val="2"/>
        <scheme val="minor"/>
      </rPr>
      <t>Modern MATCH: exact match by default.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=XMATCH("Kiwi",C6:C20)</t>
    </r>
  </si>
  <si>
    <t>F4-4 Power Couple W1</t>
  </si>
  <si>
    <t>Which classic function searches the first column of a table and returns a column by number?  (from F4-3 Old School)</t>
  </si>
  <si>
    <t>F4-4 Power Couple W2</t>
  </si>
  <si>
    <t>Which 4th argument makes VLOOKUP find an exact match?  (from F4-3 Old School)</t>
  </si>
  <si>
    <t>F4-4 Power Couple W3</t>
  </si>
  <si>
    <t>I for Italic.</t>
  </si>
  <si>
    <t>CTRL+3</t>
  </si>
  <si>
    <t>CTRL+I</t>
  </si>
  <si>
    <t>Which keys toggle italic?  (from S3-2 Text Style)</t>
  </si>
  <si>
    <t>F4-4 Power Couple W4</t>
  </si>
  <si>
    <t>U for Underline.</t>
  </si>
  <si>
    <t>CTRL+4</t>
  </si>
  <si>
    <t>CTRL+U</t>
  </si>
  <si>
    <t>Which keys toggle underline?  (from S3-2 Text Style)</t>
  </si>
  <si>
    <t>F4-4 Power Couple W5</t>
  </si>
  <si>
    <t>CTRL+5</t>
  </si>
  <si>
    <t>Which keys toggle strikethrough?  (from S3-2 Text Style)</t>
  </si>
  <si>
    <t>F4-4 Power Couple W6</t>
  </si>
  <si>
    <t>Ctrl plus the number 1.</t>
  </si>
  <si>
    <t>CTRL+1</t>
  </si>
  <si>
    <t>Which keys open the Format Cells dialog?  (from S3-3 Format Power)</t>
  </si>
  <si>
    <t>F4-4 Power Couple W7</t>
  </si>
  <si>
    <t>Ctrl+Shift plus the &amp; key.</t>
  </si>
  <si>
    <t>CTRL+SHIFT+&amp;</t>
  </si>
  <si>
    <t>CTRL+SHIFT+7</t>
  </si>
  <si>
    <t>SHIFT+CTRL+&amp;</t>
  </si>
  <si>
    <t>SHIFT+CTRL+7</t>
  </si>
  <si>
    <t>Which keys add an outline border?  (from S3-3 Format Power)</t>
  </si>
  <si>
    <t>F4-4 Power Couple W8</t>
  </si>
  <si>
    <t>Ctrl+Shift plus the underscore key.</t>
  </si>
  <si>
    <t>CTRL+SHIFT+-</t>
  </si>
  <si>
    <t>CTRL+SHIFT+_</t>
  </si>
  <si>
    <t>SHIFT+CTRL+-</t>
  </si>
  <si>
    <t>SHIFT+CTRL+_</t>
  </si>
  <si>
    <t>Which keys remove the outline border?  (from S3-3 Format Power)</t>
  </si>
  <si>
    <t>F4-4 Power Couple W9</t>
  </si>
  <si>
    <t>The key next to the spacebar.</t>
  </si>
  <si>
    <t>ALT</t>
  </si>
  <si>
    <t>F10</t>
  </si>
  <si>
    <t>Which key shows the ribbon KeyTips?  (from S3-3 Format Power)</t>
  </si>
  <si>
    <t>F4-4 Power Couple W10</t>
  </si>
  <si>
    <t>Alt, then H, then A, then C.</t>
  </si>
  <si>
    <t>ALT+H+A+C</t>
  </si>
  <si>
    <t>ALT+H,A,C</t>
  </si>
  <si>
    <t>ALT+H&gt;A&gt;C</t>
  </si>
  <si>
    <t>ALT+HAC</t>
  </si>
  <si>
    <t>ALT,H+A+C</t>
  </si>
  <si>
    <t>ALT,H,A,C</t>
  </si>
  <si>
    <t>ALT,H&gt;A&gt;C</t>
  </si>
  <si>
    <t>ALT,HAC</t>
  </si>
  <si>
    <t>ALT&gt;H+A+C</t>
  </si>
  <si>
    <t>ALT&gt;H,A,C</t>
  </si>
  <si>
    <t>ALT&gt;H&gt;A&gt;C</t>
  </si>
  <si>
    <t>ALT&gt;HAC</t>
  </si>
  <si>
    <t>ALTH+A+C</t>
  </si>
  <si>
    <t>ALTH,A,C</t>
  </si>
  <si>
    <t>ALTH&gt;A&gt;C</t>
  </si>
  <si>
    <t>ALTHAC</t>
  </si>
  <si>
    <t>Which KeyTips center the selected cells?  (from S3-3 Format Power)</t>
  </si>
  <si>
    <t>F4-4 Power Couple T1</t>
  </si>
  <si>
    <t>Like a book's index.</t>
  </si>
  <si>
    <t>Which function returns the item at a given position in a range?</t>
  </si>
  <si>
    <t>F4-4 Power Couple T2</t>
  </si>
  <si>
    <t>It finds a match.</t>
  </si>
  <si>
    <t>Which function returns the position of a value in a range?</t>
  </si>
  <si>
    <t>F4-4 Power Couple T3</t>
  </si>
  <si>
    <t>The position finder.</t>
  </si>
  <si>
    <t>T3</t>
  </si>
  <si>
    <t>Which function goes inside INDEX to find the row position?</t>
  </si>
  <si>
    <t>F4-4 Power Couple T4</t>
  </si>
  <si>
    <t>X plus MATCH.</t>
  </si>
  <si>
    <t>T4</t>
  </si>
  <si>
    <t>Which modern function returns a position with an exact match by default?</t>
  </si>
  <si>
    <t>▶ Open F4-4 Arena (or press Ctrl+PgDn)</t>
  </si>
  <si>
    <t>F4-4 Power Couple C1</t>
  </si>
  <si>
    <t>=INDEX</t>
  </si>
  <si>
    <t>=INDEX(</t>
  </si>
  <si>
    <t>=INDEX()</t>
  </si>
  <si>
    <t>INDEX(</t>
  </si>
  <si>
    <t>INDEX()</t>
  </si>
  <si>
    <t>F4-4 Power Couple C2</t>
  </si>
  <si>
    <t>=MATCH</t>
  </si>
  <si>
    <t>=MATCH(</t>
  </si>
  <si>
    <t>=MATCH()</t>
  </si>
  <si>
    <t>MATCH(</t>
  </si>
  <si>
    <t>MATCH()</t>
  </si>
  <si>
    <t>F4-4 Power Couple C3</t>
  </si>
  <si>
    <t>F4-4 Power Couple C4</t>
  </si>
  <si>
    <t>=XMATCH</t>
  </si>
  <si>
    <t>=XMATCH(</t>
  </si>
  <si>
    <t>=XMATCH()</t>
  </si>
  <si>
    <t>XMATCH(</t>
  </si>
  <si>
    <t>XMATCH()</t>
  </si>
  <si>
    <t>F4-4 Power Couple C5</t>
  </si>
  <si>
    <t>0 = exact.</t>
  </si>
  <si>
    <t>C5</t>
  </si>
  <si>
    <t>In J6 return the position of the name in I6 within C6:C20: =MATCH(I6,C6:C20,0).</t>
  </si>
  <si>
    <t>▶ ARENA C5 (cell J6)</t>
  </si>
  <si>
    <t>F4-4 Power Couple C6</t>
  </si>
  <si>
    <t>MATCH finds the row, INDEX fetches it.</t>
  </si>
  <si>
    <t>C6</t>
  </si>
  <si>
    <t>The ID is LEFT of the names. In J9 return the ID of the product named in I9 with =INDEX(B6:B20,MATCH(I9,C6:C20,0)).</t>
  </si>
  <si>
    <t>▶ ARENA C6 (cell J9)</t>
  </si>
  <si>
    <t>F4-4 Power Couple C7</t>
  </si>
  <si>
    <t>No 0 needed.</t>
  </si>
  <si>
    <t>C7</t>
  </si>
  <si>
    <t>In J12 return the position of the name in I12 with XMATCH.</t>
  </si>
  <si>
    <t>▶ ARENA C7 (cell J12)</t>
  </si>
  <si>
    <t>F4-4 Power Couple C8</t>
  </si>
  <si>
    <t>=INDEX(E6:E20,5)</t>
  </si>
  <si>
    <t>C8</t>
  </si>
  <si>
    <t>In J14 return the 5th Price in E6:E20 with INDEX.</t>
  </si>
  <si>
    <t>▶ ARENA C8 (cell J14)</t>
  </si>
  <si>
    <t>STAGE F4-4 ▸ POWER COUPLE</t>
  </si>
  <si>
    <t>Goal: combine INDEX and MATCH for any-direction lookups</t>
  </si>
  <si>
    <t>ARENA ▸ F4-5 TIERS</t>
  </si>
  <si>
    <t>TIERS</t>
  </si>
  <si>
    <t>◀ Back to F4-5 Tiers</t>
  </si>
  <si>
    <t>Quantity</t>
  </si>
  <si>
    <t>Discount</t>
  </si>
  <si>
    <t>Score</t>
  </si>
  <si>
    <t>Grade</t>
  </si>
  <si>
    <t>Min qty</t>
  </si>
  <si>
    <t>Min score</t>
  </si>
  <si>
    <t>F</t>
  </si>
  <si>
    <t>D</t>
  </si>
  <si>
    <t>C</t>
  </si>
  <si>
    <t>B</t>
  </si>
  <si>
    <t>A</t>
  </si>
  <si>
    <r>
      <rPr>
        <b/>
        <sz val="12"/>
        <color rgb="FF1F2328"/>
        <rFont val="Calibri"/>
        <family val="2"/>
        <scheme val="minor"/>
      </rPr>
      <t>XLOOKUP(…,,-1): exact match or the next smaller item.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Perfect for discount tiers and grade bands.</t>
    </r>
  </si>
  <si>
    <r>
      <rPr>
        <b/>
        <sz val="12"/>
        <color rgb="FF1F2328"/>
        <rFont val="Calibri"/>
        <family val="2"/>
        <scheme val="minor"/>
      </rPr>
      <t>Approximate VLOOKUP: the first column must be sorted smallest to largest.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Unsorted bands give wrong answers silently.</t>
    </r>
  </si>
  <si>
    <t>F4-5 Tiers W1</t>
  </si>
  <si>
    <t>Which function returns the item at a given position in a range?  (from F4-4 Power Couple)</t>
  </si>
  <si>
    <t>F4-5 Tiers W2</t>
  </si>
  <si>
    <t>Which function returns the position of a value in a range?  (from F4-4 Power Couple)</t>
  </si>
  <si>
    <t>F4-5 Tiers W3</t>
  </si>
  <si>
    <t>Which function goes inside INDEX to find the row position?  (from F4-4 Power Couple)</t>
  </si>
  <si>
    <t>F4-5 Tiers W4</t>
  </si>
  <si>
    <t>Which modern function returns a position with an exact match by default?  (from F4-4 Power Couple)</t>
  </si>
  <si>
    <t>F4-5 Tiers W5</t>
  </si>
  <si>
    <t>F4-5 Tiers W6</t>
  </si>
  <si>
    <t>F4-5 Tiers W7</t>
  </si>
  <si>
    <t>Alt, then H, then H again.</t>
  </si>
  <si>
    <t>ALT+H+H</t>
  </si>
  <si>
    <t>ALT+H,H</t>
  </si>
  <si>
    <t>ALT+H&gt;H</t>
  </si>
  <si>
    <t>ALT+HH</t>
  </si>
  <si>
    <t>ALT,H+H</t>
  </si>
  <si>
    <t>ALT,H,H</t>
  </si>
  <si>
    <t>ALT,H&gt;H</t>
  </si>
  <si>
    <t>ALT,HH</t>
  </si>
  <si>
    <t>ALT&gt;H+H</t>
  </si>
  <si>
    <t>ALT&gt;H,H</t>
  </si>
  <si>
    <t>ALT&gt;H&gt;H</t>
  </si>
  <si>
    <t>ALT&gt;HH</t>
  </si>
  <si>
    <t>ALTH+H</t>
  </si>
  <si>
    <t>ALTH,H</t>
  </si>
  <si>
    <t>ALTH&gt;H</t>
  </si>
  <si>
    <t>ALTHH</t>
  </si>
  <si>
    <t>Which KeyTips open the Fill Color menu?  (from S3-3 Format Power)</t>
  </si>
  <si>
    <t>F4-5 Tiers W8</t>
  </si>
  <si>
    <t>A function key.</t>
  </si>
  <si>
    <t>CTRL+Y</t>
  </si>
  <si>
    <t>F4</t>
  </si>
  <si>
    <t>Which key repeats your last action?  (from S3-3 Format Power)</t>
  </si>
  <si>
    <t>F4-5 Tiers W9</t>
  </si>
  <si>
    <t>COUNT plus IF.</t>
  </si>
  <si>
    <t>=COUNTIF</t>
  </si>
  <si>
    <t>=COUNTIF(</t>
  </si>
  <si>
    <t>=COUNTIF()</t>
  </si>
  <si>
    <t>COUNTIF</t>
  </si>
  <si>
    <t>COUNTIF(</t>
  </si>
  <si>
    <t>COUNTIF()</t>
  </si>
  <si>
    <t>Which function counts cells that meet one condition?  (from F3-1 Counters)</t>
  </si>
  <si>
    <t>F4-5 Tiers W10</t>
  </si>
  <si>
    <t>Quotes around &gt;50.</t>
  </si>
  <si>
    <t>"&gt;50"</t>
  </si>
  <si>
    <t>Type the COUNTIF criteria for "greater than 50", quotes included.  (from F3-1 Counters)</t>
  </si>
  <si>
    <t>F4-5 Tiers T1</t>
  </si>
  <si>
    <t>Minus one.</t>
  </si>
  <si>
    <t>Which XLOOKUP match_mode returns an exact match or the next smaller item?</t>
  </si>
  <si>
    <t>F4-5 Tiers T2</t>
  </si>
  <si>
    <t>Low to high.</t>
  </si>
  <si>
    <t>For an approximate VLOOKUP, how must the first column be sorted?</t>
  </si>
  <si>
    <t>▶ Open F4-5 Arena (or press Ctrl+PgDn)</t>
  </si>
  <si>
    <t>F4-5 Tiers C1</t>
  </si>
  <si>
    <t>-1</t>
  </si>
  <si>
    <t>F4-5 Tiers C2</t>
  </si>
  <si>
    <t>A-Z</t>
  </si>
  <si>
    <t>ASCENDING</t>
  </si>
  <si>
    <t>ATOZ</t>
  </si>
  <si>
    <t>SMALLESTTOLARGEST</t>
  </si>
  <si>
    <t>F4-5 Tiers C3</t>
  </si>
  <si>
    <t>-1 = exact or next smaller.</t>
  </si>
  <si>
    <t>In J6 find the discount for the quantity in I6 from the tiers in L6:M9: =XLOOKUP(I6,L6:L9,M6:M9,,-1).</t>
  </si>
  <si>
    <t>F4-5 Tiers C4</t>
  </si>
  <si>
    <t>TRUE = approximate (sorted bands).</t>
  </si>
  <si>
    <t>In J9 find the grade for the score in I9 from L13:M17 with =VLOOKUP(I9,L13:M17,2,TRUE).</t>
  </si>
  <si>
    <t>STAGE F4-5 ▸ TIERS</t>
  </si>
  <si>
    <t>Goal: look up bands, tiers and grades</t>
  </si>
  <si>
    <t>BOSS ARENA ▸ LOOKUPS</t>
  </si>
  <si>
    <t>LOOKOUT</t>
  </si>
  <si>
    <t>◀ Back to Boss</t>
  </si>
  <si>
    <t>P-77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</si>
  <si>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</si>
  <si>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</si>
  <si>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</si>
  <si>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</si>
  <si>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</si>
  <si>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</si>
  <si>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</si>
  <si>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</si>
  <si>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</si>
  <si>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</si>
  <si>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</si>
  <si>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</si>
  <si>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</si>
  <si>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</si>
  <si>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Boss F5</t>
  </si>
  <si>
    <t>Shift+8.</t>
  </si>
  <si>
    <t>*</t>
  </si>
  <si>
    <t>ASTERISK</t>
  </si>
  <si>
    <t>F5</t>
  </si>
  <si>
    <t>Boss F6</t>
  </si>
  <si>
    <t>SUM plus IF.</t>
  </si>
  <si>
    <t>=SUMIF</t>
  </si>
  <si>
    <t>=SUMIF(</t>
  </si>
  <si>
    <t>=SUMIF()</t>
  </si>
  <si>
    <t>SUMIF</t>
  </si>
  <si>
    <t>SUMIF(</t>
  </si>
  <si>
    <t>SUMIF()</t>
  </si>
  <si>
    <t>F6</t>
  </si>
  <si>
    <t>Boss F7</t>
  </si>
  <si>
    <t>AVERAGE plus IF.</t>
  </si>
  <si>
    <t>=AVERAGEIF</t>
  </si>
  <si>
    <t>=AVERAGEIF(</t>
  </si>
  <si>
    <t>=AVERAGEIF()</t>
  </si>
  <si>
    <t>AVERAGEIF</t>
  </si>
  <si>
    <t>AVERAGEIF(</t>
  </si>
  <si>
    <t>AVERAGEIF()</t>
  </si>
  <si>
    <t>F7</t>
  </si>
  <si>
    <t>Boss F8</t>
  </si>
  <si>
    <t>COUNTIF plus S.</t>
  </si>
  <si>
    <t>=COUNTIFS</t>
  </si>
  <si>
    <t>=COUNTIFS(</t>
  </si>
  <si>
    <t>=COUNTIFS()</t>
  </si>
  <si>
    <t>COUNTIFS</t>
  </si>
  <si>
    <t>COUNTIFS(</t>
  </si>
  <si>
    <t>COUNTIFS()</t>
  </si>
  <si>
    <t>F8</t>
  </si>
  <si>
    <t>BOSS MISSIONS</t>
  </si>
  <si>
    <t>▶ Open Boss Arena (or press Ctrl+PgDn)</t>
  </si>
  <si>
    <t>Boss B1</t>
  </si>
  <si>
    <t>XLOOKUP(I6,…).</t>
  </si>
  <si>
    <t>B1</t>
  </si>
  <si>
    <t>▶ ARENA B1 (cell J6)</t>
  </si>
  <si>
    <t>Boss B2</t>
  </si>
  <si>
    <t>$ on both ranges.</t>
  </si>
  <si>
    <t>B2</t>
  </si>
  <si>
    <t>▶ ARENA B2 (cell J9)</t>
  </si>
  <si>
    <t>Boss B3</t>
  </si>
  <si>
    <t>4th argument.</t>
  </si>
  <si>
    <t>B3</t>
  </si>
  <si>
    <t>▶ ARENA B3 (cell J15)</t>
  </si>
  <si>
    <t>Boss B4</t>
  </si>
  <si>
    <t>Return array E6:F20.</t>
  </si>
  <si>
    <t>B4</t>
  </si>
  <si>
    <t>▶ ARENA B4 (cell J18)</t>
  </si>
  <si>
    <t>Boss B5</t>
  </si>
  <si>
    <t>Column 3, FALSE.</t>
  </si>
  <si>
    <t>B5</t>
  </si>
  <si>
    <t>▶ ARENA B5 (cell J21)</t>
  </si>
  <si>
    <t>Boss B6</t>
  </si>
  <si>
    <t>INDEX(B…,MATCH(…,C…,0)).</t>
  </si>
  <si>
    <t>B6</t>
  </si>
  <si>
    <t>▶ ARENA B6 (cell J24)</t>
  </si>
  <si>
    <t>Boss B7</t>
  </si>
  <si>
    <t>XMATCH.</t>
  </si>
  <si>
    <t>B7</t>
  </si>
  <si>
    <t>▶ ARENA B7 (cell J27)</t>
  </si>
  <si>
    <t>Boss B8</t>
  </si>
  <si>
    <t>match_mode -1.</t>
  </si>
  <si>
    <t>B8</t>
  </si>
  <si>
    <t>▶ ARENA B8 (cell J30)</t>
  </si>
  <si>
    <t>BOSS ▸ LOOKUPS</t>
  </si>
  <si>
    <t>Every move from this world in one gauntlet. Clear it under par for rank S.</t>
  </si>
  <si>
    <t>FORMULAS 4 ▸ LOOKUPS</t>
  </si>
  <si>
    <t>Find a value in one column and bring back its partner from another.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</si>
  <si>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</si>
  <si>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</si>
  <si>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</si>
  <si>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</si>
  <si>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</si>
  <si>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</si>
  <si>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</si>
  <si>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</si>
  <si>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</si>
  <si>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Stars</t>
  </si>
  <si>
    <t>Status</t>
  </si>
  <si>
    <t>Go</t>
  </si>
  <si>
    <t>F4-1</t>
  </si>
  <si>
    <t>Seeker</t>
  </si>
  <si>
    <t>Go to F4-1 Seeker</t>
  </si>
  <si>
    <t>F4-2</t>
  </si>
  <si>
    <t>Safety Net</t>
  </si>
  <si>
    <t>Go to F4-2 Safety Net</t>
  </si>
  <si>
    <t>F4-3</t>
  </si>
  <si>
    <t>Old School</t>
  </si>
  <si>
    <t>Go to F4-3 Old School</t>
  </si>
  <si>
    <t>F4-4</t>
  </si>
  <si>
    <t>Power Couple</t>
  </si>
  <si>
    <t>Go to F4-4 Power Couple</t>
  </si>
  <si>
    <t>F4-5</t>
  </si>
  <si>
    <t>Tiers</t>
  </si>
  <si>
    <t>Go to F4-5 Tiers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</si>
  <si>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</si>
  <si>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</si>
  <si>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</si>
  <si>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</si>
  <si>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</si>
  <si>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</si>
  <si>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</si>
  <si>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</si>
  <si>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</si>
  <si>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LOOKUPS</t>
  </si>
  <si>
    <t>Every move from this world on one page. Keep it open while you play, or print it (Ctrl+P).</t>
  </si>
  <si>
    <t>What it does</t>
  </si>
  <si>
    <t>Pro tip</t>
  </si>
  <si>
    <t>XLOOKUP(lookup_value, lookup_array, return_array) finds a match and returns its partner.</t>
  </si>
  <si>
    <t>Works left or right, exact match by default.</t>
  </si>
  <si>
    <t>Lock lookup ranges with $ before you fill the formula down.</t>
  </si>
  <si>
    <t>Otherwise the ranges slide down and miss rows.</t>
  </si>
  <si>
    <t>XLOOKUP's 4th argument: what to show when nothing matches.</t>
  </si>
  <si>
    <t>=XLOOKUP(A2,B:B,C:C,"Not found") instead of #N/A.</t>
  </si>
  <si>
    <t>Give XLOOKUP a return range two columns wide and both values spill out.</t>
  </si>
  <si>
    <t>One formula, several answers side by side.</t>
  </si>
  <si>
    <t>VLOOKUP(value, table, column_number, FALSE) searches the FIRST column of a table.</t>
  </si>
  <si>
    <t>Still everywhere in older files.</t>
  </si>
  <si>
    <t>End VLOOKUP with FALSE for an exact match.</t>
  </si>
  <si>
    <t>Forget it and VLOOKUP may return a wrong neighbor.</t>
  </si>
  <si>
    <t>INDEX(range, n) returns the n-th item of a range.</t>
  </si>
  <si>
    <t>=INDEX(E6:E20,5) is the 5th price.</t>
  </si>
  <si>
    <t>MATCH(value, range, 0) returns the position of a value.</t>
  </si>
  <si>
    <t>The 0 means exact match.</t>
  </si>
  <si>
    <t>=INDEX(return_range, MATCH(value, lookup_range, 0)) looks up in any direction.</t>
  </si>
  <si>
    <t>Works even when the answer is LEFT of the lookup column.</t>
  </si>
  <si>
    <t>Modern MATCH: exact match by default.</t>
  </si>
  <si>
    <t>=XMATCH("Kiwi",C6:C20)</t>
  </si>
  <si>
    <t>XLOOKUP(…,,-1): exact match or the next smaller item.</t>
  </si>
  <si>
    <t>Perfect for discount tiers and grade bands.</t>
  </si>
  <si>
    <t>Approximate VLOOKUP: the first column must be sorted smallest to largest.</t>
  </si>
  <si>
    <t>Unsorted bands give wrong answers silently.</t>
  </si>
</sst>
</file>

<file path=xl/styles.xml><?xml version="1.0" encoding="utf-8"?>
<styleSheet xmlns="http://schemas.openxmlformats.org/spreadsheetml/2006/main">
  <numFmts count="4">
    <numFmt numFmtId="164" formatCode="@"/>
    <numFmt numFmtId="165" formatCode="0%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0" fontId="16" fillId="5" borderId="1" xfId="0" applyFont="1" applyFill="1" applyBorder="1" applyAlignment="1" applyProtection="1">
      <alignment vertical="top"/>
      <protection locked="0"/>
    </xf>
    <xf numFmtId="165" fontId="16" fillId="5" borderId="1" xfId="0" applyNumberFormat="1" applyFont="1" applyFill="1" applyBorder="1" applyAlignment="1" applyProtection="1">
      <alignment vertical="top"/>
      <protection locked="0"/>
    </xf>
    <xf numFmtId="165" fontId="5" fillId="0" borderId="0" xfId="0" applyNumberFormat="1" applyFont="1" applyAlignment="1">
      <alignment vertical="top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5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659</v>
      </c>
      <c r="B1" s="2"/>
      <c r="C1" s="2"/>
      <c r="D1" s="2"/>
      <c r="E1" s="2"/>
      <c r="F1" s="2"/>
    </row>
    <row r="2" spans="1:6">
      <c r="A2" s="3" t="s">
        <v>660</v>
      </c>
    </row>
    <row r="4" spans="1:6">
      <c r="A4" s="4" t="s">
        <v>661</v>
      </c>
      <c r="B4" s="4"/>
      <c r="C4" s="4"/>
      <c r="D4" s="4"/>
      <c r="E4" s="4"/>
      <c r="F4" s="4"/>
    </row>
    <row r="5" spans="1:6">
      <c r="A5" s="5" t="s">
        <v>662</v>
      </c>
    </row>
    <row r="6" spans="1:6">
      <c r="A6" s="5" t="s">
        <v>663</v>
      </c>
    </row>
    <row r="7" spans="1:6">
      <c r="A7" s="5" t="s">
        <v>664</v>
      </c>
    </row>
    <row r="8" spans="1:6">
      <c r="A8" s="5" t="s">
        <v>665</v>
      </c>
    </row>
    <row r="9" spans="1:6">
      <c r="A9" s="5" t="s">
        <v>666</v>
      </c>
    </row>
    <row r="11" spans="1:6">
      <c r="A11" s="4" t="s">
        <v>667</v>
      </c>
      <c r="B11" s="4"/>
      <c r="C11" s="4"/>
      <c r="D11" s="4"/>
      <c r="E11" s="4"/>
      <c r="F11" s="4"/>
    </row>
    <row r="12" spans="1:6">
      <c r="A12" s="6" t="s">
        <v>668</v>
      </c>
      <c r="B12" s="6" t="s">
        <v>669</v>
      </c>
      <c r="C12" s="6" t="s">
        <v>493</v>
      </c>
      <c r="D12" s="6" t="s">
        <v>670</v>
      </c>
      <c r="E12" s="6" t="s">
        <v>671</v>
      </c>
      <c r="F12" s="6" t="s">
        <v>672</v>
      </c>
    </row>
    <row r="13" spans="1:6">
      <c r="A13" s="7" t="s">
        <v>673</v>
      </c>
      <c r="B13" s="8" t="s">
        <v>674</v>
      </c>
      <c r="C13" s="9" cm="1" t="str">
        <f t="array" ref="C13">SUM('F4-1 Seeker'!$G$12:$G$34)&amp;" / 160"</f>
        <v>0 / 160</v>
      </c>
      <c r="D13" s="10" cm="1" t="str">
        <f t="array" ref="D13">IF(SUM('F4-1 Seeker'!$G$12:$G$34)&gt;=160,"★★★",IF(SUM('F4-1 Seeker'!$G$12:$G$34)&gt;=160*0.8,"★★☆",IF(SUM('F4-1 Seeker'!$G$12:$G$34)&gt;=160*0.5,"★☆☆","☆☆☆")))</f>
        <v>☆☆☆</v>
      </c>
      <c r="E13" s="9" cm="1" t="str">
        <f t="array" ref="E13">IF(SUM('F4-1 Seeker'!$G$12:$G$34)&gt;=160,"PERFECT",IF(SUM('F4-1 Seeker'!$G$12:$G$34)&gt;=160*0.5,"CLEARED",IF(SUM('F4-1 Seeker'!$G$12:$G$34)&gt;0,"IN PROGRESS","NEW")))</f>
        <v>NEW</v>
      </c>
      <c r="F13" s="11" t="s">
        <v>675</v>
      </c>
    </row>
    <row r="14" spans="1:6">
      <c r="A14" s="7" t="s">
        <v>676</v>
      </c>
      <c r="B14" s="8" t="s">
        <v>677</v>
      </c>
      <c r="C14" s="9" cm="1" t="str">
        <f t="array" ref="C14">SUM('F4-2 Safety Net'!$G$12:$G$34)&amp;" / 160"</f>
        <v>0 / 160</v>
      </c>
      <c r="D14" s="10" cm="1" t="str">
        <f t="array" ref="D14">IF(SUM('F4-2 Safety Net'!$G$12:$G$34)&gt;=160,"★★★",IF(SUM('F4-2 Safety Net'!$G$12:$G$34)&gt;=160*0.8,"★★☆",IF(SUM('F4-2 Safety Net'!$G$12:$G$34)&gt;=160*0.5,"★☆☆","☆☆☆")))</f>
        <v>☆☆☆</v>
      </c>
      <c r="E14" s="9" cm="1" t="str">
        <f t="array" ref="E14">IF(SUM('F4-2 Safety Net'!$G$12:$G$34)&gt;=160,"PERFECT",IF(SUM('F4-2 Safety Net'!$G$12:$G$34)&gt;=160*0.5,"CLEARED",IF(SUM('F4-2 Safety Net'!$G$12:$G$34)&gt;0,"IN PROGRESS","NEW")))</f>
        <v>NEW</v>
      </c>
      <c r="F14" s="11" t="s">
        <v>678</v>
      </c>
    </row>
    <row r="15" spans="1:6">
      <c r="A15" s="7" t="s">
        <v>679</v>
      </c>
      <c r="B15" s="8" t="s">
        <v>680</v>
      </c>
      <c r="C15" s="9" cm="1" t="str">
        <f t="array" ref="C15">SUM('F4-3 Old School'!$G$12:$G$34)&amp;" / 160"</f>
        <v>0 / 160</v>
      </c>
      <c r="D15" s="10" cm="1" t="str">
        <f t="array" ref="D15">IF(SUM('F4-3 Old School'!$G$12:$G$34)&gt;=160,"★★★",IF(SUM('F4-3 Old School'!$G$12:$G$34)&gt;=160*0.8,"★★☆",IF(SUM('F4-3 Old School'!$G$12:$G$34)&gt;=160*0.5,"★☆☆","☆☆☆")))</f>
        <v>☆☆☆</v>
      </c>
      <c r="E15" s="9" cm="1" t="str">
        <f t="array" ref="E15">IF(SUM('F4-3 Old School'!$G$12:$G$34)&gt;=160,"PERFECT",IF(SUM('F4-3 Old School'!$G$12:$G$34)&gt;=160*0.5,"CLEARED",IF(SUM('F4-3 Old School'!$G$12:$G$34)&gt;0,"IN PROGRESS","NEW")))</f>
        <v>NEW</v>
      </c>
      <c r="F15" s="11" t="s">
        <v>681</v>
      </c>
    </row>
    <row r="16" spans="1:6">
      <c r="A16" s="7" t="s">
        <v>682</v>
      </c>
      <c r="B16" s="8" t="s">
        <v>683</v>
      </c>
      <c r="C16" s="9" cm="1" t="str">
        <f t="array" ref="C16">SUM('F4-4 Power Couple'!$G$14:$G$42)&amp;" / 220"</f>
        <v>0 / 220</v>
      </c>
      <c r="D16" s="10" cm="1" t="str">
        <f t="array" ref="D16">IF(SUM('F4-4 Power Couple'!$G$14:$G$42)&gt;=220,"★★★",IF(SUM('F4-4 Power Couple'!$G$14:$G$42)&gt;=220*0.8,"★★☆",IF(SUM('F4-4 Power Couple'!$G$14:$G$42)&gt;=220*0.5,"★☆☆","☆☆☆")))</f>
        <v>☆☆☆</v>
      </c>
      <c r="E16" s="9" cm="1" t="str">
        <f t="array" ref="E16">IF(SUM('F4-4 Power Couple'!$G$14:$G$42)&gt;=220,"PERFECT",IF(SUM('F4-4 Power Couple'!$G$14:$G$42)&gt;=220*0.5,"CLEARED",IF(SUM('F4-4 Power Couple'!$G$14:$G$42)&gt;0,"IN PROGRESS","NEW")))</f>
        <v>NEW</v>
      </c>
      <c r="F16" s="11" t="s">
        <v>684</v>
      </c>
    </row>
    <row r="17" spans="1:6">
      <c r="A17" s="7" t="s">
        <v>685</v>
      </c>
      <c r="B17" s="8" t="s">
        <v>686</v>
      </c>
      <c r="C17" s="9" cm="1" t="str">
        <f t="array" ref="C17">SUM('F4-5 Tiers'!$G$12:$G$34)&amp;" / 160"</f>
        <v>0 / 160</v>
      </c>
      <c r="D17" s="10" cm="1" t="str">
        <f t="array" ref="D17">IF(SUM('F4-5 Tiers'!$G$12:$G$34)&gt;=160,"★★★",IF(SUM('F4-5 Tiers'!$G$12:$G$34)&gt;=160*0.8,"★★☆",IF(SUM('F4-5 Tiers'!$G$12:$G$34)&gt;=160*0.5,"★☆☆","☆☆☆")))</f>
        <v>☆☆☆</v>
      </c>
      <c r="E17" s="9" cm="1" t="str">
        <f t="array" ref="E17">IF(SUM('F4-5 Tiers'!$G$12:$G$34)&gt;=160,"PERFECT",IF(SUM('F4-5 Tiers'!$G$12:$G$34)&gt;=160*0.5,"CLEARED",IF(SUM('F4-5 Tiers'!$G$12:$G$34)&gt;0,"IN PROGRESS","NEW")))</f>
        <v>NEW</v>
      </c>
      <c r="F17" s="11" t="s">
        <v>687</v>
      </c>
    </row>
    <row r="18" spans="1:6">
      <c r="A18" s="7" t="s">
        <v>688</v>
      </c>
      <c r="B18" s="8" t="s">
        <v>689</v>
      </c>
      <c r="C18" s="9" cm="1" t="str">
        <f t="array" ref="C18">SUM(Boss!$G$14:$G$33)&amp;" / 160"</f>
        <v>0 / 160</v>
      </c>
      <c r="D18" s="10" cm="1" t="str">
        <f t="array" ref="D18">IF(SUM(Boss!$G$14:$G$33)&gt;=160,"★★★",IF(SUM(Boss!$G$14:$G$33)&gt;=160*0.8,"★★☆",IF(SUM(Boss!$G$14:$G$33)&gt;=160*0.5,"★☆☆","☆☆☆")))</f>
        <v>☆☆☆</v>
      </c>
      <c r="E18" s="9" cm="1" t="str">
        <f t="array" ref="E18">IF(Boss!$C$10="OPEN",IF(SUM(Boss!$G$14:$G$33)&gt;=160*0.5,"DEFEATED","OPEN"),"LOCKED")</f>
        <v>LOCKED</v>
      </c>
      <c r="F18" s="11" t="s">
        <v>690</v>
      </c>
    </row>
    <row r="20" spans="1:6">
      <c r="A20" s="7" t="s">
        <v>691</v>
      </c>
      <c r="B20" s="12" cm="1" t="str">
        <f t="array" ref="B20">(SUM('F4-1 Seeker'!$G$12:$G$34)+SUM('F4-2 Safety Net'!$G$12:$G$34)+SUM('F4-3 Old School'!$G$12:$G$34)+SUM('F4-4 Power Couple'!$G$14:$G$42)+SUM('F4-5 Tiers'!$G$12:$G$34)+SUM(Boss!$G$14:$G$33))&amp;" / 1020"</f>
        <v>0 / 1020</v>
      </c>
    </row>
    <row r="21" spans="1:6">
      <c r="A21" s="7" t="s">
        <v>692</v>
      </c>
      <c r="B21" s="12" cm="1" t="str">
        <f t="array" ref="B21">_xlfn.LET(_xlpm.p,(SUM('F4-1 Seeker'!$G$12:$G$34)+SUM('F4-2 Safety Net'!$G$12:$G$34)+SUM('F4-3 Old School'!$G$12:$G$34)+SUM('F4-4 Power Couple'!$G$14:$G$42)+SUM('F4-5 Tiers'!$G$12:$G$34)+SUM(Boss!$G$14:$G$33))/1020,IF(AND(_xlpm.p&gt;=1,ISNUMBER(Boss!$C$8),Boss!$C$8&lt;=15),"S",IF(_xlpm.p&gt;=0.9,"A",IF(_xlpm.p&gt;=0.75,"B",IF(_xlpm.p&gt;=0.5,"C","D")))))</f>
        <v>D</v>
      </c>
      <c r="C21" s="13" t="s">
        <v>693</v>
      </c>
    </row>
    <row r="22" spans="1:6">
      <c r="A22" s="7" t="s">
        <v>694</v>
      </c>
      <c r="B22" s="12" cm="1" t="str">
        <f t="array" ref="B22">IF(ISNUMBER(Boss!$C$8),Boss!$C$8&amp;" min (par 15)","—")</f>
        <v>—</v>
      </c>
    </row>
    <row r="23" spans="1:6">
      <c r="A23" s="7" t="s">
        <v>695</v>
      </c>
      <c r="B23" s="12" cm="1" t="str">
        <f t="array" ref="B23">IFERROR(INDEX($A$13:$A$17,MATCH("☆☆☆",$D$13:$D$17,0))&amp;" "&amp;INDEX($B$13:$B$17,MATCH("☆☆☆",$D$13:$D$17,0)),IF(Boss!$C$10="OPEN","the Boss","All clear! Aim for rank S"))</f>
        <v>F4-1 Seeker</v>
      </c>
    </row>
    <row r="25" spans="1:6">
      <c r="A25" s="13" t="s">
        <v>696</v>
      </c>
    </row>
  </sheetData>
  <sheetProtection sheet="1" objects="1" scenarios="1" formatColumns="0" formatRows="0"/>
  <hyperlinks>
    <hyperlink ref="F13" location="'F4-1 Seeker'!A1" display="Go to F4-1 Seeker"/>
    <hyperlink ref="F14" location="'F4-2 Safety Net'!A1" display="Go to F4-2 Safety Net"/>
    <hyperlink ref="F15" location="'F4-3 Old School'!A1" display="Go to F4-3 Old School"/>
    <hyperlink ref="F16" location="'F4-4 Power Couple'!A1" display="Go to F4-4 Power Couple"/>
    <hyperlink ref="F17" location="'F4-5 Tiers'!A1" display="Go to F4-5 Tiers"/>
    <hyperlink ref="F18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170</v>
      </c>
      <c r="B1" s="2"/>
      <c r="C1" s="2"/>
      <c r="D1" s="2"/>
      <c r="E1" s="2"/>
      <c r="F1" s="2"/>
      <c r="G1" s="2"/>
    </row>
    <row r="2" spans="1:7">
      <c r="A2" s="3" t="s">
        <v>171</v>
      </c>
    </row>
    <row r="3" spans="1:7" ht="26" customHeight="1">
      <c r="A3" s="14" cm="1" t="str">
        <f t="array" ref="A3">"SCORE "&amp;TEXT(SUM($G$12:$G$34),"0000")&amp;" / 0160"</f>
        <v>SCORE 0000 / 0160</v>
      </c>
      <c r="C3" s="15" cm="1" t="str">
        <f t="array" ref="C3">IF(SUM($G$12:$G$34)&gt;=160,"★★★",IF(SUM($G$12:$G$34)&gt;=160*0.8,"★★☆",IF(SUM($G$12:$G$34)&gt;=160*0.5,"★☆☆","☆☆☆")))</f>
        <v>☆☆☆</v>
      </c>
      <c r="D3" s="16" cm="1" t="str">
        <f t="array" ref="D3">REPT("█",ROUND(10*SUM($G$12:$G$34)/160,0))&amp;REPT("░",10-ROUND(10*SUM($G$12:$G$34)/160,0))&amp;"  "&amp;TEXT(SUM($G$12:$G$34)/160,"0%")</f>
        <v>░░░░░░░░░░  0%</v>
      </c>
      <c r="F3" s="17" cm="1" t="str">
        <f t="array" ref="F3">IF(SUM($G$12:$G$34)&gt;=160*0.5,"STAGE CLEAR! ▶ Next: F4-2 Safety Net","")</f>
        <v/>
      </c>
    </row>
    <row r="5" spans="1:7" ht="22" customHeight="1">
      <c r="A5" s="4" t="s">
        <v>48</v>
      </c>
      <c r="B5" s="4"/>
      <c r="C5" s="4"/>
      <c r="D5" s="4"/>
      <c r="E5" s="4"/>
      <c r="F5" s="4"/>
      <c r="G5" s="4"/>
    </row>
    <row r="6" spans="1:7">
      <c r="A6" s="6" t="s">
        <v>49</v>
      </c>
      <c r="B6" s="6" t="s">
        <v>50</v>
      </c>
      <c r="C6" s="6" t="s">
        <v>51</v>
      </c>
      <c r="D6" s="6"/>
      <c r="E6" s="6"/>
      <c r="F6" s="6"/>
      <c r="G6" s="6"/>
    </row>
    <row r="7" spans="1:7" ht="67" customHeight="1">
      <c r="A7" s="18" t="s">
        <v>52</v>
      </c>
      <c r="B7" s="8" t="s">
        <v>53</v>
      </c>
      <c r="C7" s="19" t="s">
        <v>54</v>
      </c>
    </row>
    <row r="8" spans="1:7" ht="67" customHeight="1">
      <c r="A8" s="18" t="s">
        <v>55</v>
      </c>
      <c r="B8" s="8" t="s">
        <v>56</v>
      </c>
      <c r="C8" s="19" t="s">
        <v>57</v>
      </c>
    </row>
    <row r="10" spans="1:7" ht="22" customHeight="1">
      <c r="A10" s="4" t="s">
        <v>58</v>
      </c>
      <c r="B10" s="4"/>
      <c r="C10" s="4"/>
      <c r="D10" s="4"/>
      <c r="E10" s="4"/>
      <c r="F10" s="4"/>
      <c r="G10" s="4"/>
    </row>
    <row r="11" spans="1:7">
      <c r="A11" s="6" t="s">
        <v>49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</v>
      </c>
      <c r="G11" s="6" t="s">
        <v>63</v>
      </c>
    </row>
    <row r="12" spans="1:7" ht="35.5" customHeight="1">
      <c r="A12" s="18" t="s">
        <v>67</v>
      </c>
      <c r="B12" s="8" t="s">
        <v>68</v>
      </c>
      <c r="C12" s="20"/>
      <c r="D12" s="21" cm="1" t="str">
        <f t="array" ref="D12">IFERROR(_xlfn.LET(_xlpm.a,'F4-1 Seeker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E$2),"✔ CLEAR","✘ TRY AGAIN"))),"✘ TRY AGAIN")</f>
        <v/>
      </c>
      <c r="E12" s="22"/>
      <c r="F12" s="23" cm="1" t="str">
        <f t="array" ref="F12">IF(E12="Show hint",Key!$B$2,"")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72</v>
      </c>
      <c r="B13" s="8" t="s">
        <v>73</v>
      </c>
      <c r="C13" s="20"/>
      <c r="D13" s="21" cm="1" t="str">
        <f t="array" ref="D13">IFERROR(_xlfn.LET(_xlpm.a,'F4-1 Seeker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E$3),"✔ CLEAR","✘ TRY AGAIN"))),"✘ TRY AGAIN")</f>
        <v/>
      </c>
      <c r="E13" s="22"/>
      <c r="F13" s="23" cm="1" t="str">
        <f t="array" ref="F13">IF(E13="Show hint",Key!$B$3,"")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79</v>
      </c>
      <c r="B14" s="8" t="s">
        <v>80</v>
      </c>
      <c r="C14" s="20"/>
      <c r="D14" s="21" cm="1" t="str">
        <f t="array" ref="D14">IFERROR(_xlfn.LET(_xlpm.a,'F4-1 Seeker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G$4),"✔ CLEAR","✘ TRY AGAIN"))),"✘ TRY AGAIN")</f>
        <v/>
      </c>
      <c r="E14" s="22"/>
      <c r="F14" s="23" cm="1" t="str">
        <f t="array" ref="F14">IF(E14="Show hint",Key!$B$4,"")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99</v>
      </c>
      <c r="B15" s="8" t="s">
        <v>100</v>
      </c>
      <c r="C15" s="20"/>
      <c r="D15" s="21" cm="1" t="str">
        <f t="array" ref="D15">IFERROR(_xlfn.LET(_xlpm.a,'F4-1 Seeker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T$5),"✔ CLEAR","✘ TRY AGAIN"))),"✘ TRY AGAIN")</f>
        <v/>
      </c>
      <c r="E15" s="22"/>
      <c r="F15" s="23" cm="1" t="str">
        <f t="array" ref="F15">IF(E15="Show hint",Key!$B$5,"")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104</v>
      </c>
      <c r="B16" s="8" t="s">
        <v>105</v>
      </c>
      <c r="C16" s="20"/>
      <c r="D16" s="21" cm="1" t="str">
        <f t="array" ref="D16">IFERROR(_xlfn.LET(_xlpm.a,'F4-1 Seeker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16" s="22"/>
      <c r="F16" s="23" cm="1" t="str">
        <f t="array" ref="F16">IF(E16="Show hint",Key!$B$6,"")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109</v>
      </c>
      <c r="B17" s="8" t="s">
        <v>110</v>
      </c>
      <c r="C17" s="20"/>
      <c r="D17" s="21" cm="1" t="str">
        <f t="array" ref="D17">IFERROR(_xlfn.LET(_xlpm.a,'F4-1 Seek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17" s="22"/>
      <c r="F17" s="23" cm="1" t="str">
        <f t="array" ref="F17">IF(E17="Show hint",Key!$B$7,"")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114</v>
      </c>
      <c r="B18" s="8" t="s">
        <v>115</v>
      </c>
      <c r="C18" s="20"/>
      <c r="D18" s="21" cm="1" t="str">
        <f t="array" ref="D18">IFERROR(_xlfn.LET(_xlpm.a,'F4-1 Seek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E18" s="22"/>
      <c r="F18" s="23" cm="1" t="str">
        <f t="array" ref="F18">IF(E18="Show hint",Key!$B$8,"")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119</v>
      </c>
      <c r="B19" s="8" t="s">
        <v>120</v>
      </c>
      <c r="C19" s="20"/>
      <c r="D19" s="21" cm="1" t="str">
        <f t="array" ref="D19">IFERROR(_xlfn.LET(_xlpm.a,'F4-1 Seek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19" s="22"/>
      <c r="F19" s="23" cm="1" t="str">
        <f t="array" ref="F19">IF(E19="Show hint",Key!$B$9,"")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124</v>
      </c>
      <c r="B20" s="8" t="s">
        <v>125</v>
      </c>
      <c r="C20" s="20"/>
      <c r="D20" s="21" cm="1" t="str">
        <f t="array" ref="D20">IFERROR(_xlfn.LET(_xlpm.a,'F4-1 Seek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E$10),"✔ CLEAR","✘ TRY AGAIN"))),"✘ TRY AGAIN")</f>
        <v/>
      </c>
      <c r="E20" s="22"/>
      <c r="F20" s="23" cm="1" t="str">
        <f t="array" ref="F20">IF(E20="Show hint",Key!$B$10,"")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129</v>
      </c>
      <c r="B21" s="8" t="s">
        <v>130</v>
      </c>
      <c r="C21" s="20"/>
      <c r="D21" s="21" cm="1" t="str">
        <f t="array" ref="D21">IFERROR(_xlfn.LET(_xlpm.a,'F4-1 Seek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E$11),"✔ CLEAR","✘ TRY AGAIN"))),"✘ TRY AGAIN")</f>
        <v/>
      </c>
      <c r="E21" s="22"/>
      <c r="F21" s="23" cm="1" t="str">
        <f t="array" ref="F21">IF(E21="Show hint",Key!$B$11,"")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131</v>
      </c>
      <c r="B23" s="4"/>
      <c r="C23" s="4"/>
      <c r="D23" s="4"/>
      <c r="E23" s="4"/>
      <c r="F23" s="4"/>
      <c r="G23" s="4"/>
    </row>
    <row r="24" spans="1:7">
      <c r="A24" s="6" t="s">
        <v>49</v>
      </c>
      <c r="B24" s="6" t="s">
        <v>59</v>
      </c>
      <c r="C24" s="6" t="s">
        <v>60</v>
      </c>
      <c r="D24" s="6" t="s">
        <v>61</v>
      </c>
      <c r="E24" s="6" t="s">
        <v>62</v>
      </c>
      <c r="F24" s="6" t="s">
        <v>1</v>
      </c>
      <c r="G24" s="6" t="s">
        <v>63</v>
      </c>
    </row>
    <row r="25" spans="1:7" ht="35.5" customHeight="1">
      <c r="A25" s="18" t="s">
        <v>137</v>
      </c>
      <c r="B25" s="8" t="s">
        <v>138</v>
      </c>
      <c r="C25" s="20"/>
      <c r="D25" s="21" cm="1" t="str">
        <f t="array" ref="D25">IFERROR(IF('F4-1 Seeker'!$C$25&amp;""="","",IF('F4-1 Seeker'!$C$25&amp;""=Key!$C$12&amp;"","✔ CLEAR","✘ TRY AGAIN")),"✘ TRY AGAIN")</f>
        <v/>
      </c>
      <c r="E25" s="22"/>
      <c r="F25" s="23" cm="1" t="str">
        <f t="array" ref="F25">IF(E25="Show hint",Key!$B$12,"")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144</v>
      </c>
      <c r="B26" s="8" t="s">
        <v>145</v>
      </c>
      <c r="C26" s="20"/>
      <c r="D26" s="21" cm="1" t="str">
        <f t="array" ref="D26">IFERROR(IF('F4-1 Seeker'!$C$26&amp;""="","",IF('F4-1 Seeker'!$C$26&amp;""=Key!$C$13&amp;"","✔ CLEAR","✘ TRY AGAIN")),"✘ TRY AGAIN")</f>
        <v/>
      </c>
      <c r="E26" s="22"/>
      <c r="F26" s="23" cm="1" t="str">
        <f t="array" ref="F26">IF(E26="Show hint",Key!$B$13,"")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146</v>
      </c>
      <c r="B28" s="4"/>
      <c r="C28" s="4"/>
      <c r="D28" s="4"/>
      <c r="E28" s="4"/>
      <c r="F28" s="4"/>
      <c r="G28" s="4"/>
    </row>
    <row r="29" spans="1:7">
      <c r="B29" s="11" t="s">
        <v>147</v>
      </c>
    </row>
    <row r="30" spans="1:7">
      <c r="A30" s="6" t="s">
        <v>49</v>
      </c>
      <c r="B30" s="6" t="s">
        <v>59</v>
      </c>
      <c r="C30" s="6" t="s">
        <v>60</v>
      </c>
      <c r="D30" s="6" t="s">
        <v>61</v>
      </c>
      <c r="E30" s="6" t="s">
        <v>62</v>
      </c>
      <c r="F30" s="6" t="s">
        <v>1</v>
      </c>
      <c r="G30" s="6" t="s">
        <v>63</v>
      </c>
    </row>
    <row r="31" spans="1:7" ht="35.5" customHeight="1">
      <c r="A31" s="18" t="s">
        <v>154</v>
      </c>
      <c r="B31" s="8" t="s">
        <v>138</v>
      </c>
      <c r="C31" s="20"/>
      <c r="D31" s="21" cm="1" t="str">
        <f t="array" ref="D31">IFERROR(_xlfn.LET(_xlpm.a,'F4-1 Seeker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$14:$J$14),"✔ CLEAR","✘ TRY AGAIN"))),"✘ TRY AGAIN")</f>
        <v/>
      </c>
      <c r="E31" s="22"/>
      <c r="F31" s="23" cm="1" t="str">
        <f t="array" ref="F31">IF(E31="Show hint",Key!$B$14,"")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159</v>
      </c>
      <c r="B32" s="8" t="s">
        <v>145</v>
      </c>
      <c r="C32" s="20"/>
      <c r="D32" s="21" cm="1" t="str">
        <f t="array" ref="D32">IFERROR(_xlfn.LET(_xlpm.a,'F4-1 Seeker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G$15),"✔ CLEAR","✘ TRY AGAIN"))),"✘ TRY AGAIN")</f>
        <v/>
      </c>
      <c r="E32" s="22"/>
      <c r="F32" s="23" cm="1" t="str">
        <f t="array" ref="F32">IF(E32="Show hint",Key!$B$15,"")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162</v>
      </c>
      <c r="B33" s="8" t="s">
        <v>163</v>
      </c>
      <c r="C33" s="11" t="s">
        <v>164</v>
      </c>
      <c r="D33" s="21" cm="1" t="str">
        <f t="array" ref="D33">IF(ISBLANK('F4-1 Arena'!$J$6),"",IF(NOT(_xlfn.ISFORMULA('F4-1 Arena'!$J$6)),"✘ That's a typed value · enter a formula",IF(ISERROR('F4-1 Arena'!$J$6),"✘ Your formula returns "&amp;IFERROR(CHOOSE(ERROR.TYPE('F4-1 Arena'!$J$6),"#NULL!","#DIV/0!","#VALUE!","#REF!","#NAME?","#NUM!","#N/A","#GETTING_DATA","#SPILL!","#CONNECT!","#BLOCKED!","#UNKNOWN!","#FIELD!","#CALC!"),"an error"),IF(NOT(AND(IFERROR(AND(ISNUMBER('F4-1 Arena'!$J$6),ABS('F4-1 Arena'!$J$6-Key!$C$16)&lt;=1E-9*MAX(1,ABS(Key!$C$16))),FALSE))),"✘ TRY AGAIN",IF(AND(OR(ISNUMBER(FIND({"=","(",",","+","-","*","/","&amp;"," ","&lt;","&gt;",":","@","^"}&amp;"XLOOKUP"&amp;"(",UPPER(_xlfn.FORMULATEXT('F4-1 Arena'!$J$6)))))),"✔ CLEAR","✘ CLOSE · right value, but use XLOOKUP")))))</f>
        <v/>
      </c>
      <c r="E33" s="22"/>
      <c r="F33" s="23" cm="1" t="str">
        <f t="array" ref="F33">IF(E33="Show hint",Key!$B$16,"")</f>
        <v/>
      </c>
      <c r="G33" s="24" cm="1">
        <f t="array" ref="G33">IF(LEFT(D33,1)="✔",IF(E33="Show hint",5,10),0)</f>
        <v>0</v>
      </c>
    </row>
    <row r="34" spans="1:7" ht="51.25" customHeight="1">
      <c r="A34" s="18" t="s">
        <v>167</v>
      </c>
      <c r="B34" s="8" t="s">
        <v>168</v>
      </c>
      <c r="C34" s="11" t="s">
        <v>169</v>
      </c>
      <c r="D34" s="21" cm="1" t="str">
        <f t="array" ref="D34">IF(COUNTA('F4-1 Arena'!$J$10,'F4-1 Arena'!$J$11,'F4-1 Arena'!$J$12,'F4-1 Arena'!$J$13)=0,"",IF(OR(NOT(_xlfn.ISFORMULA('F4-1 Arena'!$J$10)),NOT(_xlfn.ISFORMULA('F4-1 Arena'!$J$11)),NOT(_xlfn.ISFORMULA('F4-1 Arena'!$J$12)),NOT(_xlfn.ISFORMULA('F4-1 Arena'!$J$13))),"✘ Some cells aren't formulas yet",IF(OR(ISERROR('F4-1 Arena'!$J$10),ISERROR('F4-1 Arena'!$J$11),ISERROR('F4-1 Arena'!$J$12),ISERROR('F4-1 Arena'!$J$13)),"✘ Some cells show an error",IF(NOT(AND(IFERROR(AND(ISNUMBER('F4-1 Arena'!$J$10),ABS('F4-1 Arena'!$J$10-Key!$E$17)&lt;=1E-9*MAX(1,ABS(Key!$E$17))),FALSE),IFERROR(AND(ISNUMBER('F4-1 Arena'!$J$11),ABS('F4-1 Arena'!$J$11-Key!$F$17)&lt;=1E-9*MAX(1,ABS(Key!$F$17))),FALSE),IFERROR(AND(ISNUMBER('F4-1 Arena'!$J$12),ABS('F4-1 Arena'!$J$12-Key!$G$17)&lt;=1E-9*MAX(1,ABS(Key!$G$17))),FALSE),IFERROR(AND(ISNUMBER('F4-1 Arena'!$J$13),ABS('F4-1 Arena'!$J$13-Key!$H$17)&lt;=1E-9*MAX(1,ABS(Key!$H$17))),FALSE))),"✘ TRY AGAIN",IF(AND(OR(ISNUMBER(FIND({"=","(",",","+","-","*","/","&amp;"," ","&lt;","&gt;",":","@","^"}&amp;"XLOOKUP"&amp;"(",UPPER(_xlfn.FORMULATEXT('F4-1 Arena'!$J$10)))))),IF(ISNUMBER(FIND("$",_xlfn.FORMULATEXT('F4-1 Arena'!$J$10))),"✔ CLEAR","✘ CLOSE · add $ so it fills correctly (F4)"),"✘ CLOSE · right value, but use XLOOKUP")))))</f>
        <v/>
      </c>
      <c r="E34" s="22"/>
      <c r="F34" s="23" cm="1" t="str">
        <f t="array" ref="F34">IF(E34="Show hint",Key!$B$17,"")</f>
        <v/>
      </c>
      <c r="G34" s="24" cm="1">
        <f t="array" ref="G34">IF(LEFT(D34,1)="✔",IF(E34="Show hint",5,10),0)</f>
        <v>0</v>
      </c>
    </row>
  </sheetData>
  <sheetProtection sheet="1" objects="1" scenarios="1" formatColumns="0" formatRows="0"/>
  <conditionalFormatting sqref="D12:D34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0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Key!$E$12:$H$12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Key!$E$13:$H$13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</dataValidations>
  <hyperlinks>
    <hyperlink ref="B29" location="'F4-1 Arena'!A1" display="▶ Open F4-1 Arena (or press Ctrl+PgDn)"/>
    <hyperlink ref="C33" location="'F4-1 Arena'!J6" tooltip="Go to F4-1 Arena, cell J6" display="▶ ARENA C3 (cell J6)"/>
    <hyperlink ref="C34" location="'F4-1 Arena'!J10" tooltip="Go to F4-1 Arena, cell J10" display="▶ ARENA C4 (cell J10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0">
      <c r="A1" s="1" t="s">
        <v>4</v>
      </c>
    </row>
    <row r="2" spans="1:10">
      <c r="A2" s="3" t="s">
        <v>5</v>
      </c>
    </row>
    <row r="3" spans="1:10">
      <c r="A3" s="25" t="s">
        <v>6</v>
      </c>
      <c r="B3" s="26" t="s">
        <v>7</v>
      </c>
      <c r="D3" s="11" t="s">
        <v>8</v>
      </c>
    </row>
    <row r="5" spans="1:10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46</v>
      </c>
      <c r="J5" s="27" t="s">
        <v>12</v>
      </c>
    </row>
    <row r="6" spans="1:10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 t="s">
        <v>28</v>
      </c>
      <c r="J6" s="28"/>
    </row>
    <row r="7" spans="1:10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</row>
    <row r="8" spans="1:10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</row>
    <row r="9" spans="1:10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27" t="s">
        <v>47</v>
      </c>
      <c r="J9" s="27" t="s">
        <v>13</v>
      </c>
    </row>
    <row r="10" spans="1:10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  <c r="I10" s="5" t="s">
        <v>19</v>
      </c>
      <c r="J10" s="28"/>
    </row>
    <row r="11" spans="1:10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  <c r="I11" s="5" t="s">
        <v>36</v>
      </c>
      <c r="J11" s="28"/>
    </row>
    <row r="12" spans="1:10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  <c r="I12" s="5" t="s">
        <v>14</v>
      </c>
      <c r="J12" s="28"/>
    </row>
    <row r="13" spans="1:10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  <c r="I13" s="5" t="s">
        <v>42</v>
      </c>
      <c r="J13" s="28"/>
    </row>
    <row r="14" spans="1:10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</row>
    <row r="15" spans="1:10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</row>
    <row r="16" spans="1:10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</row>
    <row r="17" spans="2:6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</row>
    <row r="18" spans="2:6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</row>
    <row r="19" spans="2:6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6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</row>
  </sheetData>
  <hyperlinks>
    <hyperlink ref="D3" location="'F4-1 Seeker'!A1" display="◀ Back to F4-1 Seeke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258</v>
      </c>
      <c r="B1" s="2"/>
      <c r="C1" s="2"/>
      <c r="D1" s="2"/>
      <c r="E1" s="2"/>
      <c r="F1" s="2"/>
      <c r="G1" s="2"/>
    </row>
    <row r="2" spans="1:7">
      <c r="A2" s="3" t="s">
        <v>259</v>
      </c>
    </row>
    <row r="3" spans="1:7" ht="26" customHeight="1">
      <c r="A3" s="14" cm="1" t="str">
        <f t="array" ref="A3">"SCORE "&amp;TEXT(SUM($G$12:$G$34),"0000")&amp;" / 0160"</f>
        <v>SCORE 0000 / 0160</v>
      </c>
      <c r="C3" s="15" cm="1" t="str">
        <f t="array" ref="C3">IF(SUM($G$12:$G$34)&gt;=160,"★★★",IF(SUM($G$12:$G$34)&gt;=160*0.8,"★★☆",IF(SUM($G$12:$G$34)&gt;=160*0.5,"★☆☆","☆☆☆")))</f>
        <v>☆☆☆</v>
      </c>
      <c r="D3" s="16" cm="1" t="str">
        <f t="array" ref="D3">REPT("█",ROUND(10*SUM($G$12:$G$34)/160,0))&amp;REPT("░",10-ROUND(10*SUM($G$12:$G$34)/160,0))&amp;"  "&amp;TEXT(SUM($G$12:$G$34)/160,"0%")</f>
        <v>░░░░░░░░░░  0%</v>
      </c>
      <c r="F3" s="17" cm="1" t="str">
        <f t="array" ref="F3">IF(SUM($G$12:$G$34)&gt;=160*0.5,"STAGE CLEAR! ▶ Next: F4-3 Old School","")</f>
        <v/>
      </c>
    </row>
    <row r="5" spans="1:7" ht="22" customHeight="1">
      <c r="A5" s="4" t="s">
        <v>48</v>
      </c>
      <c r="B5" s="4"/>
      <c r="C5" s="4"/>
      <c r="D5" s="4"/>
      <c r="E5" s="4"/>
      <c r="F5" s="4"/>
      <c r="G5" s="4"/>
    </row>
    <row r="6" spans="1:7">
      <c r="A6" s="6" t="s">
        <v>49</v>
      </c>
      <c r="B6" s="6" t="s">
        <v>50</v>
      </c>
      <c r="C6" s="6" t="s">
        <v>51</v>
      </c>
      <c r="D6" s="6"/>
      <c r="E6" s="6"/>
      <c r="F6" s="6"/>
      <c r="G6" s="6"/>
    </row>
    <row r="7" spans="1:7" ht="67" customHeight="1">
      <c r="A7" s="18" t="s">
        <v>52</v>
      </c>
      <c r="B7" s="8" t="s">
        <v>176</v>
      </c>
      <c r="C7" s="19" t="s">
        <v>142</v>
      </c>
    </row>
    <row r="8" spans="1:7" ht="51.25" customHeight="1">
      <c r="A8" s="18" t="s">
        <v>55</v>
      </c>
      <c r="B8" s="8" t="s">
        <v>177</v>
      </c>
      <c r="C8" s="19" t="s">
        <v>178</v>
      </c>
    </row>
    <row r="10" spans="1:7" ht="22" customHeight="1">
      <c r="A10" s="4" t="s">
        <v>58</v>
      </c>
      <c r="B10" s="4"/>
      <c r="C10" s="4"/>
      <c r="D10" s="4"/>
      <c r="E10" s="4"/>
      <c r="F10" s="4"/>
      <c r="G10" s="4"/>
    </row>
    <row r="11" spans="1:7">
      <c r="A11" s="6" t="s">
        <v>49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</v>
      </c>
      <c r="G11" s="6" t="s">
        <v>63</v>
      </c>
    </row>
    <row r="12" spans="1:7" ht="51.25" customHeight="1">
      <c r="A12" s="18" t="s">
        <v>67</v>
      </c>
      <c r="B12" s="8" t="s">
        <v>180</v>
      </c>
      <c r="C12" s="20"/>
      <c r="D12" s="21" cm="1" t="str">
        <f t="array" ref="D12">IFERROR(_xlfn.LET(_xlpm.a,'F4-2 Safety Net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J$18),"✔ CLEAR","✘ TRY AGAIN"))),"✘ TRY AGAIN")</f>
        <v/>
      </c>
      <c r="E12" s="22"/>
      <c r="F12" s="23" cm="1" t="str">
        <f t="array" ref="F12">IF(E12="Show hint",Key!$B$18,"")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72</v>
      </c>
      <c r="B13" s="8" t="s">
        <v>182</v>
      </c>
      <c r="C13" s="20"/>
      <c r="D13" s="21" cm="1" t="str">
        <f t="array" ref="D13">IFERROR(_xlfn.LET(_xlpm.a,'F4-2 Safety Net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G$19),"✔ CLEAR","✘ TRY AGAIN"))),"✘ TRY AGAIN")</f>
        <v/>
      </c>
      <c r="E13" s="22"/>
      <c r="F13" s="23" cm="1" t="str">
        <f t="array" ref="F13">IF(E13="Show hint",Key!$B$19,"")</f>
        <v/>
      </c>
      <c r="G13" s="24" cm="1">
        <f t="array" ref="G13">IF(LEFT(D13,1)="✔",IF(E13="Show hint",5,10),0)</f>
        <v>0</v>
      </c>
    </row>
    <row r="14" spans="1:7" ht="19.75" customHeight="1">
      <c r="A14" s="18" t="s">
        <v>79</v>
      </c>
      <c r="B14" s="8" t="s">
        <v>186</v>
      </c>
      <c r="C14" s="20"/>
      <c r="D14" s="21" cm="1" t="str">
        <f t="array" ref="D14">IFERROR(_xlfn.LET(_xlpm.a,'F4-2 Safety Net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E$20),"✔ CLEAR","✘ TRY AGAIN"))),"✘ TRY AGAIN")</f>
        <v/>
      </c>
      <c r="E14" s="22"/>
      <c r="F14" s="23" cm="1" t="str">
        <f t="array" ref="F14">IF(E14="Show hint",Key!$B$20,"")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99</v>
      </c>
      <c r="B15" s="8" t="s">
        <v>190</v>
      </c>
      <c r="C15" s="20"/>
      <c r="D15" s="21" cm="1" t="str">
        <f t="array" ref="D15">IFERROR(_xlfn.LET(_xlpm.a,'F4-2 Safety Net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E$21),"✔ CLEAR","✘ TRY AGAIN"))),"✘ TRY AGAIN")</f>
        <v/>
      </c>
      <c r="E15" s="22"/>
      <c r="F15" s="23" cm="1" t="str">
        <f t="array" ref="F15">IF(E15="Show hint",Key!$B$21,"")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104</v>
      </c>
      <c r="B16" s="8" t="s">
        <v>199</v>
      </c>
      <c r="C16" s="20"/>
      <c r="D16" s="21" cm="1" t="str">
        <f t="array" ref="D16">IFERROR(_xlfn.LET(_xlpm.a,'F4-2 Safety Net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J$22),"✔ CLEAR","✘ TRY AGAIN"))),"✘ TRY AGAIN")</f>
        <v/>
      </c>
      <c r="E16" s="22"/>
      <c r="F16" s="23" cm="1" t="str">
        <f t="array" ref="F16">IF(E16="Show hint",Key!$B$22,"")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109</v>
      </c>
      <c r="B17" s="8" t="s">
        <v>206</v>
      </c>
      <c r="C17" s="20"/>
      <c r="D17" s="21" cm="1" t="str">
        <f t="array" ref="D17">IFERROR(_xlfn.LET(_xlpm.a,'F4-2 Safety Net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H$23),"✔ CLEAR","✘ TRY AGAIN"))),"✘ TRY AGAIN")</f>
        <v/>
      </c>
      <c r="E17" s="22"/>
      <c r="F17" s="23" cm="1" t="str">
        <f t="array" ref="F17">IF(E17="Show hint",Key!$B$23,"")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114</v>
      </c>
      <c r="B18" s="8" t="s">
        <v>213</v>
      </c>
      <c r="C18" s="20"/>
      <c r="D18" s="21" cm="1" t="str">
        <f t="array" ref="D18">IFERROR(_xlfn.LET(_xlpm.a,'F4-2 Safety Net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H$24),"✔ CLEAR","✘ TRY AGAIN"))),"✘ TRY AGAIN")</f>
        <v/>
      </c>
      <c r="E18" s="22"/>
      <c r="F18" s="23" cm="1" t="str">
        <f t="array" ref="F18">IF(E18="Show hint",Key!$B$24,"")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119</v>
      </c>
      <c r="B19" s="8" t="s">
        <v>220</v>
      </c>
      <c r="C19" s="20"/>
      <c r="D19" s="21" cm="1" t="str">
        <f t="array" ref="D19">IFERROR(_xlfn.LET(_xlpm.a,'F4-2 Safety Net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H$25),"✔ CLEAR","✘ TRY AGAIN"))),"✘ TRY AGAIN")</f>
        <v/>
      </c>
      <c r="E19" s="22"/>
      <c r="F19" s="23" cm="1" t="str">
        <f t="array" ref="F19">IF(E19="Show hint",Key!$B$25,"")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124</v>
      </c>
      <c r="B20" s="8" t="s">
        <v>227</v>
      </c>
      <c r="C20" s="20"/>
      <c r="D20" s="21" cm="1" t="str">
        <f t="array" ref="D20">IFERROR(_xlfn.LET(_xlpm.a,'F4-2 Safety Net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H$26),"✔ CLEAR","✘ TRY AGAIN"))),"✘ TRY AGAIN")</f>
        <v/>
      </c>
      <c r="E20" s="22"/>
      <c r="F20" s="23" cm="1" t="str">
        <f t="array" ref="F20">IF(E20="Show hint",Key!$B$26,"")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129</v>
      </c>
      <c r="B21" s="8" t="s">
        <v>234</v>
      </c>
      <c r="C21" s="20"/>
      <c r="D21" s="21" cm="1" t="str">
        <f t="array" ref="D21">IFERROR(_xlfn.LET(_xlpm.a,'F4-2 Safety Net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H$27),"✔ CLEAR","✘ TRY AGAIN"))),"✘ TRY AGAIN")</f>
        <v/>
      </c>
      <c r="E21" s="22"/>
      <c r="F21" s="23" cm="1" t="str">
        <f t="array" ref="F21">IF(E21="Show hint",Key!$B$27,"")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131</v>
      </c>
      <c r="B23" s="4"/>
      <c r="C23" s="4"/>
      <c r="D23" s="4"/>
      <c r="E23" s="4"/>
      <c r="F23" s="4"/>
      <c r="G23" s="4"/>
    </row>
    <row r="24" spans="1:7">
      <c r="A24" s="6" t="s">
        <v>49</v>
      </c>
      <c r="B24" s="6" t="s">
        <v>59</v>
      </c>
      <c r="C24" s="6" t="s">
        <v>60</v>
      </c>
      <c r="D24" s="6" t="s">
        <v>61</v>
      </c>
      <c r="E24" s="6" t="s">
        <v>62</v>
      </c>
      <c r="F24" s="6" t="s">
        <v>1</v>
      </c>
      <c r="G24" s="6" t="s">
        <v>63</v>
      </c>
    </row>
    <row r="25" spans="1:7" ht="35.5" customHeight="1">
      <c r="A25" s="18" t="s">
        <v>137</v>
      </c>
      <c r="B25" s="8" t="s">
        <v>238</v>
      </c>
      <c r="C25" s="20"/>
      <c r="D25" s="21" cm="1" t="str">
        <f t="array" ref="D25">IFERROR(IF('F4-2 Safety Net'!$C$25&amp;""="","",IF('F4-2 Safety Net'!$C$25&amp;""=Key!$C$28&amp;"","✔ CLEAR","✘ TRY AGAIN")),"✘ TRY AGAIN")</f>
        <v/>
      </c>
      <c r="E25" s="22"/>
      <c r="F25" s="23" cm="1" t="str">
        <f t="array" ref="F25">IF(E25="Show hint",Key!$B$28,"")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144</v>
      </c>
      <c r="B26" s="8" t="s">
        <v>242</v>
      </c>
      <c r="C26" s="20"/>
      <c r="D26" s="21" cm="1" t="str">
        <f t="array" ref="D26">IFERROR(IF('F4-2 Safety Net'!$C$26&amp;""="","",IF('F4-2 Safety Net'!$C$26&amp;""=Key!$C$29&amp;"","✔ CLEAR","✘ TRY AGAIN")),"✘ TRY AGAIN")</f>
        <v/>
      </c>
      <c r="E26" s="22"/>
      <c r="F26" s="23" cm="1" t="str">
        <f t="array" ref="F26">IF(E26="Show hint",Key!$B$29,"")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146</v>
      </c>
      <c r="B28" s="4"/>
      <c r="C28" s="4"/>
      <c r="D28" s="4"/>
      <c r="E28" s="4"/>
      <c r="F28" s="4"/>
      <c r="G28" s="4"/>
    </row>
    <row r="29" spans="1:7">
      <c r="B29" s="11" t="s">
        <v>243</v>
      </c>
    </row>
    <row r="30" spans="1:7">
      <c r="A30" s="6" t="s">
        <v>49</v>
      </c>
      <c r="B30" s="6" t="s">
        <v>59</v>
      </c>
      <c r="C30" s="6" t="s">
        <v>60</v>
      </c>
      <c r="D30" s="6" t="s">
        <v>61</v>
      </c>
      <c r="E30" s="6" t="s">
        <v>62</v>
      </c>
      <c r="F30" s="6" t="s">
        <v>1</v>
      </c>
      <c r="G30" s="6" t="s">
        <v>63</v>
      </c>
    </row>
    <row r="31" spans="1:7" ht="35.5" customHeight="1">
      <c r="A31" s="18" t="s">
        <v>154</v>
      </c>
      <c r="B31" s="8" t="s">
        <v>238</v>
      </c>
      <c r="C31" s="20"/>
      <c r="D31" s="21" cm="1" t="str">
        <f t="array" ref="D31">IFERROR(_xlfn.LET(_xlpm.a,'F4-2 Safety Net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H$30),"✔ CLEAR","✘ TRY AGAIN"))),"✘ TRY AGAIN")</f>
        <v/>
      </c>
      <c r="E31" s="22"/>
      <c r="F31" s="23" cm="1" t="str">
        <f t="array" ref="F31">IF(E31="Show hint",Key!$B$30,"")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159</v>
      </c>
      <c r="B32" s="8" t="s">
        <v>242</v>
      </c>
      <c r="C32" s="20"/>
      <c r="D32" s="21" cm="1" t="str">
        <f t="array" ref="D32">IFERROR(_xlfn.LET(_xlpm.a,'F4-2 Safety Net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F$31),"✔ CLEAR","✘ TRY AGAIN"))),"✘ TRY AGAIN")</f>
        <v/>
      </c>
      <c r="E32" s="22"/>
      <c r="F32" s="23" cm="1" t="str">
        <f t="array" ref="F32">IF(E32="Show hint",Key!$B$31,"")</f>
        <v/>
      </c>
      <c r="G32" s="24" cm="1">
        <f t="array" ref="G32">IF(LEFT(D32,1)="✔",IF(E32="Show hint",5,10),0)</f>
        <v>0</v>
      </c>
    </row>
    <row r="33" spans="1:7" ht="51.25" customHeight="1">
      <c r="A33" s="18" t="s">
        <v>162</v>
      </c>
      <c r="B33" s="8" t="s">
        <v>253</v>
      </c>
      <c r="C33" s="11" t="s">
        <v>164</v>
      </c>
      <c r="D33" s="21" cm="1" t="str">
        <f t="array" ref="D33">IF(ISBLANK('F4-2 Arena'!$J$6),"",IF(NOT(_xlfn.ISFORMULA('F4-2 Arena'!$J$6)),"✘ That's a typed value · enter a formula",IF(ISERROR('F4-2 Arena'!$J$6),"✘ Your formula returns "&amp;IFERROR(CHOOSE(ERROR.TYPE('F4-2 Arena'!$J$6),"#NULL!","#DIV/0!","#VALUE!","#REF!","#NAME?","#NUM!","#N/A","#GETTING_DATA","#SPILL!","#CONNECT!","#BLOCKED!","#UNKNOWN!","#FIELD!","#CALC!"),"an error"),IF(NOT(AND(IFERROR(AND(ISTEXT('F4-2 Arena'!$J$6),'F4-2 Arena'!$J$6=Key!$C$32),FALSE))),"✘ TRY AGAIN",IF(AND(OR(ISNUMBER(FIND({"=","(",",","+","-","*","/","&amp;"," ","&lt;","&gt;",":","@","^"}&amp;"XLOOKUP"&amp;"(",UPPER(_xlfn.FORMULATEXT('F4-2 Arena'!$J$6)))))),"✔ CLEAR","✘ CLOSE · right value, but use XLOOKUP")))))</f>
        <v/>
      </c>
      <c r="E33" s="22"/>
      <c r="F33" s="23" cm="1" t="str">
        <f t="array" ref="F33">IF(E33="Show hint",Key!$B$32,"")</f>
        <v/>
      </c>
      <c r="G33" s="24" cm="1">
        <f t="array" ref="G33">IF(LEFT(D33,1)="✔",IF(E33="Show hint",5,10),0)</f>
        <v>0</v>
      </c>
    </row>
    <row r="34" spans="1:7" ht="51.25" customHeight="1">
      <c r="A34" s="18" t="s">
        <v>167</v>
      </c>
      <c r="B34" s="8" t="s">
        <v>256</v>
      </c>
      <c r="C34" s="11" t="s">
        <v>257</v>
      </c>
      <c r="D34" s="21" cm="1" t="str">
        <f t="array" ref="D34">IF(ISBLANK('F4-2 Arena'!$J$9),"",IF(NOT(_xlfn.ISFORMULA('F4-2 Arena'!$J$9)),"✘ That's a typed value · enter a formula",IF(ISERROR('F4-2 Arena'!$J$9),"✘ Your formula returns "&amp;IFERROR(CHOOSE(ERROR.TYPE('F4-2 Arena'!$J$9),"#NULL!","#DIV/0!","#VALUE!","#REF!","#NAME?","#NUM!","#N/A","#GETTING_DATA","#SPILL!","#CONNECT!","#BLOCKED!","#UNKNOWN!","#FIELD!","#CALC!"),"an error"),IF(IFERROR(AND(ROWS(_xlfn.ANCHORARRAY('F4-2 Arena'!$J$9))=ROWS(_xlfn.ANCHORARRAY(Key!$E$2001)),COLUMNS(_xlfn.ANCHORARRAY('F4-2 Arena'!$J$9))=COLUMNS(_xlfn.ANCHORARRAY(Key!$E$2001)),SUM(--(_xlfn.ANCHORARRAY('F4-2 Arena'!$J$9)=_xlfn.ANCHORARRAY(Key!$E$2001)))=ROWS(_xlfn.ANCHORARRAY(Key!$E$2001))*COLUMNS(_xlfn.ANCHORARRAY(Key!$E$2001))),FALSE),IF(AND(OR(ISNUMBER(FIND({"=","(",",","+","-","*","/","&amp;"," ","&lt;","&gt;",":","@","^"}&amp;"XLOOKUP"&amp;"(",UPPER(_xlfn.FORMULATEXT('F4-2 Arena'!$J$9)))))),"✔ CLEAR","✘ CLOSE · right result, but use XLOOKUP"),"✘ TRY AGAIN"))))</f>
        <v/>
      </c>
      <c r="E34" s="22"/>
      <c r="F34" s="23" cm="1" t="str">
        <f t="array" ref="F34">IF(E34="Show hint",Key!$B$33,"")</f>
        <v/>
      </c>
      <c r="G34" s="24" cm="1">
        <f t="array" ref="G34">IF(LEFT(D34,1)="✔",IF(E34="Show hint",5,10),0)</f>
        <v>0</v>
      </c>
    </row>
  </sheetData>
  <sheetProtection sheet="1" objects="1" scenarios="1" formatColumns="0" formatRows="0"/>
  <conditionalFormatting sqref="D12:D34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0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Key!$E$28:$H$28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Key!$E$29:$H$29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</dataValidations>
  <hyperlinks>
    <hyperlink ref="B29" location="'F4-2 Arena'!A1" display="▶ Open F4-2 Arena (or press Ctrl+PgDn)"/>
    <hyperlink ref="C33" location="'F4-2 Arena'!J6" tooltip="Go to F4-2 Arena, cell J6" display="▶ ARENA C3 (cell J6)"/>
    <hyperlink ref="C34" location="'F4-2 Arena'!J9" tooltip="Go to F4-2 Arena, cell J9" display="▶ ARENA C4 (cell J9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1">
      <c r="A1" s="1" t="s">
        <v>172</v>
      </c>
    </row>
    <row r="2" spans="1:11">
      <c r="A2" s="3" t="s">
        <v>5</v>
      </c>
    </row>
    <row r="3" spans="1:11">
      <c r="A3" s="25" t="s">
        <v>6</v>
      </c>
      <c r="B3" s="26" t="s">
        <v>173</v>
      </c>
      <c r="D3" s="11" t="s">
        <v>174</v>
      </c>
    </row>
    <row r="5" spans="1:11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46</v>
      </c>
      <c r="J5" s="27" t="s">
        <v>10</v>
      </c>
    </row>
    <row r="6" spans="1:11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 t="s">
        <v>175</v>
      </c>
      <c r="J6" s="28"/>
    </row>
    <row r="7" spans="1:11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</row>
    <row r="8" spans="1:11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  <c r="I8" s="27" t="s">
        <v>46</v>
      </c>
      <c r="J8" s="27" t="s">
        <v>12</v>
      </c>
      <c r="K8" s="27" t="s">
        <v>13</v>
      </c>
    </row>
    <row r="9" spans="1:11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5" t="s">
        <v>24</v>
      </c>
      <c r="J9" s="28"/>
    </row>
    <row r="10" spans="1:11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</row>
    <row r="11" spans="1:11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</row>
    <row r="12" spans="1:11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</row>
    <row r="13" spans="1:11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</row>
    <row r="14" spans="1:11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</row>
    <row r="15" spans="1:11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</row>
    <row r="16" spans="1:11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</row>
    <row r="17" spans="2:6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</row>
    <row r="18" spans="2:6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</row>
    <row r="19" spans="2:6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6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</row>
  </sheetData>
  <hyperlinks>
    <hyperlink ref="D3" location="'F4-2 Safety Net'!A1" display="◀ Back to F4-2 Safety Net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360</v>
      </c>
      <c r="B1" s="2"/>
      <c r="C1" s="2"/>
      <c r="D1" s="2"/>
      <c r="E1" s="2"/>
      <c r="F1" s="2"/>
      <c r="G1" s="2"/>
    </row>
    <row r="2" spans="1:7">
      <c r="A2" s="3" t="s">
        <v>361</v>
      </c>
    </row>
    <row r="3" spans="1:7" ht="26" customHeight="1">
      <c r="A3" s="14" cm="1" t="str">
        <f t="array" ref="A3">"SCORE "&amp;TEXT(SUM($G$12:$G$34),"0000")&amp;" / 0160"</f>
        <v>SCORE 0000 / 0160</v>
      </c>
      <c r="C3" s="15" cm="1" t="str">
        <f t="array" ref="C3">IF(SUM($G$12:$G$34)&gt;=160,"★★★",IF(SUM($G$12:$G$34)&gt;=160*0.8,"★★☆",IF(SUM($G$12:$G$34)&gt;=160*0.5,"★☆☆","☆☆☆")))</f>
        <v>☆☆☆</v>
      </c>
      <c r="D3" s="16" cm="1" t="str">
        <f t="array" ref="D3">REPT("█",ROUND(10*SUM($G$12:$G$34)/160,0))&amp;REPT("░",10-ROUND(10*SUM($G$12:$G$34)/160,0))&amp;"  "&amp;TEXT(SUM($G$12:$G$34)/160,"0%")</f>
        <v>░░░░░░░░░░  0%</v>
      </c>
      <c r="F3" s="17" cm="1" t="str">
        <f t="array" ref="F3">IF(SUM($G$12:$G$34)&gt;=160*0.5,"STAGE CLEAR! ▶ Next: F4-4 Power Couple","")</f>
        <v/>
      </c>
    </row>
    <row r="5" spans="1:7" ht="22" customHeight="1">
      <c r="A5" s="4" t="s">
        <v>48</v>
      </c>
      <c r="B5" s="4"/>
      <c r="C5" s="4"/>
      <c r="D5" s="4"/>
      <c r="E5" s="4"/>
      <c r="F5" s="4"/>
      <c r="G5" s="4"/>
    </row>
    <row r="6" spans="1:7">
      <c r="A6" s="6" t="s">
        <v>49</v>
      </c>
      <c r="B6" s="6" t="s">
        <v>50</v>
      </c>
      <c r="C6" s="6" t="s">
        <v>51</v>
      </c>
      <c r="D6" s="6"/>
      <c r="E6" s="6"/>
      <c r="F6" s="6"/>
      <c r="G6" s="6"/>
    </row>
    <row r="7" spans="1:7" ht="51.25" customHeight="1">
      <c r="A7" s="18" t="s">
        <v>52</v>
      </c>
      <c r="B7" s="8" t="s">
        <v>263</v>
      </c>
      <c r="C7" s="19" t="s">
        <v>136</v>
      </c>
    </row>
    <row r="8" spans="1:7" ht="51.25" customHeight="1">
      <c r="A8" s="18" t="s">
        <v>55</v>
      </c>
      <c r="B8" s="8" t="s">
        <v>264</v>
      </c>
      <c r="C8" s="19" t="s">
        <v>141</v>
      </c>
    </row>
    <row r="10" spans="1:7" ht="22" customHeight="1">
      <c r="A10" s="4" t="s">
        <v>58</v>
      </c>
      <c r="B10" s="4"/>
      <c r="C10" s="4"/>
      <c r="D10" s="4"/>
      <c r="E10" s="4"/>
      <c r="F10" s="4"/>
      <c r="G10" s="4"/>
    </row>
    <row r="11" spans="1:7">
      <c r="A11" s="6" t="s">
        <v>49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</v>
      </c>
      <c r="G11" s="6" t="s">
        <v>63</v>
      </c>
    </row>
    <row r="12" spans="1:7" ht="35.5" customHeight="1">
      <c r="A12" s="18" t="s">
        <v>67</v>
      </c>
      <c r="B12" s="8" t="s">
        <v>266</v>
      </c>
      <c r="C12" s="20"/>
      <c r="D12" s="21" cm="1" t="str">
        <f t="array" ref="D12">IFERROR(_xlfn.LET(_xlpm.a,'F4-3 Old School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H$34),"✔ CLEAR","✘ TRY AGAIN"))),"✘ TRY AGAIN")</f>
        <v/>
      </c>
      <c r="E12" s="22"/>
      <c r="F12" s="23" cm="1" t="str">
        <f t="array" ref="F12">IF(E12="Show hint",Key!$B$34,"")</f>
        <v/>
      </c>
      <c r="G12" s="24" cm="1">
        <f t="array" ref="G12">IF(LEFT(D12,1)="✔",IF(E12="Show hint",5,10),0)</f>
        <v>0</v>
      </c>
    </row>
    <row r="13" spans="1:7" ht="51.25" customHeight="1">
      <c r="A13" s="18" t="s">
        <v>72</v>
      </c>
      <c r="B13" s="8" t="s">
        <v>268</v>
      </c>
      <c r="C13" s="20"/>
      <c r="D13" s="21" cm="1" t="str">
        <f t="array" ref="D13">IFERROR(_xlfn.LET(_xlpm.a,'F4-3 Old School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F$35),"✔ CLEAR","✘ TRY AGAIN"))),"✘ TRY AGAIN")</f>
        <v/>
      </c>
      <c r="E13" s="22"/>
      <c r="F13" s="23" cm="1" t="str">
        <f t="array" ref="F13">IF(E13="Show hint",Key!$B$35,"")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79</v>
      </c>
      <c r="B14" s="8" t="s">
        <v>273</v>
      </c>
      <c r="C14" s="20"/>
      <c r="D14" s="21" cm="1" t="str">
        <f t="array" ref="D14">IFERROR(_xlfn.LET(_xlpm.a,'F4-3 Old School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F$36),"✔ CLEAR","✘ TRY AGAIN"))),"✘ TRY AGAIN")</f>
        <v/>
      </c>
      <c r="E14" s="22"/>
      <c r="F14" s="23" cm="1" t="str">
        <f t="array" ref="F14">IF(E14="Show hint",Key!$B$36,"")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99</v>
      </c>
      <c r="B15" s="8" t="s">
        <v>277</v>
      </c>
      <c r="C15" s="20"/>
      <c r="D15" s="21" cm="1" t="str">
        <f t="array" ref="D15">IFERROR(_xlfn.LET(_xlpm.a,'F4-3 Old School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E$37),"✔ CLEAR","✘ TRY AGAIN"))),"✘ TRY AGAIN")</f>
        <v/>
      </c>
      <c r="E15" s="22"/>
      <c r="F15" s="23" cm="1" t="str">
        <f t="array" ref="F15">IF(E15="Show hint",Key!$B$37,"")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104</v>
      </c>
      <c r="B16" s="8" t="s">
        <v>282</v>
      </c>
      <c r="C16" s="20"/>
      <c r="D16" s="21" cm="1" t="str">
        <f t="array" ref="D16">IFERROR(_xlfn.LET(_xlpm.a,'F4-3 Old School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F$38),"✔ CLEAR","✘ TRY AGAIN"))),"✘ TRY AGAIN")</f>
        <v/>
      </c>
      <c r="E16" s="22"/>
      <c r="F16" s="23" cm="1" t="str">
        <f t="array" ref="F16">IF(E16="Show hint",Key!$B$38,"")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109</v>
      </c>
      <c r="B17" s="8" t="s">
        <v>301</v>
      </c>
      <c r="C17" s="20"/>
      <c r="D17" s="21" cm="1" t="str">
        <f t="array" ref="D17">IFERROR(_xlfn.LET(_xlpm.a,'F4-3 Old School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T$39),"✔ CLEAR","✘ TRY AGAIN"))),"✘ TRY AGAIN")</f>
        <v/>
      </c>
      <c r="E17" s="22"/>
      <c r="F17" s="23" cm="1" t="str">
        <f t="array" ref="F17">IF(E17="Show hint",Key!$B$39,"")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114</v>
      </c>
      <c r="B18" s="8" t="s">
        <v>320</v>
      </c>
      <c r="C18" s="20"/>
      <c r="D18" s="21" cm="1" t="str">
        <f t="array" ref="D18">IFERROR(_xlfn.LET(_xlpm.a,'F4-3 Old School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T$40),"✔ CLEAR","✘ TRY AGAIN"))),"✘ TRY AGAIN")</f>
        <v/>
      </c>
      <c r="E18" s="22"/>
      <c r="F18" s="23" cm="1" t="str">
        <f t="array" ref="F18">IF(E18="Show hint",Key!$B$40,"")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119</v>
      </c>
      <c r="B19" s="8" t="s">
        <v>324</v>
      </c>
      <c r="C19" s="20"/>
      <c r="D19" s="21" cm="1" t="str">
        <f t="array" ref="D19">IFERROR(_xlfn.LET(_xlpm.a,'F4-3 Old School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E$41),"✔ CLEAR","✘ TRY AGAIN"))),"✘ TRY AGAIN")</f>
        <v/>
      </c>
      <c r="E19" s="22"/>
      <c r="F19" s="23" cm="1" t="str">
        <f t="array" ref="F19">IF(E19="Show hint",Key!$B$41,"")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124</v>
      </c>
      <c r="B20" s="8" t="s">
        <v>331</v>
      </c>
      <c r="C20" s="20"/>
      <c r="D20" s="21" cm="1" t="str">
        <f t="array" ref="D20">IFERROR(_xlfn.LET(_xlpm.a,'F4-3 Old School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H$42),"✔ CLEAR","✘ TRY AGAIN"))),"✘ TRY AGAIN")</f>
        <v/>
      </c>
      <c r="E20" s="22"/>
      <c r="F20" s="23" cm="1" t="str">
        <f t="array" ref="F20">IF(E20="Show hint",Key!$B$42,"")</f>
        <v/>
      </c>
      <c r="G20" s="24" cm="1">
        <f t="array" ref="G20">IF(LEFT(D20,1)="✔",IF(E20="Show hint",5,10),0)</f>
        <v>0</v>
      </c>
    </row>
    <row r="21" spans="1:7" ht="19.75" customHeight="1">
      <c r="A21" s="18" t="s">
        <v>129</v>
      </c>
      <c r="B21" s="8" t="s">
        <v>336</v>
      </c>
      <c r="C21" s="20"/>
      <c r="D21" s="21" cm="1" t="str">
        <f t="array" ref="D21">IFERROR(_xlfn.LET(_xlpm.a,'F4-3 Old School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F$43),"✔ CLEAR","✘ TRY AGAIN"))),"✘ TRY AGAIN")</f>
        <v/>
      </c>
      <c r="E21" s="22"/>
      <c r="F21" s="23" cm="1" t="str">
        <f t="array" ref="F21">IF(E21="Show hint",Key!$B$43,"")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131</v>
      </c>
      <c r="B23" s="4"/>
      <c r="C23" s="4"/>
      <c r="D23" s="4"/>
      <c r="E23" s="4"/>
      <c r="F23" s="4"/>
      <c r="G23" s="4"/>
    </row>
    <row r="24" spans="1:7">
      <c r="A24" s="6" t="s">
        <v>49</v>
      </c>
      <c r="B24" s="6" t="s">
        <v>59</v>
      </c>
      <c r="C24" s="6" t="s">
        <v>60</v>
      </c>
      <c r="D24" s="6" t="s">
        <v>61</v>
      </c>
      <c r="E24" s="6" t="s">
        <v>62</v>
      </c>
      <c r="F24" s="6" t="s">
        <v>1</v>
      </c>
      <c r="G24" s="6" t="s">
        <v>63</v>
      </c>
    </row>
    <row r="25" spans="1:7" ht="35.5" customHeight="1">
      <c r="A25" s="18" t="s">
        <v>137</v>
      </c>
      <c r="B25" s="8" t="s">
        <v>340</v>
      </c>
      <c r="C25" s="20"/>
      <c r="D25" s="21" cm="1" t="str">
        <f t="array" ref="D25">IFERROR(IF('F4-3 Old School'!$C$25&amp;""="","",IF('F4-3 Old School'!$C$25&amp;""=Key!$C$44&amp;"","✔ CLEAR","✘ TRY AGAIN")),"✘ TRY AGAIN")</f>
        <v/>
      </c>
      <c r="E25" s="22"/>
      <c r="F25" s="23" cm="1" t="str">
        <f t="array" ref="F25">IF(E25="Show hint",Key!$B$44,"")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144</v>
      </c>
      <c r="B26" s="8" t="s">
        <v>343</v>
      </c>
      <c r="C26" s="20"/>
      <c r="D26" s="21" cm="1" t="str">
        <f t="array" ref="D26">IFERROR(IF('F4-3 Old School'!$C$26&amp;""="","",IF('F4-3 Old School'!$C$26&amp;""=Key!$C$45&amp;"","✔ CLEAR","✘ TRY AGAIN")),"✘ TRY AGAIN")</f>
        <v/>
      </c>
      <c r="E26" s="22"/>
      <c r="F26" s="23" cm="1" t="str">
        <f t="array" ref="F26">IF(E26="Show hint",Key!$B$45,"")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146</v>
      </c>
      <c r="B28" s="4"/>
      <c r="C28" s="4"/>
      <c r="D28" s="4"/>
      <c r="E28" s="4"/>
      <c r="F28" s="4"/>
      <c r="G28" s="4"/>
    </row>
    <row r="29" spans="1:7">
      <c r="B29" s="11" t="s">
        <v>344</v>
      </c>
    </row>
    <row r="30" spans="1:7">
      <c r="A30" s="6" t="s">
        <v>49</v>
      </c>
      <c r="B30" s="6" t="s">
        <v>59</v>
      </c>
      <c r="C30" s="6" t="s">
        <v>60</v>
      </c>
      <c r="D30" s="6" t="s">
        <v>61</v>
      </c>
      <c r="E30" s="6" t="s">
        <v>62</v>
      </c>
      <c r="F30" s="6" t="s">
        <v>1</v>
      </c>
      <c r="G30" s="6" t="s">
        <v>63</v>
      </c>
    </row>
    <row r="31" spans="1:7" ht="35.5" customHeight="1">
      <c r="A31" s="18" t="s">
        <v>154</v>
      </c>
      <c r="B31" s="8" t="s">
        <v>340</v>
      </c>
      <c r="C31" s="20"/>
      <c r="D31" s="21" cm="1" t="str">
        <f t="array" ref="D31">IFERROR(_xlfn.LET(_xlpm.a,'F4-3 Old School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J$46),"✔ CLEAR","✘ TRY AGAIN"))),"✘ TRY AGAIN")</f>
        <v/>
      </c>
      <c r="E31" s="22"/>
      <c r="F31" s="23" cm="1" t="str">
        <f t="array" ref="F31">IF(E31="Show hint",Key!$B$46,"")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159</v>
      </c>
      <c r="B32" s="8" t="s">
        <v>343</v>
      </c>
      <c r="C32" s="20"/>
      <c r="D32" s="21" cm="1" t="str">
        <f t="array" ref="D32">IFERROR(_xlfn.LET(_xlpm.a,'F4-3 Old School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F$47),"✔ CLEAR","✘ TRY AGAIN"))),"✘ TRY AGAIN")</f>
        <v/>
      </c>
      <c r="E32" s="22"/>
      <c r="F32" s="23" cm="1" t="str">
        <f t="array" ref="F32">IF(E32="Show hint",Key!$B$47,"")</f>
        <v/>
      </c>
      <c r="G32" s="24" cm="1">
        <f t="array" ref="G32">IF(LEFT(D32,1)="✔",IF(E32="Show hint",5,10),0)</f>
        <v>0</v>
      </c>
    </row>
    <row r="33" spans="1:7" ht="51.25" customHeight="1">
      <c r="A33" s="18" t="s">
        <v>162</v>
      </c>
      <c r="B33" s="8" t="s">
        <v>356</v>
      </c>
      <c r="C33" s="11" t="s">
        <v>164</v>
      </c>
      <c r="D33" s="21" cm="1" t="str">
        <f t="array" ref="D33">IF(ISBLANK('F4-3 Arena'!$J$6),"",IF(NOT(_xlfn.ISFORMULA('F4-3 Arena'!$J$6)),"✘ That's a typed value · enter a formula",IF(ISERROR('F4-3 Arena'!$J$6),"✘ Your formula returns "&amp;IFERROR(CHOOSE(ERROR.TYPE('F4-3 Arena'!$J$6),"#NULL!","#DIV/0!","#VALUE!","#REF!","#NAME?","#NUM!","#N/A","#GETTING_DATA","#SPILL!","#CONNECT!","#BLOCKED!","#UNKNOWN!","#FIELD!","#CALC!"),"an error"),IF(NOT(AND(IFERROR(AND(ISTEXT('F4-3 Arena'!$J$6),'F4-3 Arena'!$J$6=Key!$C$48),FALSE))),"✘ TRY AGAIN",IF(AND(OR(ISNUMBER(FIND({"=","(",",","+","-","*","/","&amp;"," ","&lt;","&gt;",":","@","^"}&amp;"VLOOKUP"&amp;"(",UPPER(_xlfn.FORMULATEXT('F4-3 Arena'!$J$6)))))),"✔ CLEAR","✘ CLOSE · right value, but use VLOOKUP")))))</f>
        <v/>
      </c>
      <c r="E33" s="22"/>
      <c r="F33" s="23" cm="1" t="str">
        <f t="array" ref="F33">IF(E33="Show hint",Key!$B$48,"")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167</v>
      </c>
      <c r="B34" s="8" t="s">
        <v>359</v>
      </c>
      <c r="C34" s="11" t="s">
        <v>257</v>
      </c>
      <c r="D34" s="21" cm="1" t="str">
        <f t="array" ref="D34">IF(ISBLANK('F4-3 Arena'!$J$9),"",IF(NOT(_xlfn.ISFORMULA('F4-3 Arena'!$J$9)),"✘ That's a typed value · enter a formula",IF(ISERROR('F4-3 Arena'!$J$9),"✘ Your formula returns "&amp;IFERROR(CHOOSE(ERROR.TYPE('F4-3 Arena'!$J$9),"#NULL!","#DIV/0!","#VALUE!","#REF!","#NAME?","#NUM!","#N/A","#GETTING_DATA","#SPILL!","#CONNECT!","#BLOCKED!","#UNKNOWN!","#FIELD!","#CALC!"),"an error"),IF(NOT(AND(IFERROR(AND(ISNUMBER('F4-3 Arena'!$J$9),ABS('F4-3 Arena'!$J$9-Key!$C$49)&lt;=1E-9*MAX(1,ABS(Key!$C$49))),FALSE))),"✘ TRY AGAIN",IF(AND(OR(ISNUMBER(FIND({"=","(",",","+","-","*","/","&amp;"," ","&lt;","&gt;",":","@","^"}&amp;"VLOOKUP"&amp;"(",UPPER(_xlfn.FORMULATEXT('F4-3 Arena'!$J$9)))))),"✔ CLEAR","✘ CLOSE · right value, but use VLOOKUP")))))</f>
        <v/>
      </c>
      <c r="E34" s="22"/>
      <c r="F34" s="23" cm="1" t="str">
        <f t="array" ref="F34">IF(E34="Show hint",Key!$B$49,"")</f>
        <v/>
      </c>
      <c r="G34" s="24" cm="1">
        <f t="array" ref="G34">IF(LEFT(D34,1)="✔",IF(E34="Show hint",5,10),0)</f>
        <v>0</v>
      </c>
    </row>
  </sheetData>
  <sheetProtection sheet="1" objects="1" scenarios="1" formatColumns="0" formatRows="0"/>
  <conditionalFormatting sqref="D12:D34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0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Key!$E$44:$H$44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Key!$E$45:$H$45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</dataValidations>
  <hyperlinks>
    <hyperlink ref="B29" location="'F4-3 Arena'!A1" display="▶ Open F4-3 Arena (or press Ctrl+PgDn)"/>
    <hyperlink ref="C33" location="'F4-3 Arena'!J6" tooltip="Go to F4-3 Arena, cell J6" display="▶ ARENA C3 (cell J6)"/>
    <hyperlink ref="C34" location="'F4-3 Arena'!J9" tooltip="Go to F4-3 Arena, cell J9" display="▶ ARENA C4 (cell J9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0">
      <c r="A1" s="1" t="s">
        <v>260</v>
      </c>
    </row>
    <row r="2" spans="1:10">
      <c r="A2" s="3" t="s">
        <v>5</v>
      </c>
    </row>
    <row r="3" spans="1:10">
      <c r="A3" s="25" t="s">
        <v>6</v>
      </c>
      <c r="B3" s="26" t="s">
        <v>261</v>
      </c>
      <c r="D3" s="11" t="s">
        <v>262</v>
      </c>
    </row>
    <row r="5" spans="1:10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46</v>
      </c>
      <c r="J5" s="27" t="s">
        <v>11</v>
      </c>
    </row>
    <row r="6" spans="1:10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 t="s">
        <v>38</v>
      </c>
      <c r="J6" s="28"/>
    </row>
    <row r="7" spans="1:10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</row>
    <row r="8" spans="1:10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  <c r="I8" s="27" t="s">
        <v>46</v>
      </c>
      <c r="J8" s="27" t="s">
        <v>13</v>
      </c>
    </row>
    <row r="9" spans="1:10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5" t="s">
        <v>22</v>
      </c>
      <c r="J9" s="28"/>
    </row>
    <row r="10" spans="1:10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</row>
    <row r="11" spans="1:10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</row>
    <row r="12" spans="1:10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</row>
    <row r="13" spans="1:10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</row>
    <row r="14" spans="1:10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</row>
    <row r="15" spans="1:10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</row>
    <row r="16" spans="1:10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</row>
    <row r="17" spans="2:6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</row>
    <row r="18" spans="2:6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</row>
    <row r="19" spans="2:6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6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</row>
  </sheetData>
  <hyperlinks>
    <hyperlink ref="D3" location="'F4-3 Old School'!A1" display="◀ Back to F4-3 Old Schoo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486</v>
      </c>
      <c r="B1" s="2"/>
      <c r="C1" s="2"/>
      <c r="D1" s="2"/>
      <c r="E1" s="2"/>
      <c r="F1" s="2"/>
      <c r="G1" s="2"/>
    </row>
    <row r="2" spans="1:7">
      <c r="A2" s="3" t="s">
        <v>487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F4-5 Tiers","")</f>
        <v/>
      </c>
    </row>
    <row r="5" spans="1:7" ht="22" customHeight="1">
      <c r="A5" s="4" t="s">
        <v>48</v>
      </c>
      <c r="B5" s="4"/>
      <c r="C5" s="4"/>
      <c r="D5" s="4"/>
      <c r="E5" s="4"/>
      <c r="F5" s="4"/>
      <c r="G5" s="4"/>
    </row>
    <row r="6" spans="1:7">
      <c r="A6" s="6" t="s">
        <v>49</v>
      </c>
      <c r="B6" s="6" t="s">
        <v>50</v>
      </c>
      <c r="C6" s="6" t="s">
        <v>51</v>
      </c>
      <c r="D6" s="6"/>
      <c r="E6" s="6"/>
      <c r="F6" s="6"/>
      <c r="G6" s="6"/>
    </row>
    <row r="7" spans="1:7" ht="51.25" customHeight="1">
      <c r="A7" s="18" t="s">
        <v>52</v>
      </c>
      <c r="B7" s="8" t="s">
        <v>368</v>
      </c>
      <c r="C7" s="19" t="s">
        <v>134</v>
      </c>
    </row>
    <row r="8" spans="1:7" ht="51.25" customHeight="1">
      <c r="A8" s="18" t="s">
        <v>55</v>
      </c>
      <c r="B8" s="8" t="s">
        <v>369</v>
      </c>
      <c r="C8" s="19" t="s">
        <v>135</v>
      </c>
    </row>
    <row r="9" spans="1:7" ht="67" customHeight="1">
      <c r="A9" s="18" t="s">
        <v>370</v>
      </c>
      <c r="B9" s="8" t="s">
        <v>371</v>
      </c>
      <c r="C9" s="19" t="s">
        <v>237</v>
      </c>
    </row>
    <row r="10" spans="1:7" ht="35.5" customHeight="1">
      <c r="A10" s="18" t="s">
        <v>245</v>
      </c>
      <c r="B10" s="8" t="s">
        <v>372</v>
      </c>
      <c r="C10" s="19" t="s">
        <v>339</v>
      </c>
    </row>
    <row r="12" spans="1:7" ht="22" customHeight="1">
      <c r="A12" s="4" t="s">
        <v>58</v>
      </c>
      <c r="B12" s="4"/>
      <c r="C12" s="4"/>
      <c r="D12" s="4"/>
      <c r="E12" s="4"/>
      <c r="F12" s="4"/>
      <c r="G12" s="4"/>
    </row>
    <row r="13" spans="1:7">
      <c r="A13" s="6" t="s">
        <v>49</v>
      </c>
      <c r="B13" s="6" t="s">
        <v>59</v>
      </c>
      <c r="C13" s="6" t="s">
        <v>60</v>
      </c>
      <c r="D13" s="6" t="s">
        <v>61</v>
      </c>
      <c r="E13" s="6" t="s">
        <v>62</v>
      </c>
      <c r="F13" s="6" t="s">
        <v>1</v>
      </c>
      <c r="G13" s="6" t="s">
        <v>63</v>
      </c>
    </row>
    <row r="14" spans="1:7" ht="51.25" customHeight="1">
      <c r="A14" s="18" t="s">
        <v>67</v>
      </c>
      <c r="B14" s="8" t="s">
        <v>374</v>
      </c>
      <c r="C14" s="20"/>
      <c r="D14" s="21" cm="1" t="str">
        <f t="array" ref="D14">IFERROR(_xlfn.LET(_xlpm.a,'F4-4 Power Coupl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J$50),"✔ CLEAR","✘ TRY AGAIN"))),"✘ TRY AGAIN")</f>
        <v/>
      </c>
      <c r="E14" s="22"/>
      <c r="F14" s="23" cm="1" t="str">
        <f t="array" ref="F14">IF(E14="Show hint",Key!$B$50,"")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72</v>
      </c>
      <c r="B15" s="8" t="s">
        <v>376</v>
      </c>
      <c r="C15" s="20"/>
      <c r="D15" s="21" cm="1" t="str">
        <f t="array" ref="D15">IFERROR(_xlfn.LET(_xlpm.a,'F4-4 Power Coupl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F$51),"✔ CLEAR","✘ TRY AGAIN"))),"✘ TRY AGAIN")</f>
        <v/>
      </c>
      <c r="E15" s="22"/>
      <c r="F15" s="23" cm="1" t="str">
        <f t="array" ref="F15">IF(E15="Show hint",Key!$B$51,"")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79</v>
      </c>
      <c r="B16" s="8" t="s">
        <v>381</v>
      </c>
      <c r="C16" s="20"/>
      <c r="D16" s="21" cm="1" t="str">
        <f t="array" ref="D16">IFERROR(_xlfn.LET(_xlpm.a,'F4-4 Power Coupl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F$52),"✔ CLEAR","✘ TRY AGAIN"))),"✘ TRY AGAIN")</f>
        <v/>
      </c>
      <c r="E16" s="22"/>
      <c r="F16" s="23" cm="1" t="str">
        <f t="array" ref="F16">IF(E16="Show hint",Key!$B$52,"")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99</v>
      </c>
      <c r="B17" s="8" t="s">
        <v>386</v>
      </c>
      <c r="C17" s="20"/>
      <c r="D17" s="21" cm="1" t="str">
        <f t="array" ref="D17">IFERROR(_xlfn.LET(_xlpm.a,'F4-4 Power Coupl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F$53),"✔ CLEAR","✘ TRY AGAIN"))),"✘ TRY AGAIN")</f>
        <v/>
      </c>
      <c r="E17" s="22"/>
      <c r="F17" s="23" cm="1" t="str">
        <f t="array" ref="F17">IF(E17="Show hint",Key!$B$53,"")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104</v>
      </c>
      <c r="B18" s="8" t="s">
        <v>389</v>
      </c>
      <c r="C18" s="20"/>
      <c r="D18" s="21" cm="1" t="str">
        <f t="array" ref="D18">IFERROR(_xlfn.LET(_xlpm.a,'F4-4 Power Coupl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E$54),"✔ CLEAR","✘ TRY AGAIN"))),"✘ TRY AGAIN")</f>
        <v/>
      </c>
      <c r="E18" s="22"/>
      <c r="F18" s="23" cm="1" t="str">
        <f t="array" ref="F18">IF(E18="Show hint",Key!$B$54,"")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109</v>
      </c>
      <c r="B19" s="8" t="s">
        <v>393</v>
      </c>
      <c r="C19" s="20"/>
      <c r="D19" s="21" cm="1" t="str">
        <f t="array" ref="D19">IFERROR(_xlfn.LET(_xlpm.a,'F4-4 Power Coupl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E$55),"✔ CLEAR","✘ TRY AGAIN"))),"✘ TRY AGAIN")</f>
        <v/>
      </c>
      <c r="E19" s="22"/>
      <c r="F19" s="23" cm="1" t="str">
        <f t="array" ref="F19">IF(E19="Show hint",Key!$B$55,"")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114</v>
      </c>
      <c r="B20" s="8" t="s">
        <v>400</v>
      </c>
      <c r="C20" s="20"/>
      <c r="D20" s="21" cm="1" t="str">
        <f t="array" ref="D20">IFERROR(_xlfn.LET(_xlpm.a,'F4-4 Power Coupl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H$56),"✔ CLEAR","✘ TRY AGAIN"))),"✘ TRY AGAIN")</f>
        <v/>
      </c>
      <c r="E20" s="22"/>
      <c r="F20" s="23" cm="1" t="str">
        <f t="array" ref="F20">IF(E20="Show hint",Key!$B$56,"")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119</v>
      </c>
      <c r="B21" s="8" t="s">
        <v>407</v>
      </c>
      <c r="C21" s="20"/>
      <c r="D21" s="21" cm="1" t="str">
        <f t="array" ref="D21">IFERROR(_xlfn.LET(_xlpm.a,'F4-4 Power Coupl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H$57),"✔ CLEAR","✘ TRY AGAIN"))),"✘ TRY AGAIN")</f>
        <v/>
      </c>
      <c r="E21" s="22"/>
      <c r="F21" s="23" cm="1" t="str">
        <f t="array" ref="F21">IF(E21="Show hint",Key!$B$57,"")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124</v>
      </c>
      <c r="B22" s="8" t="s">
        <v>412</v>
      </c>
      <c r="C22" s="20"/>
      <c r="D22" s="21" cm="1" t="str">
        <f t="array" ref="D22">IFERROR(_xlfn.LET(_xlpm.a,'F4-4 Power Coupl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F$58),"✔ CLEAR","✘ TRY AGAIN"))),"✘ TRY AGAIN")</f>
        <v/>
      </c>
      <c r="E22" s="22"/>
      <c r="F22" s="23" cm="1" t="str">
        <f t="array" ref="F22">IF(E22="Show hint",Key!$B$58,"")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129</v>
      </c>
      <c r="B23" s="8" t="s">
        <v>431</v>
      </c>
      <c r="C23" s="20"/>
      <c r="D23" s="21" cm="1" t="str">
        <f t="array" ref="D23">IFERROR(_xlfn.LET(_xlpm.a,'F4-4 Power Couple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T$59),"✔ CLEAR","✘ TRY AGAIN"))),"✘ TRY AGAIN")</f>
        <v/>
      </c>
      <c r="E23" s="22"/>
      <c r="F23" s="23" cm="1" t="str">
        <f t="array" ref="F23">IF(E23="Show hint",Key!$B$59,"")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131</v>
      </c>
      <c r="B25" s="4"/>
      <c r="C25" s="4"/>
      <c r="D25" s="4"/>
      <c r="E25" s="4"/>
      <c r="F25" s="4"/>
      <c r="G25" s="4"/>
    </row>
    <row r="26" spans="1:7">
      <c r="A26" s="6" t="s">
        <v>49</v>
      </c>
      <c r="B26" s="6" t="s">
        <v>59</v>
      </c>
      <c r="C26" s="6" t="s">
        <v>60</v>
      </c>
      <c r="D26" s="6" t="s">
        <v>61</v>
      </c>
      <c r="E26" s="6" t="s">
        <v>62</v>
      </c>
      <c r="F26" s="6" t="s">
        <v>1</v>
      </c>
      <c r="G26" s="6" t="s">
        <v>63</v>
      </c>
    </row>
    <row r="27" spans="1:7" ht="35.5" customHeight="1">
      <c r="A27" s="18" t="s">
        <v>137</v>
      </c>
      <c r="B27" s="8" t="s">
        <v>434</v>
      </c>
      <c r="C27" s="20"/>
      <c r="D27" s="21" cm="1" t="str">
        <f t="array" ref="D27">IFERROR(IF('F4-4 Power Couple'!$C$27&amp;""="","",IF('F4-4 Power Couple'!$C$27&amp;""=Key!$C$60&amp;"","✔ CLEAR","✘ TRY AGAIN")),"✘ TRY AGAIN")</f>
        <v/>
      </c>
      <c r="E27" s="22"/>
      <c r="F27" s="23" cm="1" t="str">
        <f t="array" ref="F27">IF(E27="Show hint",Key!$B$60,"")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144</v>
      </c>
      <c r="B28" s="8" t="s">
        <v>437</v>
      </c>
      <c r="C28" s="20"/>
      <c r="D28" s="21" cm="1" t="str">
        <f t="array" ref="D28">IFERROR(IF('F4-4 Power Couple'!$C$28&amp;""="","",IF('F4-4 Power Couple'!$C$28&amp;""=Key!$C$61&amp;"","✔ CLEAR","✘ TRY AGAIN")),"✘ TRY AGAIN")</f>
        <v/>
      </c>
      <c r="E28" s="22"/>
      <c r="F28" s="23" cm="1" t="str">
        <f t="array" ref="F28">IF(E28="Show hint",Key!$B$61,"")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440</v>
      </c>
      <c r="B29" s="8" t="s">
        <v>441</v>
      </c>
      <c r="C29" s="20"/>
      <c r="D29" s="21" cm="1" t="str">
        <f t="array" ref="D29">IFERROR(IF('F4-4 Power Couple'!$C$29&amp;""="","",IF('F4-4 Power Couple'!$C$29&amp;""=Key!$C$62&amp;"","✔ CLEAR","✘ TRY AGAIN")),"✘ TRY AGAIN")</f>
        <v/>
      </c>
      <c r="E29" s="22"/>
      <c r="F29" s="23" cm="1" t="str">
        <f t="array" ref="F29">IF(E29="Show hint",Key!$B$62,"")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444</v>
      </c>
      <c r="B30" s="8" t="s">
        <v>445</v>
      </c>
      <c r="C30" s="20"/>
      <c r="D30" s="21" cm="1" t="str">
        <f t="array" ref="D30">IFERROR(IF('F4-4 Power Couple'!$C$30&amp;""="","",IF('F4-4 Power Couple'!$C$30&amp;""=Key!$C$63&amp;"","✔ CLEAR","✘ TRY AGAIN")),"✘ TRY AGAIN")</f>
        <v/>
      </c>
      <c r="E30" s="22"/>
      <c r="F30" s="23" cm="1" t="str">
        <f t="array" ref="F30">IF(E30="Show hint",Key!$B$63,"")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146</v>
      </c>
      <c r="B32" s="4"/>
      <c r="C32" s="4"/>
      <c r="D32" s="4"/>
      <c r="E32" s="4"/>
      <c r="F32" s="4"/>
      <c r="G32" s="4"/>
    </row>
    <row r="33" spans="1:7">
      <c r="B33" s="11" t="s">
        <v>446</v>
      </c>
    </row>
    <row r="34" spans="1:7">
      <c r="A34" s="6" t="s">
        <v>49</v>
      </c>
      <c r="B34" s="6" t="s">
        <v>59</v>
      </c>
      <c r="C34" s="6" t="s">
        <v>60</v>
      </c>
      <c r="D34" s="6" t="s">
        <v>61</v>
      </c>
      <c r="E34" s="6" t="s">
        <v>62</v>
      </c>
      <c r="F34" s="6" t="s">
        <v>1</v>
      </c>
      <c r="G34" s="6" t="s">
        <v>63</v>
      </c>
    </row>
    <row r="35" spans="1:7" ht="35.5" customHeight="1">
      <c r="A35" s="18" t="s">
        <v>154</v>
      </c>
      <c r="B35" s="8" t="s">
        <v>434</v>
      </c>
      <c r="C35" s="20"/>
      <c r="D35" s="21" cm="1" t="str">
        <f t="array" ref="D35">IFERROR(_xlfn.LET(_xlpm.a,'F4-4 Power Couple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J$64),"✔ CLEAR","✘ TRY AGAIN"))),"✘ TRY AGAIN")</f>
        <v/>
      </c>
      <c r="E35" s="22"/>
      <c r="F35" s="23" cm="1" t="str">
        <f t="array" ref="F35">IF(E35="Show hint",Key!$B$64,"")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159</v>
      </c>
      <c r="B36" s="8" t="s">
        <v>437</v>
      </c>
      <c r="C36" s="20"/>
      <c r="D36" s="21" cm="1" t="str">
        <f t="array" ref="D36">IFERROR(_xlfn.LET(_xlpm.a,'F4-4 Power Couple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J$65),"✔ CLEAR","✘ TRY AGAIN"))),"✘ TRY AGAIN")</f>
        <v/>
      </c>
      <c r="E36" s="22"/>
      <c r="F36" s="23" cm="1" t="str">
        <f t="array" ref="F36">IF(E36="Show hint",Key!$B$65,"")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162</v>
      </c>
      <c r="B37" s="8" t="s">
        <v>441</v>
      </c>
      <c r="C37" s="20"/>
      <c r="D37" s="21" cm="1" t="str">
        <f t="array" ref="D37">IFERROR(_xlfn.LET(_xlpm.a,'F4-4 Power Couple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E$66),"✔ CLEAR","✘ TRY AGAIN"))),"✘ TRY AGAIN")</f>
        <v/>
      </c>
      <c r="E37" s="22"/>
      <c r="F37" s="23" cm="1" t="str">
        <f t="array" ref="F37">IF(E37="Show hint",Key!$B$66,"")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167</v>
      </c>
      <c r="B38" s="8" t="s">
        <v>445</v>
      </c>
      <c r="C38" s="20"/>
      <c r="D38" s="21" cm="1" t="str">
        <f t="array" ref="D38">IFERROR(_xlfn.LET(_xlpm.a,'F4-4 Power Couple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J$67),"✔ CLEAR","✘ TRY AGAIN"))),"✘ TRY AGAIN")</f>
        <v/>
      </c>
      <c r="E38" s="22"/>
      <c r="F38" s="23" cm="1" t="str">
        <f t="array" ref="F38">IF(E38="Show hint",Key!$B$67,"")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468</v>
      </c>
      <c r="B39" s="8" t="s">
        <v>469</v>
      </c>
      <c r="C39" s="11" t="s">
        <v>470</v>
      </c>
      <c r="D39" s="21" cm="1" t="str">
        <f t="array" ref="D39">IF(ISBLANK('F4-4 Arena'!$J$6),"",IF(NOT(_xlfn.ISFORMULA('F4-4 Arena'!$J$6)),"✘ That's a typed value · enter a formula",IF(ISERROR('F4-4 Arena'!$J$6),"✘ Your formula returns "&amp;IFERROR(CHOOSE(ERROR.TYPE('F4-4 Arena'!$J$6),"#NULL!","#DIV/0!","#VALUE!","#REF!","#NAME?","#NUM!","#N/A","#GETTING_DATA","#SPILL!","#CONNECT!","#BLOCKED!","#UNKNOWN!","#FIELD!","#CALC!"),"an error"),IF(NOT(AND(IFERROR(AND(ISNUMBER('F4-4 Arena'!$J$6),ABS('F4-4 Arena'!$J$6-Key!$C$68)&lt;=1E-9*MAX(1,ABS(Key!$C$68))),FALSE))),"✘ TRY AGAIN",IF(AND(OR(ISNUMBER(FIND({"=","(",",","+","-","*","/","&amp;"," ","&lt;","&gt;",":","@","^"}&amp;"MATCH"&amp;"(",UPPER(_xlfn.FORMULATEXT('F4-4 Arena'!$J$6)))))),"✔ CLEAR","✘ CLOSE · right value, but use MATCH")))))</f>
        <v/>
      </c>
      <c r="E39" s="22"/>
      <c r="F39" s="23" cm="1" t="str">
        <f t="array" ref="F39">IF(E39="Show hint",Key!$B$68,"")</f>
        <v/>
      </c>
      <c r="G39" s="24" cm="1">
        <f t="array" ref="G39">IF(LEFT(D39,1)="✔",IF(E39="Show hint",5,10),0)</f>
        <v>0</v>
      </c>
    </row>
    <row r="40" spans="1:7" ht="51.25" customHeight="1">
      <c r="A40" s="18" t="s">
        <v>473</v>
      </c>
      <c r="B40" s="8" t="s">
        <v>474</v>
      </c>
      <c r="C40" s="11" t="s">
        <v>475</v>
      </c>
      <c r="D40" s="21" cm="1" t="str">
        <f t="array" ref="D40">IF(ISBLANK('F4-4 Arena'!$J$9),"",IF(NOT(_xlfn.ISFORMULA('F4-4 Arena'!$J$9)),"✘ That's a typed value · enter a formula",IF(ISERROR('F4-4 Arena'!$J$9),"✘ Your formula returns "&amp;IFERROR(CHOOSE(ERROR.TYPE('F4-4 Arena'!$J$9),"#NULL!","#DIV/0!","#VALUE!","#REF!","#NAME?","#NUM!","#N/A","#GETTING_DATA","#SPILL!","#CONNECT!","#BLOCKED!","#UNKNOWN!","#FIELD!","#CALC!"),"an error"),IF(NOT(AND(IFERROR(AND(ISTEXT('F4-4 Arena'!$J$9),'F4-4 Arena'!$J$9=Key!$C$69),FALSE))),"✘ TRY AGAIN",IF(AND(OR(ISNUMBER(FIND({"=","(",",","+","-","*","/","&amp;"," ","&lt;","&gt;",":","@","^"}&amp;"INDEX"&amp;"(",UPPER(_xlfn.FORMULATEXT('F4-4 Arena'!$J$9))))),OR(ISNUMBER(FIND({"=","(",",","+","-","*","/","&amp;"," ","&lt;","&gt;",":","@","^"}&amp;"MATCH"&amp;"(",UPPER(_xlfn.FORMULATEXT('F4-4 Arena'!$J$9)))))),"✔ CLEAR","✘ CLOSE · right value, but use INDEX and MATCH")))))</f>
        <v/>
      </c>
      <c r="E40" s="22"/>
      <c r="F40" s="23" cm="1" t="str">
        <f t="array" ref="F40">IF(E40="Show hint",Key!$B$69,"")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478</v>
      </c>
      <c r="B41" s="8" t="s">
        <v>479</v>
      </c>
      <c r="C41" s="11" t="s">
        <v>480</v>
      </c>
      <c r="D41" s="21" cm="1" t="str">
        <f t="array" ref="D41">IF(ISBLANK('F4-4 Arena'!$J$12),"",IF(NOT(_xlfn.ISFORMULA('F4-4 Arena'!$J$12)),"✘ That's a typed value · enter a formula",IF(ISERROR('F4-4 Arena'!$J$12),"✘ Your formula returns "&amp;IFERROR(CHOOSE(ERROR.TYPE('F4-4 Arena'!$J$12),"#NULL!","#DIV/0!","#VALUE!","#REF!","#NAME?","#NUM!","#N/A","#GETTING_DATA","#SPILL!","#CONNECT!","#BLOCKED!","#UNKNOWN!","#FIELD!","#CALC!"),"an error"),IF(NOT(AND(IFERROR(AND(ISNUMBER('F4-4 Arena'!$J$12),ABS('F4-4 Arena'!$J$12-Key!$C$70)&lt;=1E-9*MAX(1,ABS(Key!$C$70))),FALSE))),"✘ TRY AGAIN",IF(AND(OR(ISNUMBER(FIND({"=","(",",","+","-","*","/","&amp;"," ","&lt;","&gt;",":","@","^"}&amp;"XMATCH"&amp;"(",UPPER(_xlfn.FORMULATEXT('F4-4 Arena'!$J$12)))))),"✔ CLEAR","✘ CLOSE · right value, but use XMATCH")))))</f>
        <v/>
      </c>
      <c r="E41" s="22"/>
      <c r="F41" s="23" cm="1" t="str">
        <f t="array" ref="F41">IF(E41="Show hint",Key!$B$70,"")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483</v>
      </c>
      <c r="B42" s="8" t="s">
        <v>484</v>
      </c>
      <c r="C42" s="11" t="s">
        <v>485</v>
      </c>
      <c r="D42" s="21" cm="1" t="str">
        <f t="array" ref="D42">IF(ISBLANK('F4-4 Arena'!$J$14),"",IF(NOT(_xlfn.ISFORMULA('F4-4 Arena'!$J$14)),"✘ That's a typed value · enter a formula",IF(ISERROR('F4-4 Arena'!$J$14),"✘ Your formula returns "&amp;IFERROR(CHOOSE(ERROR.TYPE('F4-4 Arena'!$J$14),"#NULL!","#DIV/0!","#VALUE!","#REF!","#NAME?","#NUM!","#N/A","#GETTING_DATA","#SPILL!","#CONNECT!","#BLOCKED!","#UNKNOWN!","#FIELD!","#CALC!"),"an error"),IF(NOT(AND(IFERROR(AND(ISNUMBER('F4-4 Arena'!$J$14),ABS('F4-4 Arena'!$J$14-Key!$C$71)&lt;=1E-9*MAX(1,ABS(Key!$C$71))),FALSE))),"✘ TRY AGAIN",IF(AND(OR(ISNUMBER(FIND({"=","(",",","+","-","*","/","&amp;"," ","&lt;","&gt;",":","@","^"}&amp;"INDEX"&amp;"(",UPPER(_xlfn.FORMULATEXT('F4-4 Arena'!$J$14)))))),"✔ CLEAR","✘ CLOSE · right value, but use INDEX")))))</f>
        <v/>
      </c>
      <c r="E42" s="22"/>
      <c r="F42" s="23" cm="1" t="str">
        <f t="array" ref="F42">IF(E42="Show hint",Key!$B$71,"")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Key!$E$60:$H$60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Key!$E$61:$H$61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Key!$E$62:$H$62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Key!$E$63:$H$63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F4-4 Arena'!A1" display="▶ Open F4-4 Arena (or press Ctrl+PgDn)"/>
    <hyperlink ref="C39" location="'F4-4 Arena'!J6" tooltip="Go to F4-4 Arena, cell J6" display="▶ ARENA C5 (cell J6)"/>
    <hyperlink ref="C40" location="'F4-4 Arena'!J9" tooltip="Go to F4-4 Arena, cell J9" display="▶ ARENA C6 (cell J9)"/>
    <hyperlink ref="C41" location="'F4-4 Arena'!J12" tooltip="Go to F4-4 Arena, cell J12" display="▶ ARENA C7 (cell J12)"/>
    <hyperlink ref="C42" location="'F4-4 Arena'!J14" tooltip="Go to F4-4 Arena, cell J14" display="▶ ARENA C8 (cell J14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0">
      <c r="A1" s="1" t="s">
        <v>362</v>
      </c>
    </row>
    <row r="2" spans="1:10">
      <c r="A2" s="3" t="s">
        <v>5</v>
      </c>
    </row>
    <row r="3" spans="1:10">
      <c r="A3" s="25" t="s">
        <v>6</v>
      </c>
      <c r="B3" s="26" t="s">
        <v>363</v>
      </c>
      <c r="D3" s="11" t="s">
        <v>364</v>
      </c>
    </row>
    <row r="5" spans="1:10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365</v>
      </c>
      <c r="J5" s="27" t="s">
        <v>366</v>
      </c>
    </row>
    <row r="6" spans="1:10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 t="s">
        <v>37</v>
      </c>
      <c r="J6" s="28"/>
    </row>
    <row r="7" spans="1:10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</row>
    <row r="8" spans="1:10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  <c r="I8" s="27" t="s">
        <v>365</v>
      </c>
      <c r="J8" s="27" t="s">
        <v>9</v>
      </c>
    </row>
    <row r="9" spans="1:10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5" t="s">
        <v>41</v>
      </c>
      <c r="J9" s="28"/>
    </row>
    <row r="10" spans="1:10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</row>
    <row r="11" spans="1:10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  <c r="I11" s="27" t="s">
        <v>365</v>
      </c>
      <c r="J11" s="27" t="s">
        <v>339</v>
      </c>
    </row>
    <row r="12" spans="1:10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  <c r="I12" s="5" t="s">
        <v>45</v>
      </c>
      <c r="J12" s="28"/>
    </row>
    <row r="13" spans="1:10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</row>
    <row r="14" spans="1:10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  <c r="I14" s="7" t="s">
        <v>367</v>
      </c>
      <c r="J14" s="28"/>
    </row>
    <row r="15" spans="1:10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</row>
    <row r="16" spans="1:10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</row>
    <row r="17" spans="2:6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</row>
    <row r="18" spans="2:6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</row>
    <row r="19" spans="2:6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6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</row>
  </sheetData>
  <hyperlinks>
    <hyperlink ref="D3" location="'F4-4 Power Couple'!A1" display="◀ Back to F4-4 Power Coupl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571</v>
      </c>
      <c r="B1" s="2"/>
      <c r="C1" s="2"/>
      <c r="D1" s="2"/>
      <c r="E1" s="2"/>
      <c r="F1" s="2"/>
      <c r="G1" s="2"/>
    </row>
    <row r="2" spans="1:7">
      <c r="A2" s="3" t="s">
        <v>572</v>
      </c>
    </row>
    <row r="3" spans="1:7" ht="26" customHeight="1">
      <c r="A3" s="14" cm="1" t="str">
        <f t="array" ref="A3">"SCORE "&amp;TEXT(SUM($G$12:$G$34),"0000")&amp;" / 0160"</f>
        <v>SCORE 0000 / 0160</v>
      </c>
      <c r="C3" s="15" cm="1" t="str">
        <f t="array" ref="C3">IF(SUM($G$12:$G$34)&gt;=160,"★★★",IF(SUM($G$12:$G$34)&gt;=160*0.8,"★★☆",IF(SUM($G$12:$G$34)&gt;=160*0.5,"★☆☆","☆☆☆")))</f>
        <v>☆☆☆</v>
      </c>
      <c r="D3" s="16" cm="1" t="str">
        <f t="array" ref="D3">REPT("█",ROUND(10*SUM($G$12:$G$34)/160,0))&amp;REPT("░",10-ROUND(10*SUM($G$12:$G$34)/160,0))&amp;"  "&amp;TEXT(SUM($G$12:$G$34)/160,"0%")</f>
        <v>░░░░░░░░░░  0%</v>
      </c>
      <c r="F3" s="17" cm="1" t="str">
        <f t="array" ref="F3">IF(SUM($G$12:$G$34)&gt;=160*0.5,"STAGE CLEAR! ▶ Next: Boss","")</f>
        <v/>
      </c>
    </row>
    <row r="5" spans="1:7" ht="22" customHeight="1">
      <c r="A5" s="4" t="s">
        <v>48</v>
      </c>
      <c r="B5" s="4"/>
      <c r="C5" s="4"/>
      <c r="D5" s="4"/>
      <c r="E5" s="4"/>
      <c r="F5" s="4"/>
      <c r="G5" s="4"/>
    </row>
    <row r="6" spans="1:7">
      <c r="A6" s="6" t="s">
        <v>49</v>
      </c>
      <c r="B6" s="6" t="s">
        <v>50</v>
      </c>
      <c r="C6" s="6" t="s">
        <v>51</v>
      </c>
      <c r="D6" s="6"/>
      <c r="E6" s="6"/>
      <c r="F6" s="6"/>
      <c r="G6" s="6"/>
    </row>
    <row r="7" spans="1:7" ht="67" customHeight="1">
      <c r="A7" s="18" t="s">
        <v>52</v>
      </c>
      <c r="B7" s="8" t="s">
        <v>502</v>
      </c>
      <c r="C7" s="19" t="s">
        <v>241</v>
      </c>
    </row>
    <row r="8" spans="1:7" ht="67" customHeight="1">
      <c r="A8" s="18" t="s">
        <v>55</v>
      </c>
      <c r="B8" s="8" t="s">
        <v>503</v>
      </c>
      <c r="C8" s="19" t="s">
        <v>143</v>
      </c>
    </row>
    <row r="10" spans="1:7" ht="22" customHeight="1">
      <c r="A10" s="4" t="s">
        <v>58</v>
      </c>
      <c r="B10" s="4"/>
      <c r="C10" s="4"/>
      <c r="D10" s="4"/>
      <c r="E10" s="4"/>
      <c r="F10" s="4"/>
      <c r="G10" s="4"/>
    </row>
    <row r="11" spans="1:7">
      <c r="A11" s="6" t="s">
        <v>49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</v>
      </c>
      <c r="G11" s="6" t="s">
        <v>63</v>
      </c>
    </row>
    <row r="12" spans="1:7" ht="35.5" customHeight="1">
      <c r="A12" s="18" t="s">
        <v>67</v>
      </c>
      <c r="B12" s="8" t="s">
        <v>505</v>
      </c>
      <c r="C12" s="20"/>
      <c r="D12" s="21" cm="1" t="str">
        <f t="array" ref="D12">IFERROR(_xlfn.LET(_xlpm.a,'F4-5 Tiers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J$72),"✔ CLEAR","✘ TRY AGAIN"))),"✘ TRY AGAIN")</f>
        <v/>
      </c>
      <c r="E12" s="22"/>
      <c r="F12" s="23" cm="1" t="str">
        <f t="array" ref="F12">IF(E12="Show hint",Key!$B$72,"")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72</v>
      </c>
      <c r="B13" s="8" t="s">
        <v>507</v>
      </c>
      <c r="C13" s="20"/>
      <c r="D13" s="21" cm="1" t="str">
        <f t="array" ref="D13">IFERROR(_xlfn.LET(_xlpm.a,'F4-5 Tiers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J$73),"✔ CLEAR","✘ TRY AGAIN"))),"✘ TRY AGAIN")</f>
        <v/>
      </c>
      <c r="E13" s="22"/>
      <c r="F13" s="23" cm="1" t="str">
        <f t="array" ref="F13">IF(E13="Show hint",Key!$B$73,"")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79</v>
      </c>
      <c r="B14" s="8" t="s">
        <v>509</v>
      </c>
      <c r="C14" s="20"/>
      <c r="D14" s="21" cm="1" t="str">
        <f t="array" ref="D14">IFERROR(_xlfn.LET(_xlpm.a,'F4-5 Tier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E$74),"✔ CLEAR","✘ TRY AGAIN"))),"✘ TRY AGAIN")</f>
        <v/>
      </c>
      <c r="E14" s="22"/>
      <c r="F14" s="23" cm="1" t="str">
        <f t="array" ref="F14">IF(E14="Show hint",Key!$B$74,"")</f>
        <v/>
      </c>
      <c r="G14" s="24" cm="1">
        <f t="array" ref="G14">IF(LEFT(D14,1)="✔",IF(E14="Show hint",5,10),0)</f>
        <v>0</v>
      </c>
    </row>
    <row r="15" spans="1:7" ht="51.25" customHeight="1">
      <c r="A15" s="18" t="s">
        <v>99</v>
      </c>
      <c r="B15" s="8" t="s">
        <v>511</v>
      </c>
      <c r="C15" s="20"/>
      <c r="D15" s="21" cm="1" t="str">
        <f t="array" ref="D15">IFERROR(_xlfn.LET(_xlpm.a,'F4-5 Tier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J$75),"✔ CLEAR","✘ TRY AGAIN"))),"✘ TRY AGAIN")</f>
        <v/>
      </c>
      <c r="E15" s="22"/>
      <c r="F15" s="23" cm="1" t="str">
        <f t="array" ref="F15">IF(E15="Show hint",Key!$B$75,"")</f>
        <v/>
      </c>
      <c r="G15" s="24" cm="1">
        <f t="array" ref="G15">IF(LEFT(D15,1)="✔",IF(E15="Show hint",5,10),0)</f>
        <v>0</v>
      </c>
    </row>
    <row r="16" spans="1:7" ht="51.25" customHeight="1">
      <c r="A16" s="18" t="s">
        <v>104</v>
      </c>
      <c r="B16" s="8" t="s">
        <v>180</v>
      </c>
      <c r="C16" s="20"/>
      <c r="D16" s="21" cm="1" t="str">
        <f t="array" ref="D16">IFERROR(_xlfn.LET(_xlpm.a,'F4-5 Tier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J$76),"✔ CLEAR","✘ TRY AGAIN"))),"✘ TRY AGAIN")</f>
        <v/>
      </c>
      <c r="E16" s="22"/>
      <c r="F16" s="23" cm="1" t="str">
        <f t="array" ref="F16">IF(E16="Show hint",Key!$B$76,"")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109</v>
      </c>
      <c r="B17" s="8" t="s">
        <v>182</v>
      </c>
      <c r="C17" s="20"/>
      <c r="D17" s="21" cm="1" t="str">
        <f t="array" ref="D17">IFERROR(_xlfn.LET(_xlpm.a,'F4-5 Tier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G$77),"✔ CLEAR","✘ TRY AGAIN"))),"✘ TRY AGAIN")</f>
        <v/>
      </c>
      <c r="E17" s="22"/>
      <c r="F17" s="23" cm="1" t="str">
        <f t="array" ref="F17">IF(E17="Show hint",Key!$B$77,"")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114</v>
      </c>
      <c r="B18" s="8" t="s">
        <v>532</v>
      </c>
      <c r="C18" s="20"/>
      <c r="D18" s="21" cm="1" t="str">
        <f t="array" ref="D18">IFERROR(_xlfn.LET(_xlpm.a,'F4-5 Tier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T$78),"✔ CLEAR","✘ TRY AGAIN"))),"✘ TRY AGAIN")</f>
        <v/>
      </c>
      <c r="E18" s="22"/>
      <c r="F18" s="23" cm="1" t="str">
        <f t="array" ref="F18">IF(E18="Show hint",Key!$B$78,"")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119</v>
      </c>
      <c r="B19" s="8" t="s">
        <v>537</v>
      </c>
      <c r="C19" s="20"/>
      <c r="D19" s="21" cm="1" t="str">
        <f t="array" ref="D19">IFERROR(_xlfn.LET(_xlpm.a,'F4-5 Tier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F$79),"✔ CLEAR","✘ TRY AGAIN"))),"✘ TRY AGAIN")</f>
        <v/>
      </c>
      <c r="E19" s="22"/>
      <c r="F19" s="23" cm="1" t="str">
        <f t="array" ref="F19">IF(E19="Show hint",Key!$B$79,"")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124</v>
      </c>
      <c r="B20" s="8" t="s">
        <v>546</v>
      </c>
      <c r="C20" s="20"/>
      <c r="D20" s="21" cm="1" t="str">
        <f t="array" ref="D20">IFERROR(_xlfn.LET(_xlpm.a,'F4-5 Tier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J$80),"✔ CLEAR","✘ TRY AGAIN"))),"✘ TRY AGAIN")</f>
        <v/>
      </c>
      <c r="E20" s="22"/>
      <c r="F20" s="23" cm="1" t="str">
        <f t="array" ref="F20">IF(E20="Show hint",Key!$B$80,"")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129</v>
      </c>
      <c r="B21" s="8" t="s">
        <v>550</v>
      </c>
      <c r="C21" s="20"/>
      <c r="D21" s="21" cm="1" t="str">
        <f t="array" ref="D21">IFERROR(_xlfn.LET(_xlpm.a,'F4-5 Tier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E$81),"✔ CLEAR","✘ TRY AGAIN"))),"✘ TRY AGAIN")</f>
        <v/>
      </c>
      <c r="E21" s="22"/>
      <c r="F21" s="23" cm="1" t="str">
        <f t="array" ref="F21">IF(E21="Show hint",Key!$B$81,"")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131</v>
      </c>
      <c r="B23" s="4"/>
      <c r="C23" s="4"/>
      <c r="D23" s="4"/>
      <c r="E23" s="4"/>
      <c r="F23" s="4"/>
      <c r="G23" s="4"/>
    </row>
    <row r="24" spans="1:7">
      <c r="A24" s="6" t="s">
        <v>49</v>
      </c>
      <c r="B24" s="6" t="s">
        <v>59</v>
      </c>
      <c r="C24" s="6" t="s">
        <v>60</v>
      </c>
      <c r="D24" s="6" t="s">
        <v>61</v>
      </c>
      <c r="E24" s="6" t="s">
        <v>62</v>
      </c>
      <c r="F24" s="6" t="s">
        <v>1</v>
      </c>
      <c r="G24" s="6" t="s">
        <v>63</v>
      </c>
    </row>
    <row r="25" spans="1:7" ht="35.5" customHeight="1">
      <c r="A25" s="18" t="s">
        <v>137</v>
      </c>
      <c r="B25" s="8" t="s">
        <v>553</v>
      </c>
      <c r="C25" s="20"/>
      <c r="D25" s="21" cm="1" t="str">
        <f t="array" ref="D25">IFERROR(IF('F4-5 Tiers'!$C$25&amp;""="","",IF('F4-5 Tiers'!$C$25&amp;""=Key!$C$82&amp;"","✔ CLEAR","✘ TRY AGAIN")),"✘ TRY AGAIN")</f>
        <v/>
      </c>
      <c r="E25" s="22"/>
      <c r="F25" s="23" cm="1" t="str">
        <f t="array" ref="F25">IF(E25="Show hint",Key!$B$82,"")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144</v>
      </c>
      <c r="B26" s="8" t="s">
        <v>556</v>
      </c>
      <c r="C26" s="20"/>
      <c r="D26" s="21" cm="1" t="str">
        <f t="array" ref="D26">IFERROR(IF('F4-5 Tiers'!$C$26&amp;""="","",IF('F4-5 Tiers'!$C$26&amp;""=Key!$C$83&amp;"","✔ CLEAR","✘ TRY AGAIN")),"✘ TRY AGAIN")</f>
        <v/>
      </c>
      <c r="E26" s="22"/>
      <c r="F26" s="23" cm="1" t="str">
        <f t="array" ref="F26">IF(E26="Show hint",Key!$B$83,"")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146</v>
      </c>
      <c r="B28" s="4"/>
      <c r="C28" s="4"/>
      <c r="D28" s="4"/>
      <c r="E28" s="4"/>
      <c r="F28" s="4"/>
      <c r="G28" s="4"/>
    </row>
    <row r="29" spans="1:7">
      <c r="B29" s="11" t="s">
        <v>557</v>
      </c>
    </row>
    <row r="30" spans="1:7">
      <c r="A30" s="6" t="s">
        <v>49</v>
      </c>
      <c r="B30" s="6" t="s">
        <v>59</v>
      </c>
      <c r="C30" s="6" t="s">
        <v>60</v>
      </c>
      <c r="D30" s="6" t="s">
        <v>61</v>
      </c>
      <c r="E30" s="6" t="s">
        <v>62</v>
      </c>
      <c r="F30" s="6" t="s">
        <v>1</v>
      </c>
      <c r="G30" s="6" t="s">
        <v>63</v>
      </c>
    </row>
    <row r="31" spans="1:7" ht="35.5" customHeight="1">
      <c r="A31" s="18" t="s">
        <v>154</v>
      </c>
      <c r="B31" s="8" t="s">
        <v>553</v>
      </c>
      <c r="C31" s="20"/>
      <c r="D31" s="21" cm="1" t="str">
        <f t="array" ref="D31">IFERROR(_xlfn.LET(_xlpm.a,'F4-5 Tiers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E$84),"✔ CLEAR","✘ TRY AGAIN"))),"✘ TRY AGAIN")</f>
        <v/>
      </c>
      <c r="E31" s="22"/>
      <c r="F31" s="23" cm="1" t="str">
        <f t="array" ref="F31">IF(E31="Show hint",Key!$B$84,"")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159</v>
      </c>
      <c r="B32" s="8" t="s">
        <v>556</v>
      </c>
      <c r="C32" s="20"/>
      <c r="D32" s="21" cm="1" t="str">
        <f t="array" ref="D32">IFERROR(_xlfn.LET(_xlpm.a,'F4-5 Tiers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H$85),"✔ CLEAR","✘ TRY AGAIN"))),"✘ TRY AGAIN")</f>
        <v/>
      </c>
      <c r="E32" s="22"/>
      <c r="F32" s="23" cm="1" t="str">
        <f t="array" ref="F32">IF(E32="Show hint",Key!$B$85,"")</f>
        <v/>
      </c>
      <c r="G32" s="24" cm="1">
        <f t="array" ref="G32">IF(LEFT(D32,1)="✔",IF(E32="Show hint",5,10),0)</f>
        <v>0</v>
      </c>
    </row>
    <row r="33" spans="1:7" ht="51.25" customHeight="1">
      <c r="A33" s="18" t="s">
        <v>162</v>
      </c>
      <c r="B33" s="8" t="s">
        <v>567</v>
      </c>
      <c r="C33" s="11" t="s">
        <v>164</v>
      </c>
      <c r="D33" s="21" cm="1" t="str">
        <f t="array" ref="D33">IF(ISBLANK('F4-5 Arena'!$J$6),"",IF(NOT(_xlfn.ISFORMULA('F4-5 Arena'!$J$6)),"✘ That's a typed value · enter a formula",IF(ISERROR('F4-5 Arena'!$J$6),"✘ Your formula returns "&amp;IFERROR(CHOOSE(ERROR.TYPE('F4-5 Arena'!$J$6),"#NULL!","#DIV/0!","#VALUE!","#REF!","#NAME?","#NUM!","#N/A","#GETTING_DATA","#SPILL!","#CONNECT!","#BLOCKED!","#UNKNOWN!","#FIELD!","#CALC!"),"an error"),IF(NOT(AND(IFERROR(AND(ISNUMBER('F4-5 Arena'!$J$6),ABS('F4-5 Arena'!$J$6-Key!$C$86)&lt;=1E-9*MAX(1,ABS(Key!$C$86))),FALSE))),"✘ TRY AGAIN",IF(AND(OR(ISNUMBER(FIND({"=","(",",","+","-","*","/","&amp;"," ","&lt;","&gt;",":","@","^"}&amp;"XLOOKUP"&amp;"(",UPPER(_xlfn.FORMULATEXT('F4-5 Arena'!$J$6)))))),IF(ISNUMBER(FIND("-1",_xlfn.FORMULATEXT('F4-5 Arena'!$J$6))),"✔ CLEAR","✘ CLOSE · your formula needs -1"),"✘ CLOSE · right value, but use XLOOKUP")))))</f>
        <v/>
      </c>
      <c r="E33" s="22"/>
      <c r="F33" s="23" cm="1" t="str">
        <f t="array" ref="F33">IF(E33="Show hint",Key!$B$86,"")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167</v>
      </c>
      <c r="B34" s="8" t="s">
        <v>570</v>
      </c>
      <c r="C34" s="11" t="s">
        <v>257</v>
      </c>
      <c r="D34" s="21" cm="1" t="str">
        <f t="array" ref="D34">IF(ISBLANK('F4-5 Arena'!$J$9),"",IF(NOT(_xlfn.ISFORMULA('F4-5 Arena'!$J$9)),"✘ That's a typed value · enter a formula",IF(ISERROR('F4-5 Arena'!$J$9),"✘ Your formula returns "&amp;IFERROR(CHOOSE(ERROR.TYPE('F4-5 Arena'!$J$9),"#NULL!","#DIV/0!","#VALUE!","#REF!","#NAME?","#NUM!","#N/A","#GETTING_DATA","#SPILL!","#CONNECT!","#BLOCKED!","#UNKNOWN!","#FIELD!","#CALC!"),"an error"),IF(NOT(AND(IFERROR(AND(ISTEXT('F4-5 Arena'!$J$9),'F4-5 Arena'!$J$9=Key!$C$87),FALSE))),"✘ TRY AGAIN",IF(AND(OR(ISNUMBER(FIND({"=","(",",","+","-","*","/","&amp;"," ","&lt;","&gt;",":","@","^"}&amp;"VLOOKUP"&amp;"(",UPPER(_xlfn.FORMULATEXT('F4-5 Arena'!$J$9)))))),"✔ CLEAR","✘ CLOSE · right value, but use VLOOKUP")))))</f>
        <v/>
      </c>
      <c r="E34" s="22"/>
      <c r="F34" s="23" cm="1" t="str">
        <f t="array" ref="F34">IF(E34="Show hint",Key!$B$87,"")</f>
        <v/>
      </c>
      <c r="G34" s="24" cm="1">
        <f t="array" ref="G34">IF(LEFT(D34,1)="✔",IF(E34="Show hint",5,10),0)</f>
        <v>0</v>
      </c>
    </row>
  </sheetData>
  <sheetProtection sheet="1" objects="1" scenarios="1" formatColumns="0" formatRows="0"/>
  <conditionalFormatting sqref="D12:D34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0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Key!$E$82:$H$82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Key!$E$83:$H$83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</dataValidations>
  <hyperlinks>
    <hyperlink ref="B29" location="'F4-5 Arena'!A1" display="▶ Open F4-5 Arena (or press Ctrl+PgDn)"/>
    <hyperlink ref="C33" location="'F4-5 Arena'!J6" tooltip="Go to F4-5 Arena, cell J6" display="▶ ARENA C3 (cell J6)"/>
    <hyperlink ref="C34" location="'F4-5 Arena'!J9" tooltip="Go to F4-5 Arena, cell J9" display="▶ ARENA C4 (cell J9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3">
      <c r="A1" s="1" t="s">
        <v>488</v>
      </c>
    </row>
    <row r="2" spans="1:13">
      <c r="A2" s="3" t="s">
        <v>5</v>
      </c>
    </row>
    <row r="3" spans="1:13">
      <c r="A3" s="25" t="s">
        <v>6</v>
      </c>
      <c r="B3" s="26" t="s">
        <v>489</v>
      </c>
      <c r="D3" s="11" t="s">
        <v>490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491</v>
      </c>
      <c r="J5" s="27" t="s">
        <v>492</v>
      </c>
      <c r="L5" s="27" t="s">
        <v>495</v>
      </c>
      <c r="M5" s="27" t="s">
        <v>492</v>
      </c>
    </row>
    <row r="6" spans="1:13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>
        <v>64</v>
      </c>
      <c r="J6" s="29"/>
      <c r="L6" s="5">
        <v>0</v>
      </c>
      <c r="M6" s="30">
        <v>0</v>
      </c>
    </row>
    <row r="7" spans="1:13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  <c r="L7" s="5">
        <v>10</v>
      </c>
      <c r="M7" s="30">
        <v>0.05</v>
      </c>
    </row>
    <row r="8" spans="1:13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  <c r="I8" s="27" t="s">
        <v>493</v>
      </c>
      <c r="J8" s="27" t="s">
        <v>494</v>
      </c>
      <c r="L8" s="5">
        <v>50</v>
      </c>
      <c r="M8" s="30">
        <v>0.1</v>
      </c>
    </row>
    <row r="9" spans="1:13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5">
        <v>83</v>
      </c>
      <c r="J9" s="28"/>
      <c r="L9" s="5">
        <v>100</v>
      </c>
      <c r="M9" s="30">
        <v>0.15</v>
      </c>
    </row>
    <row r="10" spans="1:13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</row>
    <row r="11" spans="1:13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</row>
    <row r="12" spans="1:13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  <c r="L12" s="27" t="s">
        <v>496</v>
      </c>
      <c r="M12" s="27" t="s">
        <v>494</v>
      </c>
    </row>
    <row r="13" spans="1:13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  <c r="L13" s="5">
        <v>0</v>
      </c>
      <c r="M13" s="5" t="s">
        <v>497</v>
      </c>
    </row>
    <row r="14" spans="1:13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  <c r="L14" s="5">
        <v>60</v>
      </c>
      <c r="M14" s="5" t="s">
        <v>498</v>
      </c>
    </row>
    <row r="15" spans="1:13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  <c r="L15" s="5">
        <v>70</v>
      </c>
      <c r="M15" s="5" t="s">
        <v>499</v>
      </c>
    </row>
    <row r="16" spans="1:13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  <c r="L16" s="5">
        <v>80</v>
      </c>
      <c r="M16" s="5" t="s">
        <v>500</v>
      </c>
    </row>
    <row r="17" spans="2:13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  <c r="L17" s="5">
        <v>90</v>
      </c>
      <c r="M17" s="5" t="s">
        <v>501</v>
      </c>
    </row>
    <row r="18" spans="2:13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</row>
    <row r="19" spans="2:13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13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</row>
  </sheetData>
  <hyperlinks>
    <hyperlink ref="D3" location="'F4-5 Tiers'!A1" display="◀ Back to F4-5 Tier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657</v>
      </c>
      <c r="B1" s="2"/>
      <c r="C1" s="2"/>
      <c r="D1" s="2"/>
      <c r="E1" s="2"/>
      <c r="F1" s="2"/>
      <c r="G1" s="2"/>
    </row>
    <row r="2" spans="1:7">
      <c r="A2" s="3" t="s">
        <v>658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577</v>
      </c>
      <c r="B5" s="4"/>
      <c r="C5" s="4"/>
      <c r="D5" s="4"/>
      <c r="E5" s="4"/>
      <c r="F5" s="4"/>
      <c r="G5" s="4"/>
    </row>
    <row r="6" spans="1:7">
      <c r="B6" s="7" t="s">
        <v>578</v>
      </c>
      <c r="C6" s="31"/>
    </row>
    <row r="7" spans="1:7">
      <c r="B7" s="7" t="s">
        <v>579</v>
      </c>
      <c r="C7" s="31"/>
    </row>
    <row r="8" spans="1:7">
      <c r="B8" s="7" t="s">
        <v>580</v>
      </c>
      <c r="C8" s="32" cm="1" t="str">
        <f t="array" ref="C8">IF(OR(C6="",C7=""),"",ROUND(MOD(C7-C6,1)*1440,0))</f>
        <v/>
      </c>
    </row>
    <row r="9" spans="1:7">
      <c r="B9" s="7" t="s">
        <v>581</v>
      </c>
      <c r="C9" s="32">
        <v>15</v>
      </c>
    </row>
    <row r="10" spans="1:7">
      <c r="B10" s="7" t="s">
        <v>582</v>
      </c>
      <c r="C10" s="12" cm="1" t="str">
        <f t="array" ref="C10">IF(AND(SUM('F4-1 Seeker'!$G$12:$G$34)&gt;=160*0.5,SUM('F4-2 Safety Net'!$G$12:$G$34)&gt;=160*0.5,SUM('F4-3 Old School'!$G$12:$G$34)&gt;=160*0.5,SUM('F4-4 Power Couple'!$G$14:$G$42)&gt;=220*0.5,SUM('F4-5 Tiers'!$G$12:$G$34)&gt;=160*0.5),"OPEN","LOCKED")</f>
        <v>LOCKED</v>
      </c>
      <c r="D10" s="33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583</v>
      </c>
      <c r="B12" s="4"/>
      <c r="C12" s="4"/>
      <c r="D12" s="4"/>
      <c r="E12" s="4"/>
      <c r="F12" s="4"/>
      <c r="G12" s="4"/>
    </row>
    <row r="13" spans="1:7">
      <c r="A13" s="6" t="s">
        <v>49</v>
      </c>
      <c r="B13" s="6" t="s">
        <v>59</v>
      </c>
      <c r="C13" s="6" t="s">
        <v>60</v>
      </c>
      <c r="D13" s="6" t="s">
        <v>61</v>
      </c>
      <c r="E13" s="6" t="s">
        <v>62</v>
      </c>
      <c r="F13" s="6" t="s">
        <v>1</v>
      </c>
      <c r="G13" s="6" t="s">
        <v>63</v>
      </c>
    </row>
    <row r="14" spans="1:7" ht="35.5" customHeight="1">
      <c r="A14" s="18" t="s">
        <v>585</v>
      </c>
      <c r="B14" s="33" cm="1" t="str">
        <f t="array" ref="B14">IF($C$10="OPEN","Which XLOOKUP match_mode returns an exact match or the next smaller item?  (from F4-5 Tiers)","LOCKED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$88:$E$88),"✔ CLEAR","✘ TRY AGAIN"))),"✘ TRY AGAIN"),"LOCKED")</f>
        <v>LOCKED</v>
      </c>
      <c r="E14" s="22"/>
      <c r="F14" s="23" cm="1" t="str">
        <f t="array" ref="F14">IF(E14="Show hint",Key!$B$88,"")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587</v>
      </c>
      <c r="B15" s="33" cm="1" t="str">
        <f t="array" ref="B15">IF($C$10="OPEN","For an approximate VLOOKUP, how must the first column be sorted?  (from F4-5 Tiers)","LOCKED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$89:$H$89),"✔ CLEAR","✘ TRY AGAIN"))),"✘ TRY AGAIN"),"LOCKED")</f>
        <v>LOCKED</v>
      </c>
      <c r="E15" s="22"/>
      <c r="F15" s="23" cm="1" t="str">
        <f t="array" ref="F15">IF(E15="Show hint",Key!$B$89,"")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589</v>
      </c>
      <c r="B16" s="33" cm="1" t="str">
        <f t="array" ref="B16">IF($C$10="OPEN","Which XLOOKUP argument number sets the result when no match is found?  (from F4-2 Safety Net)","LOCKED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$90:$H$90),"✔ CLEAR","✘ TRY AGAIN"))),"✘ TRY AGAIN"),"LOCKED")</f>
        <v>LOCKED</v>
      </c>
      <c r="E16" s="22"/>
      <c r="F16" s="23" cm="1" t="str">
        <f t="array" ref="F16">IF(E16="Show hint",Key!$B$90,"")</f>
        <v/>
      </c>
      <c r="G16" s="24" cm="1">
        <f t="array" ref="G16">IF(LEFT(D16,1)="✔",IF(E16="Show hint",5,10),0)</f>
        <v>0</v>
      </c>
    </row>
    <row r="17" spans="1:7" ht="51.25" customHeight="1">
      <c r="A17" s="18" t="s">
        <v>536</v>
      </c>
      <c r="B17" s="33" cm="1" t="str">
        <f t="array" ref="B17">IF($C$10="OPEN","If the return array is E6:F20, how many columns does the result spill into?  (from F4-2 Safety Net)","LOCKED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$91:$F$91),"✔ CLEAR","✘ TRY AGAIN"))),"✘ TRY AGAIN"),"LOCKED")</f>
        <v>LOCKED</v>
      </c>
      <c r="E17" s="22"/>
      <c r="F17" s="23" cm="1" t="str">
        <f t="array" ref="F17">IF(E17="Show hint",Key!$B$91,"")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595</v>
      </c>
      <c r="B18" s="33" cm="1" t="str">
        <f t="array" ref="B18">IF($C$10="OPEN","Which wildcard matches any number of characters?  (from F3-1 Counters)","LOCKED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$92:$F$92),"✔ CLEAR","✘ TRY AGAIN"))),"✘ TRY AGAIN"),"LOCKED")</f>
        <v>LOCKED</v>
      </c>
      <c r="E18" s="22"/>
      <c r="F18" s="23" cm="1" t="str">
        <f t="array" ref="F18">IF(E18="Show hint",Key!$B$92,"")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604</v>
      </c>
      <c r="B19" s="33" cm="1" t="str">
        <f t="array" ref="B19">IF($C$10="OPEN","Which function adds values that meet one condition?  (from F3-2 Money Bags)","LOCKED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$93:$J$93),"✔ CLEAR","✘ TRY AGAIN"))),"✘ TRY AGAIN"),"LOCKED")</f>
        <v>LOCKED</v>
      </c>
      <c r="E19" s="22"/>
      <c r="F19" s="23" cm="1" t="str">
        <f t="array" ref="F19">IF(E19="Show hint",Key!$B$93,"")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613</v>
      </c>
      <c r="B20" s="33" cm="1" t="str">
        <f t="array" ref="B20">IF($C$10="OPEN","Which function averages values that meet one condition?  (from F3-2 Money Bags)","LOCKED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$94:$J$94),"✔ CLEAR","✘ TRY AGAIN"))),"✘ TRY AGAIN"),"LOCKED")</f>
        <v>LOCKED</v>
      </c>
      <c r="E20" s="22"/>
      <c r="F20" s="23" cm="1" t="str">
        <f t="array" ref="F20">IF(E20="Show hint",Key!$B$94,"")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622</v>
      </c>
      <c r="B21" s="33" cm="1" t="str">
        <f t="array" ref="B21">IF($C$10="OPEN","Which function counts rows that meet several conditions?  (from F3-3 Multi-Filter)","LOCKED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J$95),"✔ CLEAR","✘ TRY AGAIN"))),"✘ TRY AGAIN"),"LOCKED")</f>
        <v>LOCKED</v>
      </c>
      <c r="E21" s="22"/>
      <c r="F21" s="23" cm="1" t="str">
        <f t="array" ref="F21">IF(E21="Show hint",Key!$B$95,"")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623</v>
      </c>
      <c r="B23" s="4"/>
      <c r="C23" s="4"/>
      <c r="D23" s="4"/>
      <c r="E23" s="4"/>
      <c r="F23" s="4"/>
      <c r="G23" s="4"/>
    </row>
    <row r="24" spans="1:7">
      <c r="B24" s="11" t="s">
        <v>624</v>
      </c>
    </row>
    <row r="25" spans="1:7">
      <c r="A25" s="6" t="s">
        <v>49</v>
      </c>
      <c r="B25" s="6" t="s">
        <v>59</v>
      </c>
      <c r="C25" s="6" t="s">
        <v>60</v>
      </c>
      <c r="D25" s="6" t="s">
        <v>61</v>
      </c>
      <c r="E25" s="6" t="s">
        <v>62</v>
      </c>
      <c r="F25" s="6" t="s">
        <v>1</v>
      </c>
      <c r="G25" s="6" t="s">
        <v>63</v>
      </c>
    </row>
    <row r="26" spans="1:7" ht="35.5" customHeight="1">
      <c r="A26" s="18" t="s">
        <v>627</v>
      </c>
      <c r="B26" s="33" cm="1" t="str">
        <f t="array" ref="B26">IF($C$10="OPEN","In J6 return the Price of the ID in I6 with XLOOKUP.","LOCKED · earn ★ on every stage to open the Boss gate")</f>
        <v>LOCKED · earn ★ on every stage to open the Boss gate</v>
      </c>
      <c r="C26" s="11" t="s">
        <v>628</v>
      </c>
      <c r="D26" s="21" cm="1" t="str">
        <f t="array" ref="D26">IF($C$10="OPEN",IF(ISBLANK('Boss Arena'!$J$6),"",IF(NOT(_xlfn.ISFORMULA('Boss Arena'!$J$6)),"✘ That's a typed value · enter a formula",IF(ISERROR('Boss Arena'!$J$6),"✘ Your formula returns "&amp;IFERROR(CHOOSE(ERROR.TYPE('Boss Arena'!$J$6),"#NULL!","#DIV/0!","#VALUE!","#REF!","#NAME?","#NUM!","#N/A","#GETTING_DATA","#SPILL!","#CONNECT!","#BLOCKED!","#UNKNOWN!","#FIELD!","#CALC!"),"an error"),IF(NOT(AND(IFERROR(AND(ISNUMBER('Boss Arena'!$J$6),ABS('Boss Arena'!$J$6-Key!$C$96)&lt;=1E-9*MAX(1,ABS(Key!$C$96))),FALSE))),"✘ TRY AGAIN",IF(AND(OR(ISNUMBER(FIND({"=","(",",","+","-","*","/","&amp;"," ","&lt;","&gt;",":","@","^"}&amp;"XLOOKUP"&amp;"(",UPPER(_xlfn.FORMULATEXT('Boss Arena'!$J$6)))))),"✔ CLEAR","✘ CLOSE · right value, but use XLOOKUP"))))),"LOCKED")</f>
        <v>LOCKED</v>
      </c>
      <c r="E26" s="22"/>
      <c r="F26" s="23" cm="1" t="str">
        <f t="array" ref="F26">IF(E26="Show hint",Key!$B$96,"")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631</v>
      </c>
      <c r="B27" s="33" cm="1" t="str">
        <f t="array" ref="B27">IF($C$10="OPEN","In J9 return the Stock of I9 with locked ranges, then fill down to J12.","LOCKED · earn ★ on every stage to open the Boss gate")</f>
        <v>LOCKED · earn ★ on every stage to open the Boss gate</v>
      </c>
      <c r="C27" s="11" t="s">
        <v>632</v>
      </c>
      <c r="D27" s="21" cm="1" t="str">
        <f t="array" ref="D27">IF($C$10="OPEN",IF(COUNTA('Boss Arena'!$J$9,'Boss Arena'!$J$10,'Boss Arena'!$J$11,'Boss Arena'!$J$12)=0,"",IF(OR(NOT(_xlfn.ISFORMULA('Boss Arena'!$J$9)),NOT(_xlfn.ISFORMULA('Boss Arena'!$J$10)),NOT(_xlfn.ISFORMULA('Boss Arena'!$J$11)),NOT(_xlfn.ISFORMULA('Boss Arena'!$J$12))),"✘ Some cells aren't formulas yet",IF(OR(ISERROR('Boss Arena'!$J$9),ISERROR('Boss Arena'!$J$10),ISERROR('Boss Arena'!$J$11),ISERROR('Boss Arena'!$J$12)),"✘ Some cells show an error",IF(NOT(AND(IFERROR(AND(ISNUMBER('Boss Arena'!$J$9),ABS('Boss Arena'!$J$9-Key!$E$97)&lt;=1E-9*MAX(1,ABS(Key!$E$97))),FALSE),IFERROR(AND(ISNUMBER('Boss Arena'!$J$10),ABS('Boss Arena'!$J$10-Key!$F$97)&lt;=1E-9*MAX(1,ABS(Key!$F$97))),FALSE),IFERROR(AND(ISNUMBER('Boss Arena'!$J$11),ABS('Boss Arena'!$J$11-Key!$G$97)&lt;=1E-9*MAX(1,ABS(Key!$G$97))),FALSE),IFERROR(AND(ISNUMBER('Boss Arena'!$J$12),ABS('Boss Arena'!$J$12-Key!$H$97)&lt;=1E-9*MAX(1,ABS(Key!$H$97))),FALSE))),"✘ TRY AGAIN",IF(AND(OR(ISNUMBER(FIND({"=","(",",","+","-","*","/","&amp;"," ","&lt;","&gt;",":","@","^"}&amp;"XLOOKUP"&amp;"(",UPPER(_xlfn.FORMULATEXT('Boss Arena'!$J$9)))))),IF(ISNUMBER(FIND("$",_xlfn.FORMULATEXT('Boss Arena'!$J$9))),"✔ CLEAR","✘ CLOSE · add $ so it fills correctly (F4)"),"✘ CLOSE · right value, but use XLOOKUP"))))),"LOCKED")</f>
        <v>LOCKED</v>
      </c>
      <c r="E27" s="22"/>
      <c r="F27" s="23" cm="1" t="str">
        <f t="array" ref="F27">IF(E27="Show hint",Key!$B$97,"")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635</v>
      </c>
      <c r="B28" s="33" cm="1" t="str">
        <f t="array" ref="B28">IF($C$10="OPEN","In J15 look up the Product for I15 and show ""Not found"" when it is missing.","LOCKED · earn ★ on every stage to open the Boss gate")</f>
        <v>LOCKED · earn ★ on every stage to open the Boss gate</v>
      </c>
      <c r="C28" s="11" t="s">
        <v>636</v>
      </c>
      <c r="D28" s="21" cm="1" t="str">
        <f t="array" ref="D28">IF($C$10="OPEN",IF(ISBLANK('Boss Arena'!$J$15),"",IF(NOT(_xlfn.ISFORMULA('Boss Arena'!$J$15)),"✘ That's a typed value · enter a formula",IF(ISERROR('Boss Arena'!$J$15),"✘ Your formula returns "&amp;IFERROR(CHOOSE(ERROR.TYPE('Boss Arena'!$J$15),"#NULL!","#DIV/0!","#VALUE!","#REF!","#NAME?","#NUM!","#N/A","#GETTING_DATA","#SPILL!","#CONNECT!","#BLOCKED!","#UNKNOWN!","#FIELD!","#CALC!"),"an error"),IF(NOT(AND(IFERROR(AND(ISTEXT('Boss Arena'!$J$15),'Boss Arena'!$J$15=Key!$C$98),FALSE))),"✘ TRY AGAIN",IF(AND(OR(ISNUMBER(FIND({"=","(",",","+","-","*","/","&amp;"," ","&lt;","&gt;",":","@","^"}&amp;"XLOOKUP"&amp;"(",UPPER(_xlfn.FORMULATEXT('Boss Arena'!$J$15)))))),"✔ CLEAR","✘ CLOSE · right value, but use XLOOKUP"))))),"LOCKED")</f>
        <v>LOCKED</v>
      </c>
      <c r="E28" s="22"/>
      <c r="F28" s="23" cm="1" t="str">
        <f t="array" ref="F28">IF(E28="Show hint",Key!$B$98,"")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639</v>
      </c>
      <c r="B29" s="33" cm="1" t="str">
        <f t="array" ref="B29">IF($C$10="OPEN","In J18 return the Price AND the Stock of I18 with one XLOOKUP.","LOCKED · earn ★ on every stage to open the Boss gate")</f>
        <v>LOCKED · earn ★ on every stage to open the Boss gate</v>
      </c>
      <c r="C29" s="11" t="s">
        <v>640</v>
      </c>
      <c r="D29" s="21" cm="1" t="str">
        <f t="array" ref="D29">IF($C$10="OPEN",IF(ISBLANK('Boss Arena'!$J$18),"",IF(NOT(_xlfn.ISFORMULA('Boss Arena'!$J$18)),"✘ That's a typed value · enter a formula",IF(ISERROR('Boss Arena'!$J$18),"✘ Your formula returns "&amp;IFERROR(CHOOSE(ERROR.TYPE('Boss Arena'!$J$18),"#NULL!","#DIV/0!","#VALUE!","#REF!","#NAME?","#NUM!","#N/A","#GETTING_DATA","#SPILL!","#CONNECT!","#BLOCKED!","#UNKNOWN!","#FIELD!","#CALC!"),"an error"),IF(IFERROR(AND(ROWS(_xlfn.ANCHORARRAY('Boss Arena'!$J$18))=ROWS(_xlfn.ANCHORARRAY(Key!$E$2101)),COLUMNS(_xlfn.ANCHORARRAY('Boss Arena'!$J$18))=COLUMNS(_xlfn.ANCHORARRAY(Key!$E$2101)),SUM(--(_xlfn.ANCHORARRAY('Boss Arena'!$J$18)=_xlfn.ANCHORARRAY(Key!$E$2101)))=ROWS(_xlfn.ANCHORARRAY(Key!$E$2101))*COLUMNS(_xlfn.ANCHORARRAY(Key!$E$2101))),FALSE),IF(AND(OR(ISNUMBER(FIND({"=","(",",","+","-","*","/","&amp;"," ","&lt;","&gt;",":","@","^"}&amp;"XLOOKUP"&amp;"(",UPPER(_xlfn.FORMULATEXT('Boss Arena'!$J$18)))))),"✔ CLEAR","✘ CLOSE · right result, but use XLOOKUP"),"✘ TRY AGAIN")))),"LOCKED")</f>
        <v>LOCKED</v>
      </c>
      <c r="E29" s="22"/>
      <c r="F29" s="23" cm="1" t="str">
        <f t="array" ref="F29">IF(E29="Show hint",Key!$B$99,"")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643</v>
      </c>
      <c r="B30" s="33" cm="1" t="str">
        <f t="array" ref="B30">IF($C$10="OPEN","In J21 return the Category of I21 with VLOOKUP (exact match).","LOCKED · earn ★ on every stage to open the Boss gate")</f>
        <v>LOCKED · earn ★ on every stage to open the Boss gate</v>
      </c>
      <c r="C30" s="11" t="s">
        <v>644</v>
      </c>
      <c r="D30" s="21" cm="1" t="str">
        <f t="array" ref="D30">IF($C$10="OPEN",IF(ISBLANK('Boss Arena'!$J$21),"",IF(NOT(_xlfn.ISFORMULA('Boss Arena'!$J$21)),"✘ That's a typed value · enter a formula",IF(ISERROR('Boss Arena'!$J$21),"✘ Your formula returns "&amp;IFERROR(CHOOSE(ERROR.TYPE('Boss Arena'!$J$21),"#NULL!","#DIV/0!","#VALUE!","#REF!","#NAME?","#NUM!","#N/A","#GETTING_DATA","#SPILL!","#CONNECT!","#BLOCKED!","#UNKNOWN!","#FIELD!","#CALC!"),"an error"),IF(NOT(AND(IFERROR(AND(ISTEXT('Boss Arena'!$J$21),'Boss Arena'!$J$21=Key!$C$100),FALSE))),"✘ TRY AGAIN",IF(AND(OR(ISNUMBER(FIND({"=","(",",","+","-","*","/","&amp;"," ","&lt;","&gt;",":","@","^"}&amp;"VLOOKUP"&amp;"(",UPPER(_xlfn.FORMULATEXT('Boss Arena'!$J$21)))))),"✔ CLEAR","✘ CLOSE · right value, but use VLOOKUP"))))),"LOCKED")</f>
        <v>LOCKED</v>
      </c>
      <c r="E30" s="22"/>
      <c r="F30" s="23" cm="1" t="str">
        <f t="array" ref="F30">IF(E30="Show hint",Key!$B$100,"")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647</v>
      </c>
      <c r="B31" s="33" cm="1" t="str">
        <f t="array" ref="B31">IF($C$10="OPEN","In J24 return the ID of the product named in I24 (the ID is to the LEFT). Use INDEX and MATCH.","LOCKED · earn ★ on every stage to open the Boss gate")</f>
        <v>LOCKED · earn ★ on every stage to open the Boss gate</v>
      </c>
      <c r="C31" s="11" t="s">
        <v>648</v>
      </c>
      <c r="D31" s="21" cm="1" t="str">
        <f t="array" ref="D31">IF($C$10="OPEN",IF(ISBLANK('Boss Arena'!$J$24),"",IF(NOT(_xlfn.ISFORMULA('Boss Arena'!$J$24)),"✘ That's a typed value · enter a formula",IF(ISERROR('Boss Arena'!$J$24),"✘ Your formula returns "&amp;IFERROR(CHOOSE(ERROR.TYPE('Boss Arena'!$J$24),"#NULL!","#DIV/0!","#VALUE!","#REF!","#NAME?","#NUM!","#N/A","#GETTING_DATA","#SPILL!","#CONNECT!","#BLOCKED!","#UNKNOWN!","#FIELD!","#CALC!"),"an error"),IF(NOT(AND(IFERROR(AND(ISTEXT('Boss Arena'!$J$24),'Boss Arena'!$J$24=Key!$C$101),FALSE))),"✘ TRY AGAIN",IF(AND(OR(ISNUMBER(FIND({"=","(",",","+","-","*","/","&amp;"," ","&lt;","&gt;",":","@","^"}&amp;"INDEX"&amp;"(",UPPER(_xlfn.FORMULATEXT('Boss Arena'!$J$24))))),OR(ISNUMBER(FIND({"=","(",",","+","-","*","/","&amp;"," ","&lt;","&gt;",":","@","^"}&amp;"MATCH"&amp;"(",UPPER(_xlfn.FORMULATEXT('Boss Arena'!$J$24)))))),"✔ CLEAR","✘ CLOSE · right value, but use INDEX and MATCH"))))),"LOCKED")</f>
        <v>LOCKED</v>
      </c>
      <c r="E31" s="22"/>
      <c r="F31" s="23" cm="1" t="str">
        <f t="array" ref="F31">IF(E31="Show hint",Key!$B$101,"")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651</v>
      </c>
      <c r="B32" s="33" cm="1" t="str">
        <f t="array" ref="B32">IF($C$10="OPEN","In J27 return the position of I27 in C6:C20 with XMATCH.","LOCKED · earn ★ on every stage to open the Boss gate")</f>
        <v>LOCKED · earn ★ on every stage to open the Boss gate</v>
      </c>
      <c r="C32" s="11" t="s">
        <v>652</v>
      </c>
      <c r="D32" s="21" cm="1" t="str">
        <f t="array" ref="D32">IF($C$10="OPEN",IF(ISBLANK('Boss Arena'!$J$27),"",IF(NOT(_xlfn.ISFORMULA('Boss Arena'!$J$27)),"✘ That's a typed value · enter a formula",IF(ISERROR('Boss Arena'!$J$27),"✘ Your formula returns "&amp;IFERROR(CHOOSE(ERROR.TYPE('Boss Arena'!$J$27),"#NULL!","#DIV/0!","#VALUE!","#REF!","#NAME?","#NUM!","#N/A","#GETTING_DATA","#SPILL!","#CONNECT!","#BLOCKED!","#UNKNOWN!","#FIELD!","#CALC!"),"an error"),IF(NOT(AND(IFERROR(AND(ISNUMBER('Boss Arena'!$J$27),ABS('Boss Arena'!$J$27-Key!$C$102)&lt;=1E-9*MAX(1,ABS(Key!$C$102))),FALSE))),"✘ TRY AGAIN",IF(AND(OR(ISNUMBER(FIND({"=","(",",","+","-","*","/","&amp;"," ","&lt;","&gt;",":","@","^"}&amp;"XMATCH"&amp;"(",UPPER(_xlfn.FORMULATEXT('Boss Arena'!$J$27)))))),"✔ CLEAR","✘ CLOSE · right value, but use XMATCH"))))),"LOCKED")</f>
        <v>LOCKED</v>
      </c>
      <c r="E32" s="22"/>
      <c r="F32" s="23" cm="1" t="str">
        <f t="array" ref="F32">IF(E32="Show hint",Key!$B$102,"")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655</v>
      </c>
      <c r="B33" s="33" cm="1" t="str">
        <f t="array" ref="B33">IF($C$10="OPEN","In J30 find the discount tier for the quantity in I30 from L6:M9.","LOCKED · earn ★ on every stage to open the Boss gate")</f>
        <v>LOCKED · earn ★ on every stage to open the Boss gate</v>
      </c>
      <c r="C33" s="11" t="s">
        <v>656</v>
      </c>
      <c r="D33" s="21" cm="1" t="str">
        <f t="array" ref="D33">IF($C$10="OPEN",IF(ISBLANK('Boss Arena'!$J$30),"",IF(NOT(_xlfn.ISFORMULA('Boss Arena'!$J$30)),"✘ That's a typed value · enter a formula",IF(ISERROR('Boss Arena'!$J$30),"✘ Your formula returns "&amp;IFERROR(CHOOSE(ERROR.TYPE('Boss Arena'!$J$30),"#NULL!","#DIV/0!","#VALUE!","#REF!","#NAME?","#NUM!","#N/A","#GETTING_DATA","#SPILL!","#CONNECT!","#BLOCKED!","#UNKNOWN!","#FIELD!","#CALC!"),"an error"),IF(NOT(AND(IFERROR(AND(ISNUMBER('Boss Arena'!$J$30),ABS('Boss Arena'!$J$30-Key!$C$103)&lt;=1E-9*MAX(1,ABS(Key!$C$103))),FALSE))),"✘ TRY AGAIN",IF(AND(OR(ISNUMBER(FIND({"=","(",",","+","-","*","/","&amp;"," ","&lt;","&gt;",":","@","^"}&amp;"XLOOKUP"&amp;"(",UPPER(_xlfn.FORMULATEXT('Boss Arena'!$J$30)))))),IF(ISNUMBER(FIND("-1",_xlfn.FORMULATEXT('Boss Arena'!$J$30))),"✔ CLEAR","✘ CLOSE · your formula needs -1"),"✘ CLOSE · right value, but use XLOOKUP"))))),"LOCKED")</f>
        <v>LOCKED</v>
      </c>
      <c r="E33" s="22"/>
      <c r="F33" s="23" cm="1" t="str">
        <f t="array" ref="F33">IF(E33="Show hint",Key!$B$103,"")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J6" tooltip="Go to Boss Arena, cell J6" display="▶ ARENA B1 (cell J6)"/>
    <hyperlink ref="C27" location="'Boss Arena'!J9" tooltip="Go to Boss Arena, cell J9" display="▶ ARENA B2 (cell J9)"/>
    <hyperlink ref="C28" location="'Boss Arena'!J15" tooltip="Go to Boss Arena, cell J15" display="▶ ARENA B3 (cell J15)"/>
    <hyperlink ref="C29" location="'Boss Arena'!J18" tooltip="Go to Boss Arena, cell J18" display="▶ ARENA B4 (cell J18)"/>
    <hyperlink ref="C30" location="'Boss Arena'!J21" tooltip="Go to Boss Arena, cell J21" display="▶ ARENA B5 (cell J21)"/>
    <hyperlink ref="C31" location="'Boss Arena'!J24" tooltip="Go to Boss Arena, cell J24" display="▶ ARENA B6 (cell J24)"/>
    <hyperlink ref="C32" location="'Boss Arena'!J27" tooltip="Go to Boss Arena, cell J27" display="▶ ARENA B7 (cell J27)"/>
    <hyperlink ref="C33" location="'Boss Arena'!J30" tooltip="Go to Boss Arena, cell J30" display="▶ ARENA B8 (cell J30)"/>
  </hyperlink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cols>
    <col min="1" max="1" width="14.7109375" customWidth="1"/>
    <col min="2" max="8" width="13.7109375" customWidth="1"/>
    <col min="9" max="10" width="14.7109375" customWidth="1"/>
    <col min="11" max="26" width="13.7109375" customWidth="1"/>
  </cols>
  <sheetData>
    <row r="1" spans="1:13">
      <c r="A1" s="1" t="s">
        <v>573</v>
      </c>
    </row>
    <row r="2" spans="1:13">
      <c r="A2" s="3" t="s">
        <v>5</v>
      </c>
    </row>
    <row r="3" spans="1:13">
      <c r="A3" s="25" t="s">
        <v>6</v>
      </c>
      <c r="B3" s="26" t="s">
        <v>574</v>
      </c>
      <c r="D3" s="11" t="s">
        <v>575</v>
      </c>
    </row>
    <row r="5" spans="1:1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I5" s="27" t="s">
        <v>46</v>
      </c>
      <c r="J5" s="27" t="s">
        <v>12</v>
      </c>
      <c r="L5" s="27" t="s">
        <v>495</v>
      </c>
      <c r="M5" s="27" t="s">
        <v>492</v>
      </c>
    </row>
    <row r="6" spans="1:13">
      <c r="B6" s="5" t="s">
        <v>14</v>
      </c>
      <c r="C6" s="5" t="s">
        <v>15</v>
      </c>
      <c r="D6" s="5" t="s">
        <v>16</v>
      </c>
      <c r="E6" s="5">
        <v>0.5</v>
      </c>
      <c r="F6" s="5">
        <v>120</v>
      </c>
      <c r="I6" s="5" t="s">
        <v>34</v>
      </c>
      <c r="J6" s="28"/>
      <c r="L6" s="5">
        <v>0</v>
      </c>
      <c r="M6" s="30">
        <v>0</v>
      </c>
    </row>
    <row r="7" spans="1:13">
      <c r="B7" s="5" t="s">
        <v>17</v>
      </c>
      <c r="C7" s="5" t="s">
        <v>18</v>
      </c>
      <c r="D7" s="5" t="s">
        <v>16</v>
      </c>
      <c r="E7" s="5">
        <v>0.25</v>
      </c>
      <c r="F7" s="5">
        <v>200</v>
      </c>
      <c r="L7" s="5">
        <v>10</v>
      </c>
      <c r="M7" s="30">
        <v>0.05</v>
      </c>
    </row>
    <row r="8" spans="1:13">
      <c r="B8" s="5" t="s">
        <v>19</v>
      </c>
      <c r="C8" s="5" t="s">
        <v>20</v>
      </c>
      <c r="D8" s="5" t="s">
        <v>21</v>
      </c>
      <c r="E8" s="5">
        <v>0.3</v>
      </c>
      <c r="F8" s="5">
        <v>80</v>
      </c>
      <c r="I8" s="27" t="s">
        <v>47</v>
      </c>
      <c r="J8" s="27" t="s">
        <v>13</v>
      </c>
      <c r="L8" s="5">
        <v>50</v>
      </c>
      <c r="M8" s="30">
        <v>0.1</v>
      </c>
    </row>
    <row r="9" spans="1:13">
      <c r="B9" s="5" t="s">
        <v>22</v>
      </c>
      <c r="C9" s="5" t="s">
        <v>23</v>
      </c>
      <c r="D9" s="5" t="s">
        <v>16</v>
      </c>
      <c r="E9" s="5">
        <v>3.5</v>
      </c>
      <c r="F9" s="5">
        <v>12</v>
      </c>
      <c r="I9" s="5" t="s">
        <v>17</v>
      </c>
      <c r="J9" s="28"/>
      <c r="L9" s="5">
        <v>100</v>
      </c>
      <c r="M9" s="30">
        <v>0.15</v>
      </c>
    </row>
    <row r="10" spans="1:13">
      <c r="B10" s="5" t="s">
        <v>24</v>
      </c>
      <c r="C10" s="5" t="s">
        <v>25</v>
      </c>
      <c r="D10" s="5" t="s">
        <v>21</v>
      </c>
      <c r="E10" s="5">
        <v>1.2</v>
      </c>
      <c r="F10" s="5">
        <v>30</v>
      </c>
      <c r="I10" s="5" t="s">
        <v>30</v>
      </c>
      <c r="J10" s="28"/>
    </row>
    <row r="11" spans="1:13">
      <c r="B11" s="5" t="s">
        <v>26</v>
      </c>
      <c r="C11" s="5" t="s">
        <v>27</v>
      </c>
      <c r="D11" s="5" t="s">
        <v>16</v>
      </c>
      <c r="E11" s="5">
        <v>2</v>
      </c>
      <c r="F11" s="5">
        <v>25</v>
      </c>
      <c r="I11" s="5" t="s">
        <v>44</v>
      </c>
      <c r="J11" s="28"/>
    </row>
    <row r="12" spans="1:13">
      <c r="B12" s="5" t="s">
        <v>28</v>
      </c>
      <c r="C12" s="5" t="s">
        <v>29</v>
      </c>
      <c r="D12" s="5" t="s">
        <v>21</v>
      </c>
      <c r="E12" s="5">
        <v>0.8</v>
      </c>
      <c r="F12" s="5">
        <v>60</v>
      </c>
      <c r="I12" s="5" t="s">
        <v>26</v>
      </c>
      <c r="J12" s="28"/>
    </row>
    <row r="13" spans="1:13">
      <c r="B13" s="5" t="s">
        <v>30</v>
      </c>
      <c r="C13" s="5" t="s">
        <v>31</v>
      </c>
      <c r="D13" s="5" t="s">
        <v>16</v>
      </c>
      <c r="E13" s="5">
        <v>4</v>
      </c>
      <c r="F13" s="5">
        <v>8</v>
      </c>
    </row>
    <row r="14" spans="1:13">
      <c r="B14" s="5" t="s">
        <v>32</v>
      </c>
      <c r="C14" s="5" t="s">
        <v>33</v>
      </c>
      <c r="D14" s="5" t="s">
        <v>21</v>
      </c>
      <c r="E14" s="5">
        <v>1.5</v>
      </c>
      <c r="F14" s="5">
        <v>40</v>
      </c>
      <c r="I14" s="27" t="s">
        <v>46</v>
      </c>
      <c r="J14" s="27" t="s">
        <v>10</v>
      </c>
    </row>
    <row r="15" spans="1:13">
      <c r="B15" s="5" t="s">
        <v>34</v>
      </c>
      <c r="C15" s="5" t="s">
        <v>35</v>
      </c>
      <c r="D15" s="5" t="s">
        <v>21</v>
      </c>
      <c r="E15" s="5">
        <v>0.2</v>
      </c>
      <c r="F15" s="5">
        <v>150</v>
      </c>
      <c r="I15" s="5" t="s">
        <v>576</v>
      </c>
      <c r="J15" s="28"/>
    </row>
    <row r="16" spans="1:13">
      <c r="B16" s="5" t="s">
        <v>36</v>
      </c>
      <c r="C16" s="5" t="s">
        <v>37</v>
      </c>
      <c r="D16" s="5" t="s">
        <v>16</v>
      </c>
      <c r="E16" s="5">
        <v>0.6</v>
      </c>
      <c r="F16" s="5">
        <v>90</v>
      </c>
    </row>
    <row r="17" spans="2:11">
      <c r="B17" s="5" t="s">
        <v>38</v>
      </c>
      <c r="C17" s="5" t="s">
        <v>39</v>
      </c>
      <c r="D17" s="5" t="s">
        <v>21</v>
      </c>
      <c r="E17" s="5">
        <v>1.1</v>
      </c>
      <c r="F17" s="5">
        <v>35</v>
      </c>
      <c r="I17" s="27" t="s">
        <v>46</v>
      </c>
      <c r="J17" s="27" t="s">
        <v>12</v>
      </c>
      <c r="K17" s="27" t="s">
        <v>13</v>
      </c>
    </row>
    <row r="18" spans="2:11">
      <c r="B18" s="5" t="s">
        <v>40</v>
      </c>
      <c r="C18" s="5" t="s">
        <v>41</v>
      </c>
      <c r="D18" s="5" t="s">
        <v>16</v>
      </c>
      <c r="E18" s="5">
        <v>1.8</v>
      </c>
      <c r="F18" s="5">
        <v>45</v>
      </c>
      <c r="I18" s="5" t="s">
        <v>40</v>
      </c>
      <c r="J18" s="28"/>
    </row>
    <row r="19" spans="2:11">
      <c r="B19" s="5" t="s">
        <v>42</v>
      </c>
      <c r="C19" s="5" t="s">
        <v>43</v>
      </c>
      <c r="D19" s="5" t="s">
        <v>16</v>
      </c>
      <c r="E19" s="5">
        <v>0.9</v>
      </c>
      <c r="F19" s="5">
        <v>70</v>
      </c>
    </row>
    <row r="20" spans="2:11">
      <c r="B20" s="5" t="s">
        <v>44</v>
      </c>
      <c r="C20" s="5" t="s">
        <v>45</v>
      </c>
      <c r="D20" s="5" t="s">
        <v>21</v>
      </c>
      <c r="E20" s="5">
        <v>2.2</v>
      </c>
      <c r="F20" s="5">
        <v>18</v>
      </c>
      <c r="I20" s="27" t="s">
        <v>46</v>
      </c>
      <c r="J20" s="27" t="s">
        <v>11</v>
      </c>
    </row>
    <row r="21" spans="2:11">
      <c r="I21" s="5" t="s">
        <v>32</v>
      </c>
      <c r="J21" s="28"/>
    </row>
    <row r="23" spans="2:11">
      <c r="I23" s="27" t="s">
        <v>365</v>
      </c>
      <c r="J23" s="27" t="s">
        <v>9</v>
      </c>
    </row>
    <row r="24" spans="2:11">
      <c r="I24" s="5" t="s">
        <v>27</v>
      </c>
      <c r="J24" s="28"/>
    </row>
    <row r="26" spans="2:11">
      <c r="I26" s="27" t="s">
        <v>365</v>
      </c>
      <c r="J26" s="27" t="s">
        <v>366</v>
      </c>
    </row>
    <row r="27" spans="2:11">
      <c r="I27" s="5" t="s">
        <v>39</v>
      </c>
      <c r="J27" s="28"/>
    </row>
    <row r="29" spans="2:11">
      <c r="I29" s="27" t="s">
        <v>491</v>
      </c>
      <c r="J29" s="27" t="s">
        <v>492</v>
      </c>
    </row>
    <row r="30" spans="2:11">
      <c r="I30" s="5">
        <v>120</v>
      </c>
      <c r="J30" s="29"/>
    </row>
  </sheetData>
  <hyperlinks>
    <hyperlink ref="D3" location="Boss!A1" display="◀ Back to Bos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697</v>
      </c>
      <c r="B1" s="2"/>
      <c r="C1" s="2"/>
      <c r="D1" s="2"/>
    </row>
    <row r="2" spans="1:4">
      <c r="A2" s="3" t="s">
        <v>698</v>
      </c>
    </row>
    <row r="4" spans="1:4">
      <c r="A4" s="6" t="s">
        <v>668</v>
      </c>
      <c r="B4" s="6" t="s">
        <v>51</v>
      </c>
      <c r="C4" s="6" t="s">
        <v>699</v>
      </c>
      <c r="D4" s="6" t="s">
        <v>700</v>
      </c>
    </row>
    <row r="5" spans="1:4" ht="51.25" customHeight="1">
      <c r="A5" s="18" t="s">
        <v>673</v>
      </c>
      <c r="B5" s="19" t="s">
        <v>54</v>
      </c>
      <c r="C5" s="8" t="s">
        <v>701</v>
      </c>
      <c r="D5" s="8" t="s">
        <v>702</v>
      </c>
    </row>
    <row r="6" spans="1:4" ht="35.5" customHeight="1">
      <c r="A6" s="18" t="s">
        <v>673</v>
      </c>
      <c r="B6" s="19" t="s">
        <v>57</v>
      </c>
      <c r="C6" s="8" t="s">
        <v>703</v>
      </c>
      <c r="D6" s="8" t="s">
        <v>704</v>
      </c>
    </row>
    <row r="7" spans="1:4" ht="35.5" customHeight="1">
      <c r="A7" s="18" t="s">
        <v>676</v>
      </c>
      <c r="B7" s="19" t="s">
        <v>142</v>
      </c>
      <c r="C7" s="8" t="s">
        <v>705</v>
      </c>
      <c r="D7" s="8" t="s">
        <v>706</v>
      </c>
    </row>
    <row r="8" spans="1:4" ht="35.5" customHeight="1">
      <c r="A8" s="18" t="s">
        <v>676</v>
      </c>
      <c r="B8" s="19" t="s">
        <v>178</v>
      </c>
      <c r="C8" s="8" t="s">
        <v>707</v>
      </c>
      <c r="D8" s="8" t="s">
        <v>708</v>
      </c>
    </row>
    <row r="9" spans="1:4" ht="35.5" customHeight="1">
      <c r="A9" s="18" t="s">
        <v>679</v>
      </c>
      <c r="B9" s="19" t="s">
        <v>136</v>
      </c>
      <c r="C9" s="8" t="s">
        <v>709</v>
      </c>
      <c r="D9" s="8" t="s">
        <v>710</v>
      </c>
    </row>
    <row r="10" spans="1:4" ht="35.5" customHeight="1">
      <c r="A10" s="18" t="s">
        <v>679</v>
      </c>
      <c r="B10" s="19" t="s">
        <v>141</v>
      </c>
      <c r="C10" s="8" t="s">
        <v>711</v>
      </c>
      <c r="D10" s="8" t="s">
        <v>712</v>
      </c>
    </row>
    <row r="11" spans="1:4" ht="35.5" customHeight="1">
      <c r="A11" s="18" t="s">
        <v>682</v>
      </c>
      <c r="B11" s="19" t="s">
        <v>134</v>
      </c>
      <c r="C11" s="8" t="s">
        <v>713</v>
      </c>
      <c r="D11" s="8" t="s">
        <v>714</v>
      </c>
    </row>
    <row r="12" spans="1:4" ht="35.5" customHeight="1">
      <c r="A12" s="18" t="s">
        <v>682</v>
      </c>
      <c r="B12" s="19" t="s">
        <v>135</v>
      </c>
      <c r="C12" s="8" t="s">
        <v>715</v>
      </c>
      <c r="D12" s="8" t="s">
        <v>716</v>
      </c>
    </row>
    <row r="13" spans="1:4" ht="35.5" customHeight="1">
      <c r="A13" s="18" t="s">
        <v>682</v>
      </c>
      <c r="B13" s="19" t="s">
        <v>237</v>
      </c>
      <c r="C13" s="8" t="s">
        <v>717</v>
      </c>
      <c r="D13" s="8" t="s">
        <v>718</v>
      </c>
    </row>
    <row r="14" spans="1:4" ht="19.75" customHeight="1">
      <c r="A14" s="18" t="s">
        <v>682</v>
      </c>
      <c r="B14" s="19" t="s">
        <v>339</v>
      </c>
      <c r="C14" s="8" t="s">
        <v>719</v>
      </c>
      <c r="D14" s="8" t="s">
        <v>720</v>
      </c>
    </row>
    <row r="15" spans="1:4" ht="35.5" customHeight="1">
      <c r="A15" s="18" t="s">
        <v>685</v>
      </c>
      <c r="B15" s="19" t="s">
        <v>241</v>
      </c>
      <c r="C15" s="8" t="s">
        <v>721</v>
      </c>
      <c r="D15" s="8" t="s">
        <v>722</v>
      </c>
    </row>
    <row r="16" spans="1:4" ht="35.5" customHeight="1">
      <c r="A16" s="18" t="s">
        <v>685</v>
      </c>
      <c r="B16" s="19" t="s">
        <v>143</v>
      </c>
      <c r="C16" s="8" t="s">
        <v>723</v>
      </c>
      <c r="D16" s="8" t="s">
        <v>724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210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E1" t="s">
        <v>3</v>
      </c>
    </row>
    <row r="2" spans="1:20">
      <c r="A2" t="s">
        <v>64</v>
      </c>
      <c r="B2" t="s">
        <v>65</v>
      </c>
      <c r="E2" t="s">
        <v>66</v>
      </c>
    </row>
    <row r="3" spans="1:20">
      <c r="A3" t="s">
        <v>69</v>
      </c>
      <c r="B3" t="s">
        <v>70</v>
      </c>
      <c r="E3" t="s">
        <v>71</v>
      </c>
    </row>
    <row r="4" spans="1:20">
      <c r="A4" t="s">
        <v>74</v>
      </c>
      <c r="B4" t="s">
        <v>75</v>
      </c>
      <c r="E4" t="s">
        <v>76</v>
      </c>
      <c r="F4" t="s">
        <v>77</v>
      </c>
      <c r="G4" t="s">
        <v>78</v>
      </c>
    </row>
    <row r="5" spans="1:20">
      <c r="A5" t="s">
        <v>81</v>
      </c>
      <c r="B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</row>
    <row r="6" spans="1:20">
      <c r="A6" t="s">
        <v>101</v>
      </c>
      <c r="B6" t="s">
        <v>102</v>
      </c>
      <c r="E6" t="s">
        <v>103</v>
      </c>
    </row>
    <row r="7" spans="1:20">
      <c r="A7" t="s">
        <v>106</v>
      </c>
      <c r="B7" t="s">
        <v>107</v>
      </c>
      <c r="E7" t="s">
        <v>108</v>
      </c>
    </row>
    <row r="8" spans="1:20">
      <c r="A8" t="s">
        <v>111</v>
      </c>
      <c r="B8" t="s">
        <v>112</v>
      </c>
      <c r="E8" t="s">
        <v>113</v>
      </c>
    </row>
    <row r="9" spans="1:20">
      <c r="A9" t="s">
        <v>116</v>
      </c>
      <c r="B9" t="s">
        <v>117</v>
      </c>
      <c r="E9" t="s">
        <v>118</v>
      </c>
    </row>
    <row r="10" spans="1:20">
      <c r="A10" t="s">
        <v>121</v>
      </c>
      <c r="B10" t="s">
        <v>122</v>
      </c>
      <c r="E10" t="s">
        <v>123</v>
      </c>
    </row>
    <row r="11" spans="1:20">
      <c r="A11" t="s">
        <v>126</v>
      </c>
      <c r="B11" t="s">
        <v>127</v>
      </c>
      <c r="E11" t="s">
        <v>128</v>
      </c>
    </row>
    <row r="12" spans="1:20">
      <c r="A12" t="s">
        <v>132</v>
      </c>
      <c r="B12" t="s">
        <v>133</v>
      </c>
      <c r="C12" t="s">
        <v>54</v>
      </c>
      <c r="E12" t="s">
        <v>134</v>
      </c>
      <c r="F12" t="s">
        <v>135</v>
      </c>
      <c r="G12" t="s">
        <v>54</v>
      </c>
      <c r="H12" t="s">
        <v>136</v>
      </c>
    </row>
    <row r="13" spans="1:20">
      <c r="A13" t="s">
        <v>139</v>
      </c>
      <c r="B13" t="s">
        <v>140</v>
      </c>
      <c r="C13" t="s">
        <v>57</v>
      </c>
      <c r="E13" t="s">
        <v>57</v>
      </c>
      <c r="F13" t="s">
        <v>141</v>
      </c>
      <c r="G13" t="s">
        <v>142</v>
      </c>
      <c r="H13" t="s">
        <v>143</v>
      </c>
    </row>
    <row r="14" spans="1:20">
      <c r="A14" t="s">
        <v>148</v>
      </c>
      <c r="B14" t="s">
        <v>133</v>
      </c>
      <c r="E14" t="s">
        <v>149</v>
      </c>
      <c r="F14" t="s">
        <v>150</v>
      </c>
      <c r="G14" t="s">
        <v>151</v>
      </c>
      <c r="H14" t="s">
        <v>54</v>
      </c>
      <c r="I14" t="s">
        <v>152</v>
      </c>
      <c r="J14" t="s">
        <v>153</v>
      </c>
    </row>
    <row r="15" spans="1:20">
      <c r="A15" t="s">
        <v>155</v>
      </c>
      <c r="B15" t="s">
        <v>140</v>
      </c>
      <c r="E15" t="s">
        <v>156</v>
      </c>
      <c r="F15" t="s">
        <v>157</v>
      </c>
      <c r="G15" t="s">
        <v>158</v>
      </c>
    </row>
    <row r="16" spans="1:20">
      <c r="A16" t="s">
        <v>160</v>
      </c>
      <c r="B16" t="s">
        <v>161</v>
      </c>
      <c r="C16" cm="1">
        <f t="array" ref="C16">_xlfn.XLOOKUP('F4-1 Arena'!$I$6,'F4-1 Arena'!$B$6:$B$20,'F4-1 Arena'!$E$6:$E$20)</f>
        <v>0.8</v>
      </c>
    </row>
    <row r="17" spans="1:10">
      <c r="A17" t="s">
        <v>165</v>
      </c>
      <c r="B17" t="s">
        <v>166</v>
      </c>
      <c r="E17" cm="1">
        <f t="array" ref="E17">_xlfn.XLOOKUP('F4-1 Arena'!$I$10,'F4-1 Arena'!$B$6:$B$20,'F4-1 Arena'!$F$6:$F$20)</f>
        <v>80</v>
      </c>
      <c r="F17" cm="1">
        <f t="array" ref="F17">_xlfn.XLOOKUP('F4-1 Arena'!$I$11,'F4-1 Arena'!$B$6:$B$20,'F4-1 Arena'!$F$6:$F$20)</f>
        <v>90</v>
      </c>
      <c r="G17" cm="1">
        <f t="array" ref="G17">_xlfn.XLOOKUP('F4-1 Arena'!$I$12,'F4-1 Arena'!$B$6:$B$20,'F4-1 Arena'!$F$6:$F$20)</f>
        <v>120</v>
      </c>
      <c r="H17" cm="1">
        <f t="array" ref="H17">_xlfn.XLOOKUP('F4-1 Arena'!$I$13,'F4-1 Arena'!$B$6:$B$20,'F4-1 Arena'!$F$6:$F$20)</f>
        <v>70</v>
      </c>
    </row>
    <row r="18" spans="1:10">
      <c r="A18" t="s">
        <v>179</v>
      </c>
      <c r="B18" t="s">
        <v>133</v>
      </c>
      <c r="E18" t="s">
        <v>149</v>
      </c>
      <c r="F18" t="s">
        <v>150</v>
      </c>
      <c r="G18" t="s">
        <v>151</v>
      </c>
      <c r="H18" t="s">
        <v>54</v>
      </c>
      <c r="I18" t="s">
        <v>152</v>
      </c>
      <c r="J18" t="s">
        <v>153</v>
      </c>
    </row>
    <row r="19" spans="1:10">
      <c r="A19" t="s">
        <v>181</v>
      </c>
      <c r="B19" t="s">
        <v>140</v>
      </c>
      <c r="E19" t="s">
        <v>156</v>
      </c>
      <c r="F19" t="s">
        <v>157</v>
      </c>
      <c r="G19" t="s">
        <v>158</v>
      </c>
    </row>
    <row r="20" spans="1:10">
      <c r="A20" t="s">
        <v>183</v>
      </c>
      <c r="B20" t="s">
        <v>184</v>
      </c>
      <c r="E20" t="s">
        <v>185</v>
      </c>
    </row>
    <row r="21" spans="1:10">
      <c r="A21" t="s">
        <v>187</v>
      </c>
      <c r="B21" t="s">
        <v>188</v>
      </c>
      <c r="E21" t="s">
        <v>189</v>
      </c>
    </row>
    <row r="22" spans="1:10">
      <c r="A22" t="s">
        <v>191</v>
      </c>
      <c r="B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</row>
    <row r="23" spans="1:10">
      <c r="A23" t="s">
        <v>200</v>
      </c>
      <c r="B23" t="s">
        <v>201</v>
      </c>
      <c r="E23" t="s">
        <v>202</v>
      </c>
      <c r="F23" t="s">
        <v>203</v>
      </c>
      <c r="G23" t="s">
        <v>204</v>
      </c>
      <c r="H23" t="s">
        <v>205</v>
      </c>
    </row>
    <row r="24" spans="1:10">
      <c r="A24" t="s">
        <v>207</v>
      </c>
      <c r="B24" t="s">
        <v>208</v>
      </c>
      <c r="E24" t="s">
        <v>209</v>
      </c>
      <c r="F24" t="s">
        <v>210</v>
      </c>
      <c r="G24" t="s">
        <v>211</v>
      </c>
      <c r="H24" t="s">
        <v>212</v>
      </c>
    </row>
    <row r="25" spans="1:10">
      <c r="A25" t="s">
        <v>214</v>
      </c>
      <c r="B25" t="s">
        <v>215</v>
      </c>
      <c r="E25" t="s">
        <v>216</v>
      </c>
      <c r="F25" t="s">
        <v>217</v>
      </c>
      <c r="G25" t="s">
        <v>218</v>
      </c>
      <c r="H25" t="s">
        <v>219</v>
      </c>
    </row>
    <row r="26" spans="1:10">
      <c r="A26" t="s">
        <v>221</v>
      </c>
      <c r="B26" t="s">
        <v>222</v>
      </c>
      <c r="E26" t="s">
        <v>223</v>
      </c>
      <c r="F26" t="s">
        <v>224</v>
      </c>
      <c r="G26" t="s">
        <v>225</v>
      </c>
      <c r="H26" t="s">
        <v>226</v>
      </c>
    </row>
    <row r="27" spans="1:10">
      <c r="A27" t="s">
        <v>228</v>
      </c>
      <c r="B27" t="s">
        <v>229</v>
      </c>
      <c r="E27" t="s">
        <v>230</v>
      </c>
      <c r="F27" t="s">
        <v>231</v>
      </c>
      <c r="G27" t="s">
        <v>232</v>
      </c>
      <c r="H27" t="s">
        <v>233</v>
      </c>
    </row>
    <row r="28" spans="1:10">
      <c r="A28" t="s">
        <v>235</v>
      </c>
      <c r="B28" t="s">
        <v>236</v>
      </c>
      <c r="C28" t="s">
        <v>142</v>
      </c>
      <c r="E28" t="s">
        <v>142</v>
      </c>
      <c r="F28" t="s">
        <v>143</v>
      </c>
      <c r="G28" t="s">
        <v>237</v>
      </c>
      <c r="H28" t="s">
        <v>141</v>
      </c>
    </row>
    <row r="29" spans="1:10">
      <c r="A29" t="s">
        <v>239</v>
      </c>
      <c r="B29" t="s">
        <v>240</v>
      </c>
      <c r="C29" t="s">
        <v>178</v>
      </c>
      <c r="E29" t="s">
        <v>241</v>
      </c>
      <c r="F29" t="s">
        <v>141</v>
      </c>
      <c r="G29" t="s">
        <v>178</v>
      </c>
      <c r="H29" t="s">
        <v>237</v>
      </c>
    </row>
    <row r="30" spans="1:10">
      <c r="A30" t="s">
        <v>244</v>
      </c>
      <c r="B30" t="s">
        <v>236</v>
      </c>
      <c r="E30" t="s">
        <v>245</v>
      </c>
      <c r="F30" t="s">
        <v>246</v>
      </c>
      <c r="G30" t="s">
        <v>247</v>
      </c>
      <c r="H30" t="s">
        <v>248</v>
      </c>
    </row>
    <row r="31" spans="1:10">
      <c r="A31" t="s">
        <v>249</v>
      </c>
      <c r="B31" t="s">
        <v>240</v>
      </c>
      <c r="E31" t="s">
        <v>55</v>
      </c>
      <c r="F31" t="s">
        <v>250</v>
      </c>
    </row>
    <row r="32" spans="1:10">
      <c r="A32" t="s">
        <v>251</v>
      </c>
      <c r="B32" t="s">
        <v>252</v>
      </c>
      <c r="C32" cm="1" t="str">
        <f t="array" ref="C32">_xlfn.XLOOKUP('F4-2 Arena'!$I$6,'F4-2 Arena'!$B$6:$B$20,'F4-2 Arena'!$C$6:$C$20,"Not found")</f>
        <v>Not found</v>
      </c>
    </row>
    <row r="33" spans="1:20">
      <c r="A33" t="s">
        <v>254</v>
      </c>
      <c r="B33" t="s">
        <v>255</v>
      </c>
    </row>
    <row r="34" spans="1:20">
      <c r="A34" t="s">
        <v>265</v>
      </c>
      <c r="B34" t="s">
        <v>236</v>
      </c>
      <c r="E34" t="s">
        <v>245</v>
      </c>
      <c r="F34" t="s">
        <v>246</v>
      </c>
      <c r="G34" t="s">
        <v>247</v>
      </c>
      <c r="H34" t="s">
        <v>248</v>
      </c>
    </row>
    <row r="35" spans="1:20">
      <c r="A35" t="s">
        <v>267</v>
      </c>
      <c r="B35" t="s">
        <v>240</v>
      </c>
      <c r="E35" t="s">
        <v>55</v>
      </c>
      <c r="F35" t="s">
        <v>250</v>
      </c>
    </row>
    <row r="36" spans="1:20">
      <c r="A36" t="s">
        <v>269</v>
      </c>
      <c r="B36" t="s">
        <v>270</v>
      </c>
      <c r="E36" t="s">
        <v>271</v>
      </c>
      <c r="F36" t="s">
        <v>272</v>
      </c>
    </row>
    <row r="37" spans="1:20">
      <c r="A37" t="s">
        <v>274</v>
      </c>
      <c r="B37" t="s">
        <v>275</v>
      </c>
      <c r="E37" t="s">
        <v>276</v>
      </c>
    </row>
    <row r="38" spans="1:20">
      <c r="A38" t="s">
        <v>278</v>
      </c>
      <c r="B38" t="s">
        <v>279</v>
      </c>
      <c r="E38" t="s">
        <v>280</v>
      </c>
      <c r="F38" t="s">
        <v>281</v>
      </c>
    </row>
    <row r="39" spans="1:20">
      <c r="A39" t="s">
        <v>283</v>
      </c>
      <c r="B39" t="s">
        <v>284</v>
      </c>
      <c r="E39" t="s">
        <v>285</v>
      </c>
      <c r="F39" t="s">
        <v>286</v>
      </c>
      <c r="G39" t="s">
        <v>287</v>
      </c>
      <c r="H39" t="s">
        <v>288</v>
      </c>
      <c r="I39" t="s">
        <v>289</v>
      </c>
      <c r="J39" t="s">
        <v>290</v>
      </c>
      <c r="K39" t="s">
        <v>291</v>
      </c>
      <c r="L39" t="s">
        <v>292</v>
      </c>
      <c r="M39" t="s">
        <v>293</v>
      </c>
      <c r="N39" t="s">
        <v>294</v>
      </c>
      <c r="O39" t="s">
        <v>295</v>
      </c>
      <c r="P39" t="s">
        <v>296</v>
      </c>
      <c r="Q39" t="s">
        <v>297</v>
      </c>
      <c r="R39" t="s">
        <v>298</v>
      </c>
      <c r="S39" t="s">
        <v>299</v>
      </c>
      <c r="T39" t="s">
        <v>300</v>
      </c>
    </row>
    <row r="40" spans="1:20">
      <c r="A40" t="s">
        <v>302</v>
      </c>
      <c r="B40" t="s">
        <v>303</v>
      </c>
      <c r="E40" t="s">
        <v>304</v>
      </c>
      <c r="F40" t="s">
        <v>305</v>
      </c>
      <c r="G40" t="s">
        <v>306</v>
      </c>
      <c r="H40" t="s">
        <v>307</v>
      </c>
      <c r="I40" t="s">
        <v>308</v>
      </c>
      <c r="J40" t="s">
        <v>309</v>
      </c>
      <c r="K40" t="s">
        <v>310</v>
      </c>
      <c r="L40" t="s">
        <v>311</v>
      </c>
      <c r="M40" t="s">
        <v>312</v>
      </c>
      <c r="N40" t="s">
        <v>313</v>
      </c>
      <c r="O40" t="s">
        <v>314</v>
      </c>
      <c r="P40" t="s">
        <v>315</v>
      </c>
      <c r="Q40" t="s">
        <v>316</v>
      </c>
      <c r="R40" t="s">
        <v>317</v>
      </c>
      <c r="S40" t="s">
        <v>318</v>
      </c>
      <c r="T40" t="s">
        <v>319</v>
      </c>
    </row>
    <row r="41" spans="1:20">
      <c r="A41" t="s">
        <v>321</v>
      </c>
      <c r="B41" t="s">
        <v>322</v>
      </c>
      <c r="E41" t="s">
        <v>323</v>
      </c>
    </row>
    <row r="42" spans="1:20">
      <c r="A42" t="s">
        <v>325</v>
      </c>
      <c r="B42" t="s">
        <v>326</v>
      </c>
      <c r="E42" t="s">
        <v>327</v>
      </c>
      <c r="F42" t="s">
        <v>328</v>
      </c>
      <c r="G42" t="s">
        <v>329</v>
      </c>
      <c r="H42" t="s">
        <v>330</v>
      </c>
    </row>
    <row r="43" spans="1:20">
      <c r="A43" t="s">
        <v>332</v>
      </c>
      <c r="B43" t="s">
        <v>333</v>
      </c>
      <c r="E43" t="s">
        <v>334</v>
      </c>
      <c r="F43" t="s">
        <v>335</v>
      </c>
    </row>
    <row r="44" spans="1:20">
      <c r="A44" t="s">
        <v>337</v>
      </c>
      <c r="B44" t="s">
        <v>338</v>
      </c>
      <c r="C44" t="s">
        <v>136</v>
      </c>
      <c r="E44" t="s">
        <v>136</v>
      </c>
      <c r="F44" t="s">
        <v>135</v>
      </c>
      <c r="G44" t="s">
        <v>339</v>
      </c>
      <c r="H44" t="s">
        <v>134</v>
      </c>
    </row>
    <row r="45" spans="1:20">
      <c r="A45" t="s">
        <v>341</v>
      </c>
      <c r="B45" t="s">
        <v>342</v>
      </c>
      <c r="C45" t="s">
        <v>141</v>
      </c>
      <c r="E45" t="s">
        <v>57</v>
      </c>
      <c r="F45" t="s">
        <v>143</v>
      </c>
      <c r="G45" t="s">
        <v>237</v>
      </c>
      <c r="H45" t="s">
        <v>141</v>
      </c>
    </row>
    <row r="46" spans="1:20">
      <c r="A46" t="s">
        <v>345</v>
      </c>
      <c r="B46" t="s">
        <v>338</v>
      </c>
      <c r="E46" t="s">
        <v>346</v>
      </c>
      <c r="F46" t="s">
        <v>347</v>
      </c>
      <c r="G46" t="s">
        <v>348</v>
      </c>
      <c r="H46" t="s">
        <v>136</v>
      </c>
      <c r="I46" t="s">
        <v>349</v>
      </c>
      <c r="J46" t="s">
        <v>350</v>
      </c>
    </row>
    <row r="47" spans="1:20">
      <c r="A47" t="s">
        <v>351</v>
      </c>
      <c r="B47" t="s">
        <v>342</v>
      </c>
      <c r="E47" t="s">
        <v>352</v>
      </c>
      <c r="F47" t="s">
        <v>353</v>
      </c>
    </row>
    <row r="48" spans="1:20">
      <c r="A48" t="s">
        <v>354</v>
      </c>
      <c r="B48" t="s">
        <v>355</v>
      </c>
      <c r="C48" cm="1" t="str">
        <f t="array" ref="C48">VLOOKUP('F4-3 Arena'!$I$6,'F4-3 Arena'!$B$6:$F$20,3,FALSE)</f>
        <v>Veg</v>
      </c>
    </row>
    <row r="49" spans="1:20">
      <c r="A49" t="s">
        <v>357</v>
      </c>
      <c r="B49" t="s">
        <v>358</v>
      </c>
      <c r="C49" cm="1">
        <f t="array" ref="C49">VLOOKUP('F4-3 Arena'!$I$9,'F4-3 Arena'!$B$6:$F$20,5,FALSE)</f>
        <v>12</v>
      </c>
    </row>
    <row r="50" spans="1:20">
      <c r="A50" t="s">
        <v>373</v>
      </c>
      <c r="B50" t="s">
        <v>338</v>
      </c>
      <c r="E50" t="s">
        <v>346</v>
      </c>
      <c r="F50" t="s">
        <v>347</v>
      </c>
      <c r="G50" t="s">
        <v>348</v>
      </c>
      <c r="H50" t="s">
        <v>136</v>
      </c>
      <c r="I50" t="s">
        <v>349</v>
      </c>
      <c r="J50" t="s">
        <v>350</v>
      </c>
    </row>
    <row r="51" spans="1:20">
      <c r="A51" t="s">
        <v>375</v>
      </c>
      <c r="B51" t="s">
        <v>342</v>
      </c>
      <c r="E51" t="s">
        <v>352</v>
      </c>
      <c r="F51" t="s">
        <v>353</v>
      </c>
    </row>
    <row r="52" spans="1:20">
      <c r="A52" t="s">
        <v>377</v>
      </c>
      <c r="B52" t="s">
        <v>378</v>
      </c>
      <c r="E52" t="s">
        <v>379</v>
      </c>
      <c r="F52" t="s">
        <v>380</v>
      </c>
    </row>
    <row r="53" spans="1:20">
      <c r="A53" t="s">
        <v>382</v>
      </c>
      <c r="B53" t="s">
        <v>383</v>
      </c>
      <c r="E53" t="s">
        <v>384</v>
      </c>
      <c r="F53" t="s">
        <v>385</v>
      </c>
    </row>
    <row r="54" spans="1:20">
      <c r="A54" t="s">
        <v>387</v>
      </c>
      <c r="B54" t="s">
        <v>65</v>
      </c>
      <c r="E54" t="s">
        <v>388</v>
      </c>
    </row>
    <row r="55" spans="1:20">
      <c r="A55" t="s">
        <v>390</v>
      </c>
      <c r="B55" t="s">
        <v>391</v>
      </c>
      <c r="E55" t="s">
        <v>392</v>
      </c>
    </row>
    <row r="56" spans="1:20">
      <c r="A56" t="s">
        <v>394</v>
      </c>
      <c r="B56" t="s">
        <v>395</v>
      </c>
      <c r="E56" t="s">
        <v>396</v>
      </c>
      <c r="F56" t="s">
        <v>397</v>
      </c>
      <c r="G56" t="s">
        <v>398</v>
      </c>
      <c r="H56" t="s">
        <v>399</v>
      </c>
    </row>
    <row r="57" spans="1:20">
      <c r="A57" t="s">
        <v>401</v>
      </c>
      <c r="B57" t="s">
        <v>402</v>
      </c>
      <c r="E57" t="s">
        <v>403</v>
      </c>
      <c r="F57" t="s">
        <v>404</v>
      </c>
      <c r="G57" t="s">
        <v>405</v>
      </c>
      <c r="H57" t="s">
        <v>406</v>
      </c>
    </row>
    <row r="58" spans="1:20">
      <c r="A58" t="s">
        <v>408</v>
      </c>
      <c r="B58" t="s">
        <v>409</v>
      </c>
      <c r="E58" t="s">
        <v>410</v>
      </c>
      <c r="F58" t="s">
        <v>411</v>
      </c>
    </row>
    <row r="59" spans="1:20">
      <c r="A59" t="s">
        <v>413</v>
      </c>
      <c r="B59" t="s">
        <v>414</v>
      </c>
      <c r="E59" t="s">
        <v>415</v>
      </c>
      <c r="F59" t="s">
        <v>416</v>
      </c>
      <c r="G59" t="s">
        <v>417</v>
      </c>
      <c r="H59" t="s">
        <v>418</v>
      </c>
      <c r="I59" t="s">
        <v>419</v>
      </c>
      <c r="J59" t="s">
        <v>420</v>
      </c>
      <c r="K59" t="s">
        <v>421</v>
      </c>
      <c r="L59" t="s">
        <v>422</v>
      </c>
      <c r="M59" t="s">
        <v>423</v>
      </c>
      <c r="N59" t="s">
        <v>424</v>
      </c>
      <c r="O59" t="s">
        <v>425</v>
      </c>
      <c r="P59" t="s">
        <v>426</v>
      </c>
      <c r="Q59" t="s">
        <v>427</v>
      </c>
      <c r="R59" t="s">
        <v>428</v>
      </c>
      <c r="S59" t="s">
        <v>429</v>
      </c>
      <c r="T59" t="s">
        <v>430</v>
      </c>
    </row>
    <row r="60" spans="1:20">
      <c r="A60" t="s">
        <v>432</v>
      </c>
      <c r="B60" t="s">
        <v>433</v>
      </c>
      <c r="C60" t="s">
        <v>134</v>
      </c>
      <c r="E60" t="s">
        <v>134</v>
      </c>
      <c r="F60" t="s">
        <v>339</v>
      </c>
      <c r="G60" t="s">
        <v>135</v>
      </c>
      <c r="H60" t="s">
        <v>136</v>
      </c>
    </row>
    <row r="61" spans="1:20">
      <c r="A61" t="s">
        <v>435</v>
      </c>
      <c r="B61" t="s">
        <v>436</v>
      </c>
      <c r="C61" t="s">
        <v>135</v>
      </c>
      <c r="E61" t="s">
        <v>135</v>
      </c>
      <c r="F61" t="s">
        <v>54</v>
      </c>
      <c r="G61" t="s">
        <v>134</v>
      </c>
      <c r="H61" t="s">
        <v>136</v>
      </c>
    </row>
    <row r="62" spans="1:20">
      <c r="A62" t="s">
        <v>438</v>
      </c>
      <c r="B62" t="s">
        <v>439</v>
      </c>
      <c r="C62" t="s">
        <v>237</v>
      </c>
      <c r="E62" t="s">
        <v>237</v>
      </c>
      <c r="F62" t="s">
        <v>142</v>
      </c>
      <c r="G62" t="s">
        <v>57</v>
      </c>
      <c r="H62" t="s">
        <v>241</v>
      </c>
    </row>
    <row r="63" spans="1:20">
      <c r="A63" t="s">
        <v>442</v>
      </c>
      <c r="B63" t="s">
        <v>443</v>
      </c>
      <c r="C63" t="s">
        <v>339</v>
      </c>
      <c r="E63" t="s">
        <v>134</v>
      </c>
      <c r="F63" t="s">
        <v>136</v>
      </c>
      <c r="G63" t="s">
        <v>339</v>
      </c>
      <c r="H63" t="s">
        <v>54</v>
      </c>
    </row>
    <row r="64" spans="1:20">
      <c r="A64" t="s">
        <v>447</v>
      </c>
      <c r="B64" t="s">
        <v>433</v>
      </c>
      <c r="E64" t="s">
        <v>448</v>
      </c>
      <c r="F64" t="s">
        <v>449</v>
      </c>
      <c r="G64" t="s">
        <v>450</v>
      </c>
      <c r="H64" t="s">
        <v>134</v>
      </c>
      <c r="I64" t="s">
        <v>451</v>
      </c>
      <c r="J64" t="s">
        <v>452</v>
      </c>
    </row>
    <row r="65" spans="1:20">
      <c r="A65" t="s">
        <v>453</v>
      </c>
      <c r="B65" t="s">
        <v>436</v>
      </c>
      <c r="E65" t="s">
        <v>454</v>
      </c>
      <c r="F65" t="s">
        <v>455</v>
      </c>
      <c r="G65" t="s">
        <v>456</v>
      </c>
      <c r="H65" t="s">
        <v>135</v>
      </c>
      <c r="I65" t="s">
        <v>457</v>
      </c>
      <c r="J65" t="s">
        <v>458</v>
      </c>
    </row>
    <row r="66" spans="1:20">
      <c r="A66" t="s">
        <v>459</v>
      </c>
      <c r="B66" t="s">
        <v>439</v>
      </c>
      <c r="E66" t="s">
        <v>135</v>
      </c>
    </row>
    <row r="67" spans="1:20">
      <c r="A67" t="s">
        <v>460</v>
      </c>
      <c r="B67" t="s">
        <v>443</v>
      </c>
      <c r="E67" t="s">
        <v>461</v>
      </c>
      <c r="F67" t="s">
        <v>462</v>
      </c>
      <c r="G67" t="s">
        <v>463</v>
      </c>
      <c r="H67" t="s">
        <v>339</v>
      </c>
      <c r="I67" t="s">
        <v>464</v>
      </c>
      <c r="J67" t="s">
        <v>465</v>
      </c>
    </row>
    <row r="68" spans="1:20">
      <c r="A68" t="s">
        <v>466</v>
      </c>
      <c r="B68" t="s">
        <v>467</v>
      </c>
      <c r="C68" cm="1">
        <f t="array" ref="C68">MATCH('F4-4 Arena'!$I$6,'F4-4 Arena'!$C$6:$C$20,0)</f>
        <v>11</v>
      </c>
    </row>
    <row r="69" spans="1:20">
      <c r="A69" t="s">
        <v>471</v>
      </c>
      <c r="B69" t="s">
        <v>472</v>
      </c>
      <c r="C69" cm="1" t="str">
        <f t="array" ref="C69">INDEX('F4-4 Arena'!$B$6:$B$20,MATCH('F4-4 Arena'!$I$9,'F4-4 Arena'!$C$6:$C$20,0))</f>
        <v>P-13</v>
      </c>
    </row>
    <row r="70" spans="1:20">
      <c r="A70" t="s">
        <v>476</v>
      </c>
      <c r="B70" t="s">
        <v>477</v>
      </c>
      <c r="C70" cm="1">
        <f t="array" ref="C70">_xlfn.XMATCH('F4-4 Arena'!$I$12,'F4-4 Arena'!$C$6:$C$20)</f>
        <v>15</v>
      </c>
    </row>
    <row r="71" spans="1:20">
      <c r="A71" t="s">
        <v>481</v>
      </c>
      <c r="B71" t="s">
        <v>482</v>
      </c>
      <c r="C71" cm="1">
        <f t="array" ref="C71">INDEX('F4-4 Arena'!$E$6:$E$20,5)</f>
        <v>1.2</v>
      </c>
    </row>
    <row r="72" spans="1:20">
      <c r="A72" t="s">
        <v>504</v>
      </c>
      <c r="B72" t="s">
        <v>433</v>
      </c>
      <c r="E72" t="s">
        <v>448</v>
      </c>
      <c r="F72" t="s">
        <v>449</v>
      </c>
      <c r="G72" t="s">
        <v>450</v>
      </c>
      <c r="H72" t="s">
        <v>134</v>
      </c>
      <c r="I72" t="s">
        <v>451</v>
      </c>
      <c r="J72" t="s">
        <v>452</v>
      </c>
    </row>
    <row r="73" spans="1:20">
      <c r="A73" t="s">
        <v>506</v>
      </c>
      <c r="B73" t="s">
        <v>436</v>
      </c>
      <c r="E73" t="s">
        <v>454</v>
      </c>
      <c r="F73" t="s">
        <v>455</v>
      </c>
      <c r="G73" t="s">
        <v>456</v>
      </c>
      <c r="H73" t="s">
        <v>135</v>
      </c>
      <c r="I73" t="s">
        <v>457</v>
      </c>
      <c r="J73" t="s">
        <v>458</v>
      </c>
    </row>
    <row r="74" spans="1:20">
      <c r="A74" t="s">
        <v>508</v>
      </c>
      <c r="B74" t="s">
        <v>439</v>
      </c>
      <c r="E74" t="s">
        <v>135</v>
      </c>
    </row>
    <row r="75" spans="1:20">
      <c r="A75" t="s">
        <v>510</v>
      </c>
      <c r="B75" t="s">
        <v>443</v>
      </c>
      <c r="E75" t="s">
        <v>461</v>
      </c>
      <c r="F75" t="s">
        <v>462</v>
      </c>
      <c r="G75" t="s">
        <v>463</v>
      </c>
      <c r="H75" t="s">
        <v>339</v>
      </c>
      <c r="I75" t="s">
        <v>464</v>
      </c>
      <c r="J75" t="s">
        <v>465</v>
      </c>
    </row>
    <row r="76" spans="1:20">
      <c r="A76" t="s">
        <v>512</v>
      </c>
      <c r="B76" t="s">
        <v>133</v>
      </c>
      <c r="E76" t="s">
        <v>149</v>
      </c>
      <c r="F76" t="s">
        <v>150</v>
      </c>
      <c r="G76" t="s">
        <v>151</v>
      </c>
      <c r="H76" t="s">
        <v>54</v>
      </c>
      <c r="I76" t="s">
        <v>152</v>
      </c>
      <c r="J76" t="s">
        <v>153</v>
      </c>
    </row>
    <row r="77" spans="1:20">
      <c r="A77" t="s">
        <v>513</v>
      </c>
      <c r="B77" t="s">
        <v>140</v>
      </c>
      <c r="E77" t="s">
        <v>156</v>
      </c>
      <c r="F77" t="s">
        <v>157</v>
      </c>
      <c r="G77" t="s">
        <v>158</v>
      </c>
    </row>
    <row r="78" spans="1:20">
      <c r="A78" t="s">
        <v>514</v>
      </c>
      <c r="B78" t="s">
        <v>515</v>
      </c>
      <c r="E78" t="s">
        <v>516</v>
      </c>
      <c r="F78" t="s">
        <v>517</v>
      </c>
      <c r="G78" t="s">
        <v>518</v>
      </c>
      <c r="H78" t="s">
        <v>519</v>
      </c>
      <c r="I78" t="s">
        <v>520</v>
      </c>
      <c r="J78" t="s">
        <v>521</v>
      </c>
      <c r="K78" t="s">
        <v>522</v>
      </c>
      <c r="L78" t="s">
        <v>523</v>
      </c>
      <c r="M78" t="s">
        <v>524</v>
      </c>
      <c r="N78" t="s">
        <v>525</v>
      </c>
      <c r="O78" t="s">
        <v>526</v>
      </c>
      <c r="P78" t="s">
        <v>527</v>
      </c>
      <c r="Q78" t="s">
        <v>528</v>
      </c>
      <c r="R78" t="s">
        <v>529</v>
      </c>
      <c r="S78" t="s">
        <v>530</v>
      </c>
      <c r="T78" t="s">
        <v>531</v>
      </c>
    </row>
    <row r="79" spans="1:20">
      <c r="A79" t="s">
        <v>533</v>
      </c>
      <c r="B79" t="s">
        <v>534</v>
      </c>
      <c r="E79" t="s">
        <v>535</v>
      </c>
      <c r="F79" t="s">
        <v>536</v>
      </c>
    </row>
    <row r="80" spans="1:20">
      <c r="A80" t="s">
        <v>538</v>
      </c>
      <c r="B80" t="s">
        <v>539</v>
      </c>
      <c r="E80" t="s">
        <v>540</v>
      </c>
      <c r="F80" t="s">
        <v>541</v>
      </c>
      <c r="G80" t="s">
        <v>542</v>
      </c>
      <c r="H80" t="s">
        <v>543</v>
      </c>
      <c r="I80" t="s">
        <v>544</v>
      </c>
      <c r="J80" t="s">
        <v>545</v>
      </c>
    </row>
    <row r="81" spans="1:10">
      <c r="A81" t="s">
        <v>547</v>
      </c>
      <c r="B81" t="s">
        <v>548</v>
      </c>
      <c r="E81" t="s">
        <v>549</v>
      </c>
    </row>
    <row r="82" spans="1:10">
      <c r="A82" t="s">
        <v>551</v>
      </c>
      <c r="B82" t="s">
        <v>552</v>
      </c>
      <c r="C82" t="s">
        <v>241</v>
      </c>
      <c r="E82" t="s">
        <v>241</v>
      </c>
      <c r="F82" t="s">
        <v>178</v>
      </c>
      <c r="G82" t="s">
        <v>57</v>
      </c>
      <c r="H82" t="s">
        <v>142</v>
      </c>
    </row>
    <row r="83" spans="1:10">
      <c r="A83" t="s">
        <v>554</v>
      </c>
      <c r="B83" t="s">
        <v>555</v>
      </c>
      <c r="C83" t="s">
        <v>143</v>
      </c>
      <c r="E83" t="s">
        <v>237</v>
      </c>
      <c r="F83" t="s">
        <v>143</v>
      </c>
      <c r="G83" t="s">
        <v>178</v>
      </c>
      <c r="H83" t="s">
        <v>241</v>
      </c>
    </row>
    <row r="84" spans="1:10">
      <c r="A84" t="s">
        <v>558</v>
      </c>
      <c r="B84" t="s">
        <v>552</v>
      </c>
      <c r="E84" t="s">
        <v>559</v>
      </c>
    </row>
    <row r="85" spans="1:10">
      <c r="A85" t="s">
        <v>560</v>
      </c>
      <c r="B85" t="s">
        <v>555</v>
      </c>
      <c r="E85" t="s">
        <v>561</v>
      </c>
      <c r="F85" t="s">
        <v>562</v>
      </c>
      <c r="G85" t="s">
        <v>563</v>
      </c>
      <c r="H85" t="s">
        <v>564</v>
      </c>
    </row>
    <row r="86" spans="1:10">
      <c r="A86" t="s">
        <v>565</v>
      </c>
      <c r="B86" t="s">
        <v>566</v>
      </c>
      <c r="C86" cm="1">
        <f t="array" ref="C86">_xlfn.XLOOKUP('F4-5 Arena'!$I$6,'F4-5 Arena'!$L$6:$L$9,'F4-5 Arena'!$M$6:$M$9,,-1)</f>
        <v>0.1</v>
      </c>
    </row>
    <row r="87" spans="1:10">
      <c r="A87" t="s">
        <v>568</v>
      </c>
      <c r="B87" t="s">
        <v>569</v>
      </c>
      <c r="C87" cm="1" t="str">
        <f t="array" ref="C87">VLOOKUP('F4-5 Arena'!$I$9,'F4-5 Arena'!$L$13:$M$17,2,TRUE)</f>
        <v>B</v>
      </c>
    </row>
    <row r="88" spans="1:10">
      <c r="A88" t="s">
        <v>584</v>
      </c>
      <c r="B88" t="s">
        <v>552</v>
      </c>
      <c r="E88" t="s">
        <v>559</v>
      </c>
    </row>
    <row r="89" spans="1:10">
      <c r="A89" t="s">
        <v>586</v>
      </c>
      <c r="B89" t="s">
        <v>555</v>
      </c>
      <c r="E89" t="s">
        <v>561</v>
      </c>
      <c r="F89" t="s">
        <v>562</v>
      </c>
      <c r="G89" t="s">
        <v>563</v>
      </c>
      <c r="H89" t="s">
        <v>564</v>
      </c>
    </row>
    <row r="90" spans="1:10">
      <c r="A90" t="s">
        <v>588</v>
      </c>
      <c r="B90" t="s">
        <v>236</v>
      </c>
      <c r="E90" t="s">
        <v>245</v>
      </c>
      <c r="F90" t="s">
        <v>246</v>
      </c>
      <c r="G90" t="s">
        <v>247</v>
      </c>
      <c r="H90" t="s">
        <v>248</v>
      </c>
    </row>
    <row r="91" spans="1:10">
      <c r="A91" t="s">
        <v>590</v>
      </c>
      <c r="B91" t="s">
        <v>240</v>
      </c>
      <c r="E91" t="s">
        <v>55</v>
      </c>
      <c r="F91" t="s">
        <v>250</v>
      </c>
    </row>
    <row r="92" spans="1:10">
      <c r="A92" t="s">
        <v>591</v>
      </c>
      <c r="B92" t="s">
        <v>592</v>
      </c>
      <c r="E92" t="s">
        <v>593</v>
      </c>
      <c r="F92" t="s">
        <v>594</v>
      </c>
    </row>
    <row r="93" spans="1:10">
      <c r="A93" t="s">
        <v>596</v>
      </c>
      <c r="B93" t="s">
        <v>597</v>
      </c>
      <c r="E93" t="s">
        <v>598</v>
      </c>
      <c r="F93" t="s">
        <v>599</v>
      </c>
      <c r="G93" t="s">
        <v>600</v>
      </c>
      <c r="H93" t="s">
        <v>601</v>
      </c>
      <c r="I93" t="s">
        <v>602</v>
      </c>
      <c r="J93" t="s">
        <v>603</v>
      </c>
    </row>
    <row r="94" spans="1:10">
      <c r="A94" t="s">
        <v>605</v>
      </c>
      <c r="B94" t="s">
        <v>606</v>
      </c>
      <c r="E94" t="s">
        <v>607</v>
      </c>
      <c r="F94" t="s">
        <v>608</v>
      </c>
      <c r="G94" t="s">
        <v>609</v>
      </c>
      <c r="H94" t="s">
        <v>610</v>
      </c>
      <c r="I94" t="s">
        <v>611</v>
      </c>
      <c r="J94" t="s">
        <v>612</v>
      </c>
    </row>
    <row r="95" spans="1:10">
      <c r="A95" t="s">
        <v>614</v>
      </c>
      <c r="B95" t="s">
        <v>615</v>
      </c>
      <c r="E95" t="s">
        <v>616</v>
      </c>
      <c r="F95" t="s">
        <v>617</v>
      </c>
      <c r="G95" t="s">
        <v>618</v>
      </c>
      <c r="H95" t="s">
        <v>619</v>
      </c>
      <c r="I95" t="s">
        <v>620</v>
      </c>
      <c r="J95" t="s">
        <v>621</v>
      </c>
    </row>
    <row r="96" spans="1:10">
      <c r="A96" t="s">
        <v>625</v>
      </c>
      <c r="B96" t="s">
        <v>626</v>
      </c>
      <c r="C96" cm="1">
        <f t="array" ref="C96">_xlfn.XLOOKUP('Boss Arena'!$I$6,'Boss Arena'!$B$6:$B$20,'Boss Arena'!$E$6:$E$20)</f>
        <v>0.2</v>
      </c>
    </row>
    <row r="97" spans="1:8">
      <c r="A97" t="s">
        <v>629</v>
      </c>
      <c r="B97" t="s">
        <v>630</v>
      </c>
      <c r="E97" cm="1">
        <f t="array" ref="E97">_xlfn.XLOOKUP('Boss Arena'!$I$9,'Boss Arena'!$B$6:$B$20,'Boss Arena'!$F$6:$F$20)</f>
        <v>200</v>
      </c>
      <c r="F97" cm="1">
        <f t="array" ref="F97">_xlfn.XLOOKUP('Boss Arena'!$I$10,'Boss Arena'!$B$6:$B$20,'Boss Arena'!$F$6:$F$20)</f>
        <v>8</v>
      </c>
      <c r="G97" cm="1">
        <f t="array" ref="G97">_xlfn.XLOOKUP('Boss Arena'!$I$11,'Boss Arena'!$B$6:$B$20,'Boss Arena'!$F$6:$F$20)</f>
        <v>18</v>
      </c>
      <c r="H97" cm="1">
        <f t="array" ref="H97">_xlfn.XLOOKUP('Boss Arena'!$I$12,'Boss Arena'!$B$6:$B$20,'Boss Arena'!$F$6:$F$20)</f>
        <v>25</v>
      </c>
    </row>
    <row r="98" spans="1:8">
      <c r="A98" t="s">
        <v>633</v>
      </c>
      <c r="B98" t="s">
        <v>634</v>
      </c>
      <c r="C98" cm="1" t="str">
        <f t="array" ref="C98">_xlfn.XLOOKUP('Boss Arena'!$I$15,'Boss Arena'!$B$6:$B$20,'Boss Arena'!$C$6:$C$20,"Not found")</f>
        <v>Not found</v>
      </c>
    </row>
    <row r="99" spans="1:8">
      <c r="A99" t="s">
        <v>637</v>
      </c>
      <c r="B99" t="s">
        <v>638</v>
      </c>
    </row>
    <row r="100" spans="1:8">
      <c r="A100" t="s">
        <v>641</v>
      </c>
      <c r="B100" t="s">
        <v>642</v>
      </c>
      <c r="C100" cm="1" t="str">
        <f t="array" ref="C100">VLOOKUP('Boss Arena'!$I$21,'Boss Arena'!$B$6:$F$20,3,FALSE)</f>
        <v>Veg</v>
      </c>
    </row>
    <row r="101" spans="1:8">
      <c r="A101" t="s">
        <v>645</v>
      </c>
      <c r="B101" t="s">
        <v>646</v>
      </c>
      <c r="C101" cm="1" t="str">
        <f t="array" ref="C101">INDEX('Boss Arena'!$B$6:$B$20,MATCH('Boss Arena'!$I$24,'Boss Arena'!$C$6:$C$20,0))</f>
        <v>P-06</v>
      </c>
    </row>
    <row r="102" spans="1:8">
      <c r="A102" t="s">
        <v>649</v>
      </c>
      <c r="B102" t="s">
        <v>650</v>
      </c>
      <c r="C102" cm="1">
        <f t="array" ref="C102">_xlfn.XMATCH('Boss Arena'!$I$27,'Boss Arena'!$C$6:$C$20)</f>
        <v>12</v>
      </c>
    </row>
    <row r="103" spans="1:8">
      <c r="A103" t="s">
        <v>653</v>
      </c>
      <c r="B103" t="s">
        <v>654</v>
      </c>
      <c r="C103" cm="1">
        <f t="array" ref="C103">_xlfn.XLOOKUP('Boss Arena'!$I$30,'Boss Arena'!$L$6:$L$9,'Boss Arena'!$M$6:$M$9,,-1)</f>
        <v>0.15</v>
      </c>
    </row>
    <row r="2001" spans="5:5">
      <c r="E2001" cm="1">
        <f t="array" ref="E2001">_xlfn.XLOOKUP('F4-2 Arena'!$I$9,'F4-2 Arena'!$B$6:$B$20,'F4-2 Arena'!$E$6:$F$20)</f>
        <v>1.2</v>
      </c>
    </row>
    <row r="2101" spans="5:5">
      <c r="E2101" cm="1">
        <f t="array" ref="E2101">_xlfn.XLOOKUP('Boss Arena'!$I$18,'Boss Arena'!$B$6:$B$20,'Boss Arena'!$E$6:$F$20)</f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Start</vt:lpstr>
      <vt:lpstr>F4-1 Seeker</vt:lpstr>
      <vt:lpstr>F4-1 Arena</vt:lpstr>
      <vt:lpstr>F4-2 Safety Net</vt:lpstr>
      <vt:lpstr>F4-2 Arena</vt:lpstr>
      <vt:lpstr>F4-3 Old School</vt:lpstr>
      <vt:lpstr>F4-3 Arena</vt:lpstr>
      <vt:lpstr>F4-4 Power Couple</vt:lpstr>
      <vt:lpstr>F4-4 Arena</vt:lpstr>
      <vt:lpstr>F4-5 Tiers</vt:lpstr>
      <vt:lpstr>F4-5 Arena</vt:lpstr>
      <vt:lpstr>Boss</vt:lpstr>
      <vt:lpstr>Boss Arena</vt:lpstr>
      <vt:lpstr>Cheat Codes</vt:lpstr>
      <vt:lpstr>Boss!Print_Titles</vt:lpstr>
      <vt:lpstr>'Cheat Codes'!Print_Titles</vt:lpstr>
      <vt:lpstr>'F4-1 Seeker'!Print_Titles</vt:lpstr>
      <vt:lpstr>'F4-2 Safety Net'!Print_Titles</vt:lpstr>
      <vt:lpstr>'F4-3 Old School'!Print_Titles</vt:lpstr>
      <vt:lpstr>'F4-4 Power Couple'!Print_Titles</vt:lpstr>
      <vt:lpstr>'F4-5 Tiers'!Print_Titles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4 · Lookups</dc:title>
  <dc:subject>Excel practice: Find a value in one column and bring back its partner from another.</dc:subject>
  <dc:creator>excel-drills</dc:creator>
  <cp:keywords>Excel, practice, formulas, Lookups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