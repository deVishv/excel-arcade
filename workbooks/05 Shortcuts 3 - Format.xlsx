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S3-1 Number Skins" sheetId="2" r:id="rId2"/>
    <sheet name="S3-1 Arena" sheetId="3" r:id="rId3"/>
    <sheet name="S3-2 Text Style" sheetId="4" r:id="rId4"/>
    <sheet name="S3-2 Arena" sheetId="5" r:id="rId5"/>
    <sheet name="S3-3 Format Power" sheetId="6" r:id="rId6"/>
    <sheet name="S3-3 Arena" sheetId="7" r:id="rId7"/>
    <sheet name="Boss" sheetId="8" r:id="rId8"/>
    <sheet name="Boss Arena" sheetId="9" r:id="rId9"/>
    <sheet name="Cheat Codes" sheetId="10" r:id="rId10"/>
    <sheet name="Key" sheetId="11" state="veryHidden" r:id="rId11"/>
  </sheets>
  <definedNames>
    <definedName name="_xlnm.Print_Titles" localSheetId="7">Boss!$1:$4</definedName>
    <definedName name="_xlnm.Print_Titles" localSheetId="9">'Cheat Codes'!$4:$4</definedName>
    <definedName name="_xlnm.Print_Titles" localSheetId="1">'S3-1 Number Skins'!$1:$4</definedName>
    <definedName name="_xlnm.Print_Titles" localSheetId="3">'S3-2 Text Style'!$1:$4</definedName>
    <definedName name="_xlnm.Print_Titles" localSheetId="5">'S3-3 Format Power'!$1:$4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<sst xmlns="http://schemas.openxmlformats.org/spreadsheetml/2006/main" count="1020" uniqueCount="606">
  <si>
    <t>Challenge</t>
  </si>
  <si>
    <t>Hint</t>
  </si>
  <si>
    <t>Expected</t>
  </si>
  <si>
    <t>Lists / per-cell expectations →</t>
  </si>
  <si>
    <t>ARENA ▸ S3-1 NUMBER SKINS</t>
  </si>
  <si>
    <t>Practice area · everything here is editable. Missions and their checks are on the stage sheet.</t>
  </si>
  <si>
    <t>PASS CODE</t>
  </si>
  <si>
    <t>SKINS</t>
  </si>
  <si>
    <t>◀ Back to S3-1 Number Skins</t>
  </si>
  <si>
    <t>Price</t>
  </si>
  <si>
    <t>Share</t>
  </si>
  <si>
    <t>Big number</t>
  </si>
  <si>
    <t>Date</t>
  </si>
  <si>
    <t>Time</t>
  </si>
  <si>
    <t>Reset me</t>
  </si>
  <si>
    <t>BRIEFING · new moves in this stage</t>
  </si>
  <si>
    <t>#</t>
  </si>
  <si>
    <t>What it does · Pro tip</t>
  </si>
  <si>
    <t>Keys / Syntax</t>
  </si>
  <si>
    <t>1</t>
  </si>
  <si>
    <r>
      <rPr>
        <b/>
        <sz val="12"/>
        <color rgb="FF1F2328"/>
        <rFont val="Calibri"/>
        <family val="2"/>
        <scheme val="minor"/>
      </rPr>
      <t>Currency format with two decimals.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Negative amounts show in parentheses.</t>
    </r>
  </si>
  <si>
    <t>Ctrl+Shift+$</t>
  </si>
  <si>
    <t>2</t>
  </si>
  <si>
    <r>
      <rPr>
        <b/>
        <sz val="12"/>
        <color rgb="FF1F2328"/>
        <rFont val="Calibri"/>
        <family val="2"/>
        <scheme val="minor"/>
      </rPr>
      <t>Percent format with no decimals.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0.25 shows as 25%.</t>
    </r>
  </si>
  <si>
    <t>Ctrl+Shift+%</t>
  </si>
  <si>
    <t>3</t>
  </si>
  <si>
    <r>
      <rPr>
        <b/>
        <sz val="12"/>
        <color rgb="FF1F2328"/>
        <rFont val="Calibri"/>
        <family val="2"/>
        <scheme val="minor"/>
      </rPr>
      <t>Number format: two decimals and a thousands separator.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1234567.891 shows as 1,234,567.89.</t>
    </r>
  </si>
  <si>
    <t>Ctrl+Shift+!</t>
  </si>
  <si>
    <t>4</t>
  </si>
  <si>
    <r>
      <rPr>
        <b/>
        <sz val="12"/>
        <color rgb="FF1F2328"/>
        <rFont val="Calibri"/>
        <family val="2"/>
        <scheme val="minor"/>
      </rPr>
      <t>Date format with day, month and year.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Turns a serial number like 46100 into a readable date.</t>
    </r>
  </si>
  <si>
    <t>Ctrl+Shift+#</t>
  </si>
  <si>
    <t>5</t>
  </si>
  <si>
    <r>
      <rPr>
        <b/>
        <sz val="12"/>
        <color rgb="FF1F2328"/>
        <rFont val="Calibri"/>
        <family val="2"/>
        <scheme val="minor"/>
      </rPr>
      <t>Time format with hours, minutes and AM/PM.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0.75 shows as 6:00 PM.</t>
    </r>
  </si>
  <si>
    <t>Ctrl+Shift+@</t>
  </si>
  <si>
    <t>6</t>
  </si>
  <si>
    <r>
      <rPr>
        <b/>
        <sz val="12"/>
        <color rgb="FF1F2328"/>
        <rFont val="Calibri"/>
        <family val="2"/>
        <scheme val="minor"/>
      </rPr>
      <t>Back to the General format (no special formatting).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Use it to see the raw number behind any format.</t>
    </r>
  </si>
  <si>
    <t>Ctrl+Shift+~</t>
  </si>
  <si>
    <t>WARM-UP · flashback to earlier stages</t>
  </si>
  <si>
    <t>Mission</t>
  </si>
  <si>
    <t>Your answer</t>
  </si>
  <si>
    <t>Result</t>
  </si>
  <si>
    <t>Hint?</t>
  </si>
  <si>
    <t>XP</t>
  </si>
  <si>
    <t>S3-1 Number Skins W1</t>
  </si>
  <si>
    <t>Three letters: all must pass.</t>
  </si>
  <si>
    <t>=AND</t>
  </si>
  <si>
    <t>=AND(</t>
  </si>
  <si>
    <t>=AND()</t>
  </si>
  <si>
    <t>AND</t>
  </si>
  <si>
    <t>AND(</t>
  </si>
  <si>
    <t>AND()</t>
  </si>
  <si>
    <t>W1</t>
  </si>
  <si>
    <t>Which function is TRUE only when all its conditions are TRUE?  (from F2-3 Combo Moves)</t>
  </si>
  <si>
    <t>S3-1 Number Skins W2</t>
  </si>
  <si>
    <t>Two letters: any can pass.</t>
  </si>
  <si>
    <t>=OR</t>
  </si>
  <si>
    <t>=OR(</t>
  </si>
  <si>
    <t>=OR()</t>
  </si>
  <si>
    <t>OR</t>
  </si>
  <si>
    <t>OR(</t>
  </si>
  <si>
    <t>OR()</t>
  </si>
  <si>
    <t>W2</t>
  </si>
  <si>
    <t>Which function is TRUE when at least one condition is TRUE?  (from F2-3 Combo Moves)</t>
  </si>
  <si>
    <t>S3-1 Number Skins W3</t>
  </si>
  <si>
    <t>Three letters: the opposite.</t>
  </si>
  <si>
    <t>=NOT</t>
  </si>
  <si>
    <t>=NOT(</t>
  </si>
  <si>
    <t>=NOT()</t>
  </si>
  <si>
    <t>NOT</t>
  </si>
  <si>
    <t>NOT(</t>
  </si>
  <si>
    <t>NOT()</t>
  </si>
  <si>
    <t>W3</t>
  </si>
  <si>
    <t>Which function flips TRUE and FALSE?  (from F2-3 Combo Moves)</t>
  </si>
  <si>
    <t>S3-1 Number Skins W4</t>
  </si>
  <si>
    <t>Alt plus the equals key.</t>
  </si>
  <si>
    <t>ALT+=</t>
  </si>
  <si>
    <t>W4</t>
  </si>
  <si>
    <t>Which keys insert an AutoSum formula?  (from F1-2 Big Six)</t>
  </si>
  <si>
    <t>S3-1 Number Skins W5</t>
  </si>
  <si>
    <t>Put $ before the column and the row.</t>
  </si>
  <si>
    <t>$E$6</t>
  </si>
  <si>
    <t>W5</t>
  </si>
  <si>
    <t>Type the absolute version of the reference E6.  (from F1-3 Anchors)</t>
  </si>
  <si>
    <t>S3-1 Number Skins W6</t>
  </si>
  <si>
    <t>The $ goes right before 16.</t>
  </si>
  <si>
    <t>C$16</t>
  </si>
  <si>
    <t>W6</t>
  </si>
  <si>
    <t>Type a reference to C16 that locks only the row.  (from F1-3 Anchors)</t>
  </si>
  <si>
    <t>S3-1 Number Skins W7</t>
  </si>
  <si>
    <t>A function key between F3 and F5.</t>
  </si>
  <si>
    <t>F4</t>
  </si>
  <si>
    <t>W7</t>
  </si>
  <si>
    <t>Which key adds or cycles the $ signs on a reference you are editing?  (from F1-3 Anchors)</t>
  </si>
  <si>
    <t>S3-1 Number Skins W8</t>
  </si>
  <si>
    <t>D for Down.</t>
  </si>
  <si>
    <t>CTRL+D</t>
  </si>
  <si>
    <t>W8</t>
  </si>
  <si>
    <t>Which keys copy the top cell down into the selected cells?  (from F1-3 Anchors)</t>
  </si>
  <si>
    <t>S3-1 Number Skins W9</t>
  </si>
  <si>
    <t>The plain rounding function.</t>
  </si>
  <si>
    <t>=ROUND</t>
  </si>
  <si>
    <t>=ROUND(</t>
  </si>
  <si>
    <t>=ROUND()</t>
  </si>
  <si>
    <t>ROUND</t>
  </si>
  <si>
    <t>ROUND(</t>
  </si>
  <si>
    <t>ROUND()</t>
  </si>
  <si>
    <t>W9</t>
  </si>
  <si>
    <t>Which function rounds a number to a chosen number of digits?  (from F1-4 Precision)</t>
  </si>
  <si>
    <t>S3-1 Number Skins W10</t>
  </si>
  <si>
    <t>ROUND plus a direction.</t>
  </si>
  <si>
    <t>=ROUNDUP</t>
  </si>
  <si>
    <t>=ROUNDUP(</t>
  </si>
  <si>
    <t>=ROUNDUP()</t>
  </si>
  <si>
    <t>ROUNDUP</t>
  </si>
  <si>
    <t>ROUNDUP(</t>
  </si>
  <si>
    <t>ROUNDUP()</t>
  </si>
  <si>
    <t>W10</t>
  </si>
  <si>
    <t>Which function always rounds up, away from zero?  (from F1-4 Precision)</t>
  </si>
  <si>
    <t>TRAINING · recognize the move (pick from the list)</t>
  </si>
  <si>
    <t>S3-1 Number Skins T1</t>
  </si>
  <si>
    <t>Ctrl+Shift plus the dollar key.</t>
  </si>
  <si>
    <t>Alt+H, A, C</t>
  </si>
  <si>
    <t>Ctrl+5</t>
  </si>
  <si>
    <t>T1</t>
  </si>
  <si>
    <t>Which keys apply the Currency format?</t>
  </si>
  <si>
    <t>S3-1 Number Skins T2</t>
  </si>
  <si>
    <t>Ctrl+Shift plus the % key.</t>
  </si>
  <si>
    <t>Ctrl+U</t>
  </si>
  <si>
    <t>Ctrl+Shift+_</t>
  </si>
  <si>
    <t>T2</t>
  </si>
  <si>
    <t>Which keys apply the Percent format?</t>
  </si>
  <si>
    <t>S3-1 Number Skins T3</t>
  </si>
  <si>
    <t>Ctrl+Shift plus the ! key.</t>
  </si>
  <si>
    <t>T3</t>
  </si>
  <si>
    <t>Which keys apply the Number format with a thousands separator?</t>
  </si>
  <si>
    <t>S3-1 Number Skins T4</t>
  </si>
  <si>
    <t>Ctrl+Shift plus the # key.</t>
  </si>
  <si>
    <t>Ctrl+1</t>
  </si>
  <si>
    <t>Alt+H, H</t>
  </si>
  <si>
    <t>T4</t>
  </si>
  <si>
    <t>Which keys apply the Date format?</t>
  </si>
  <si>
    <t>S3-1 Number Skins T5</t>
  </si>
  <si>
    <t>Ctrl+Shift plus the @ key.</t>
  </si>
  <si>
    <t>T5</t>
  </si>
  <si>
    <t>Which keys apply the Time format?</t>
  </si>
  <si>
    <t>S3-1 Number Skins T6</t>
  </si>
  <si>
    <t>Ctrl+Shift plus the ~ key.</t>
  </si>
  <si>
    <t>T6</t>
  </si>
  <si>
    <t>Which keys reset a cell to the General format?</t>
  </si>
  <si>
    <t>CHALLENGES · recall it, then do it</t>
  </si>
  <si>
    <t>▶ Open S3-1 Arena (or press Ctrl+PgDn)</t>
  </si>
  <si>
    <t>S3-1 Number Skins C1</t>
  </si>
  <si>
    <t>CTRL+SHIFT+$</t>
  </si>
  <si>
    <t>CTRL+SHIFT+4</t>
  </si>
  <si>
    <t>SHIFT+CTRL+$</t>
  </si>
  <si>
    <t>SHIFT+CTRL+4</t>
  </si>
  <si>
    <t>C1</t>
  </si>
  <si>
    <t>S3-1 Number Skins C2</t>
  </si>
  <si>
    <t>CTRL+SHIFT+%</t>
  </si>
  <si>
    <t>CTRL+SHIFT+5</t>
  </si>
  <si>
    <t>SHIFT+CTRL+%</t>
  </si>
  <si>
    <t>SHIFT+CTRL+5</t>
  </si>
  <si>
    <t>C2</t>
  </si>
  <si>
    <t>S3-1 Number Skins C3</t>
  </si>
  <si>
    <t>CTRL+SHIFT+!</t>
  </si>
  <si>
    <t>CTRL+SHIFT+1</t>
  </si>
  <si>
    <t>SHIFT+CTRL+!</t>
  </si>
  <si>
    <t>SHIFT+CTRL+1</t>
  </si>
  <si>
    <t>C3</t>
  </si>
  <si>
    <t>S3-1 Number Skins C4</t>
  </si>
  <si>
    <t>CTRL+SHIFT+#</t>
  </si>
  <si>
    <t>CTRL+SHIFT+3</t>
  </si>
  <si>
    <t>SHIFT+CTRL+#</t>
  </si>
  <si>
    <t>SHIFT+CTRL+3</t>
  </si>
  <si>
    <t>C4</t>
  </si>
  <si>
    <t>S3-1 Number Skins C5</t>
  </si>
  <si>
    <t>CTRL+SHIFT+2</t>
  </si>
  <si>
    <t>CTRL+SHIFT+@</t>
  </si>
  <si>
    <t>SHIFT+CTRL+2</t>
  </si>
  <si>
    <t>SHIFT+CTRL+@</t>
  </si>
  <si>
    <t>C5</t>
  </si>
  <si>
    <t>S3-1 Number Skins C6</t>
  </si>
  <si>
    <t>CTRL+SHIFT+`</t>
  </si>
  <si>
    <t>CTRL+SHIFT+~</t>
  </si>
  <si>
    <t>SHIFT+CTRL+`</t>
  </si>
  <si>
    <t>SHIFT+CTRL+~</t>
  </si>
  <si>
    <t>C6</t>
  </si>
  <si>
    <t>S3-1 Number Skins C7</t>
  </si>
  <si>
    <t>Ctrl+Shift+4.</t>
  </si>
  <si>
    <t>C7</t>
  </si>
  <si>
    <t>In the arena select B6:B10 and press Ctrl+Shift+$. Then press F9 to check.</t>
  </si>
  <si>
    <t>▶ ARENA C7 (cell B6)</t>
  </si>
  <si>
    <t>S3-1 Number Skins C8</t>
  </si>
  <si>
    <t>Ctrl+Shift+5.</t>
  </si>
  <si>
    <t>C8</t>
  </si>
  <si>
    <t>Select C6:C10 and press Ctrl+Shift+%. Then press F9.</t>
  </si>
  <si>
    <t>▶ ARENA C8 (cell C6)</t>
  </si>
  <si>
    <t>S3-1 Number Skins C9</t>
  </si>
  <si>
    <t>Ctrl+Shift+1.</t>
  </si>
  <si>
    <t>C9</t>
  </si>
  <si>
    <t>Select D6:D10 and press Ctrl+Shift+!. Then press F9.</t>
  </si>
  <si>
    <t>▶ ARENA C9 (cell D6)</t>
  </si>
  <si>
    <t>S3-1 Number Skins C10</t>
  </si>
  <si>
    <t>Ctrl+Shift+3.</t>
  </si>
  <si>
    <t>C10</t>
  </si>
  <si>
    <t>Select E6:E10 and press Ctrl+Shift+#: the numbers become dates. Then press F9.</t>
  </si>
  <si>
    <t>▶ ARENA C10 (cell E6)</t>
  </si>
  <si>
    <t>S3-1 Number Skins C11</t>
  </si>
  <si>
    <t>Ctrl+Shift+2.</t>
  </si>
  <si>
    <t>C11</t>
  </si>
  <si>
    <t>Select F6:F10 and press Ctrl+Shift+@: the fractions become times. Then press F9.</t>
  </si>
  <si>
    <t>▶ ARENA C11 (cell F6)</t>
  </si>
  <si>
    <t>S3-1 Number Skins C12</t>
  </si>
  <si>
    <t>Ctrl+Shift plus the key left of 1.</t>
  </si>
  <si>
    <t>C12</t>
  </si>
  <si>
    <t>G6:G10 are dressed as currency. Select them and press Ctrl+Shift+~ to strip the format. Then press F9.</t>
  </si>
  <si>
    <t>▶ ARENA C12 (cell G6)</t>
  </si>
  <si>
    <t>STAGE S3-1 ▸ NUMBER SKINS</t>
  </si>
  <si>
    <t>Goal: change how numbers look in one keystroke</t>
  </si>
  <si>
    <t>ARENA ▸ S3-2 TEXT STYLE</t>
  </si>
  <si>
    <t>STYLE</t>
  </si>
  <si>
    <t>◀ Back to S3-2 Text Style</t>
  </si>
  <si>
    <t>Make me bold</t>
  </si>
  <si>
    <t>Make me italic</t>
  </si>
  <si>
    <t>Underline me</t>
  </si>
  <si>
    <t>Strike me out</t>
  </si>
  <si>
    <r>
      <rPr>
        <b/>
        <sz val="12"/>
        <color rgb="FF1F2328"/>
        <rFont val="Calibri"/>
        <family val="2"/>
        <scheme val="minor"/>
      </rPr>
      <t>Bold on or off.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Ctrl+2 does the same.</t>
    </r>
  </si>
  <si>
    <t>Ctrl+B</t>
  </si>
  <si>
    <r>
      <rPr>
        <b/>
        <sz val="12"/>
        <color rgb="FF1F2328"/>
        <rFont val="Calibri"/>
        <family val="2"/>
        <scheme val="minor"/>
      </rPr>
      <t>Italic on or off.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Ctrl+3 does the same.</t>
    </r>
  </si>
  <si>
    <t>Ctrl+I</t>
  </si>
  <si>
    <r>
      <rPr>
        <b/>
        <sz val="12"/>
        <color rgb="FF1F2328"/>
        <rFont val="Calibri"/>
        <family val="2"/>
        <scheme val="minor"/>
      </rPr>
      <t>Underline on or off.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Ctrl+4 does the same.</t>
    </r>
  </si>
  <si>
    <r>
      <rPr>
        <b/>
        <sz val="12"/>
        <color rgb="FF1F2328"/>
        <rFont val="Calibri"/>
        <family val="2"/>
        <scheme val="minor"/>
      </rPr>
      <t>Strikethrough on or off.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Handy for crossing off done tasks.</t>
    </r>
  </si>
  <si>
    <t>S3-2 Text Style W1</t>
  </si>
  <si>
    <t>Which keys apply the Currency format?  (from S3-1 Number Skins)</t>
  </si>
  <si>
    <t>S3-2 Text Style W2</t>
  </si>
  <si>
    <t>Which keys apply the Percent format?  (from S3-1 Number Skins)</t>
  </si>
  <si>
    <t>S3-2 Text Style W3</t>
  </si>
  <si>
    <t>Which keys apply the Number format with a thousands separator?  (from S3-1 Number Skins)</t>
  </si>
  <si>
    <t>S3-2 Text Style W4</t>
  </si>
  <si>
    <t>Which keys apply the Date format?  (from S3-1 Number Skins)</t>
  </si>
  <si>
    <t>S3-2 Text Style W5</t>
  </si>
  <si>
    <t>Which keys apply the Time format?  (from S3-1 Number Skins)</t>
  </si>
  <si>
    <t>S3-2 Text Style W6</t>
  </si>
  <si>
    <t>Which keys reset a cell to the General format?  (from S3-1 Number Skins)</t>
  </si>
  <si>
    <t>S3-2 Text Style W7</t>
  </si>
  <si>
    <t>One fewer than the outcomes.</t>
  </si>
  <si>
    <t>TWO</t>
  </si>
  <si>
    <t>How many IF functions does a nested IF need for 3 outcomes?  (from F2-4 Multi-Level)</t>
  </si>
  <si>
    <t>S3-2 Text Style W8</t>
  </si>
  <si>
    <t>IF plus one letter.</t>
  </si>
  <si>
    <t>=IFS</t>
  </si>
  <si>
    <t>=IFS(</t>
  </si>
  <si>
    <t>=IFS()</t>
  </si>
  <si>
    <t>IFS</t>
  </si>
  <si>
    <t>IFS(</t>
  </si>
  <si>
    <t>IFS()</t>
  </si>
  <si>
    <t>Which function tests several conditions in order without nesting?  (from F2-4 Multi-Level)</t>
  </si>
  <si>
    <t>S3-2 Text Style W9</t>
  </si>
  <si>
    <t>A test that is always true.</t>
  </si>
  <si>
    <t>TRUE</t>
  </si>
  <si>
    <t>In IFS, what do you put as the last test to catch all remaining cases?  (from F2-4 Multi-Level)</t>
  </si>
  <si>
    <t>S3-2 Text Style W10</t>
  </si>
  <si>
    <t>ROUND plus the other direction.</t>
  </si>
  <si>
    <t>=ROUNDDOWN</t>
  </si>
  <si>
    <t>=ROUNDDOWN(</t>
  </si>
  <si>
    <t>=ROUNDDOWN()</t>
  </si>
  <si>
    <t>ROUNDDOWN</t>
  </si>
  <si>
    <t>ROUNDDOWN(</t>
  </si>
  <si>
    <t>ROUNDDOWN()</t>
  </si>
  <si>
    <t>Which function always rounds down, toward zero?  (from F1-4 Precision)</t>
  </si>
  <si>
    <t>S3-2 Text Style T1</t>
  </si>
  <si>
    <t>B for Bold.</t>
  </si>
  <si>
    <t>Which keys toggle bold?</t>
  </si>
  <si>
    <t>S3-2 Text Style T2</t>
  </si>
  <si>
    <t>I for Italic.</t>
  </si>
  <si>
    <t>Which keys toggle italic?</t>
  </si>
  <si>
    <t>S3-2 Text Style T3</t>
  </si>
  <si>
    <t>U for Underline.</t>
  </si>
  <si>
    <t>Ctrl+Shift+&amp;</t>
  </si>
  <si>
    <t>Which keys toggle underline?</t>
  </si>
  <si>
    <t>S3-2 Text Style T4</t>
  </si>
  <si>
    <t>Ctrl plus a number key.</t>
  </si>
  <si>
    <t>Which keys toggle strikethrough?</t>
  </si>
  <si>
    <t>▶ Open S3-2 Arena (or press Ctrl+PgDn)</t>
  </si>
  <si>
    <t>S3-2 Text Style C1</t>
  </si>
  <si>
    <t>CTRL+2</t>
  </si>
  <si>
    <t>CTRL+B</t>
  </si>
  <si>
    <t>S3-2 Text Style C2</t>
  </si>
  <si>
    <t>CTRL+3</t>
  </si>
  <si>
    <t>CTRL+I</t>
  </si>
  <si>
    <t>S3-2 Text Style C3</t>
  </si>
  <si>
    <t>CTRL+4</t>
  </si>
  <si>
    <t>CTRL+U</t>
  </si>
  <si>
    <t>S3-2 Text Style C4</t>
  </si>
  <si>
    <t>CTRL+5</t>
  </si>
  <si>
    <t>S3-2 Text Style C5</t>
  </si>
  <si>
    <t>Select each cell, then press its keys.</t>
  </si>
  <si>
    <t>Done</t>
  </si>
  <si>
    <t>In the arena: make B6 bold (Ctrl+B), B7 italic (Ctrl+I), B8 underlined (Ctrl+U) and B9 struck through (Ctrl+5). Then pick Done here.</t>
  </si>
  <si>
    <t>STAGE S3-2 ▸ TEXT STYLE</t>
  </si>
  <si>
    <t>Goal: emphasize text without the ribbon</t>
  </si>
  <si>
    <t>ARENA ▸ S3-3 FORMAT POWER</t>
  </si>
  <si>
    <t>POWER</t>
  </si>
  <si>
    <t>◀ Back to S3-3 Format Power</t>
  </si>
  <si>
    <t>1 decimal</t>
  </si>
  <si>
    <t>Center me</t>
  </si>
  <si>
    <t>Percent ×4</t>
  </si>
  <si>
    <t>Box me</t>
  </si>
  <si>
    <t>left</t>
  </si>
  <si>
    <t>box</t>
  </si>
  <si>
    <t>middle</t>
  </si>
  <si>
    <t>right</t>
  </si>
  <si>
    <t>top</t>
  </si>
  <si>
    <r>
      <rPr>
        <b/>
        <sz val="12"/>
        <color rgb="FF1F2328"/>
        <rFont val="Calibri"/>
        <family val="2"/>
        <scheme val="minor"/>
      </rPr>
      <t>Open Format Cells: every number, alignment, font and border option.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Ctrl+1 then Tab through the choices.</t>
    </r>
  </si>
  <si>
    <r>
      <rPr>
        <b/>
        <sz val="12"/>
        <color rgb="FF1F2328"/>
        <rFont val="Calibri"/>
        <family val="2"/>
        <scheme val="minor"/>
      </rPr>
      <t>Add an outline border around the selection.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Ctrl+Shift+_ removes it again.</t>
    </r>
  </si>
  <si>
    <r>
      <rPr>
        <b/>
        <sz val="12"/>
        <color rgb="FF1F2328"/>
        <rFont val="Calibri"/>
        <family val="2"/>
        <scheme val="minor"/>
      </rPr>
      <t>Remove the outline border from the selection.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Pairs with Ctrl+Shift+&amp;.</t>
    </r>
  </si>
  <si>
    <r>
      <rPr>
        <b/>
        <sz val="12"/>
        <color rgb="FF1F2328"/>
        <rFont val="Calibri"/>
        <family val="2"/>
        <scheme val="minor"/>
      </rPr>
      <t>Show KeyTips: a letter for every ribbon command.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Alt, H opens the Home tab; follow the letters from there.</t>
    </r>
  </si>
  <si>
    <t>Alt</t>
  </si>
  <si>
    <r>
      <rPr>
        <b/>
        <sz val="12"/>
        <color rgb="FF1F2328"/>
        <rFont val="Calibri"/>
        <family val="2"/>
        <scheme val="minor"/>
      </rPr>
      <t>Center the cell contents (KeyTips: Home, Align, Center).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Press the keys one after another, not together.</t>
    </r>
  </si>
  <si>
    <r>
      <rPr>
        <b/>
        <sz val="12"/>
        <color rgb="FF1F2328"/>
        <rFont val="Calibri"/>
        <family val="2"/>
        <scheme val="minor"/>
      </rPr>
      <t>Open the Fill Color menu (KeyTips: Home, Fill).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Use the arrow keys to pick a color, then Enter.</t>
    </r>
  </si>
  <si>
    <t>7</t>
  </si>
  <si>
    <r>
      <rPr>
        <b/>
        <sz val="12"/>
        <color rgb="FF1F2328"/>
        <rFont val="Calibri"/>
        <family val="2"/>
        <scheme val="minor"/>
      </rPr>
      <t>Repeat your last action, like the same format on another cell.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Ctrl+Y repeats too.</t>
    </r>
  </si>
  <si>
    <t>S3-3 Format Power W1</t>
  </si>
  <si>
    <t>Which keys toggle bold?  (from S3-2 Text Style)</t>
  </si>
  <si>
    <t>S3-3 Format Power W2</t>
  </si>
  <si>
    <t>Which keys toggle italic?  (from S3-2 Text Style)</t>
  </si>
  <si>
    <t>S3-3 Format Power W3</t>
  </si>
  <si>
    <t>Which keys toggle underline?  (from S3-2 Text Style)</t>
  </si>
  <si>
    <t>S3-3 Format Power W4</t>
  </si>
  <si>
    <t>Which keys toggle strikethrough?  (from S3-2 Text Style)</t>
  </si>
  <si>
    <t>S3-3 Format Power W5</t>
  </si>
  <si>
    <t>IF plus ERROR.</t>
  </si>
  <si>
    <t>=IFERROR</t>
  </si>
  <si>
    <t>=IFERROR(</t>
  </si>
  <si>
    <t>=IFERROR()</t>
  </si>
  <si>
    <t>IFERROR</t>
  </si>
  <si>
    <t>IFERROR(</t>
  </si>
  <si>
    <t>IFERROR()</t>
  </si>
  <si>
    <t>Which function replaces any error with your own value?  (from F2-5 Error Shield)</t>
  </si>
  <si>
    <t>S3-3 Format Power W6</t>
  </si>
  <si>
    <t>IF plus NA.</t>
  </si>
  <si>
    <t>=IFNA</t>
  </si>
  <si>
    <t>=IFNA(</t>
  </si>
  <si>
    <t>=IFNA()</t>
  </si>
  <si>
    <t>IFNA</t>
  </si>
  <si>
    <t>IFNA(</t>
  </si>
  <si>
    <t>IFNA()</t>
  </si>
  <si>
    <t>Which function replaces only the #N/A error?  (from F2-5 Error Shield)</t>
  </si>
  <si>
    <t>S3-3 Format Power W7</t>
  </si>
  <si>
    <t>IS plus BLANK.</t>
  </si>
  <si>
    <t>=ISBLANK</t>
  </si>
  <si>
    <t>=ISBLANK(</t>
  </si>
  <si>
    <t>=ISBLANK()</t>
  </si>
  <si>
    <t>ISBLANK</t>
  </si>
  <si>
    <t>ISBLANK(</t>
  </si>
  <si>
    <t>ISBLANK()</t>
  </si>
  <si>
    <t>Which function is TRUE when a cell is empty?  (from F2-5 Error Shield)</t>
  </si>
  <si>
    <t>S3-3 Format Power W8</t>
  </si>
  <si>
    <t>IS plus NUMBER.</t>
  </si>
  <si>
    <t>=ISNUMBER</t>
  </si>
  <si>
    <t>=ISNUMBER(</t>
  </si>
  <si>
    <t>=ISNUMBER()</t>
  </si>
  <si>
    <t>ISNUMBER</t>
  </si>
  <si>
    <t>ISNUMBER(</t>
  </si>
  <si>
    <t>ISNUMBER()</t>
  </si>
  <si>
    <t>Which function is TRUE when a value is a number?  (from F2-5 Error Shield)</t>
  </si>
  <si>
    <t>S3-3 Format Power W9</t>
  </si>
  <si>
    <t>Ctrl plus the key left of 1.</t>
  </si>
  <si>
    <t>CTRL+BACKTICK</t>
  </si>
  <si>
    <t>CTRL+GRAVE</t>
  </si>
  <si>
    <t>CTRL+GRAVEACCENT</t>
  </si>
  <si>
    <t>CTRL+`</t>
  </si>
  <si>
    <t>Which keys switch between showing results and showing formulas?  (from F1-5 X-Ray)</t>
  </si>
  <si>
    <t>S3-3 Format Power W10</t>
  </si>
  <si>
    <t>The function key after F1.</t>
  </si>
  <si>
    <t>F2</t>
  </si>
  <si>
    <t>Which key edits the active cell and color-codes its references?  (from F1-5 X-Ray)</t>
  </si>
  <si>
    <t>S3-3 Format Power T1</t>
  </si>
  <si>
    <t>Ctrl plus the number 1.</t>
  </si>
  <si>
    <t>Which keys open the Format Cells dialog?</t>
  </si>
  <si>
    <t>S3-3 Format Power T2</t>
  </si>
  <si>
    <t>Ctrl+Shift plus the &amp; key.</t>
  </si>
  <si>
    <t>Which keys add an outline border?</t>
  </si>
  <si>
    <t>S3-3 Format Power T3</t>
  </si>
  <si>
    <t>Ctrl+Shift plus the underscore key.</t>
  </si>
  <si>
    <t>Which keys remove the outline border?</t>
  </si>
  <si>
    <t>S3-3 Format Power T4</t>
  </si>
  <si>
    <t>The key next to the spacebar.</t>
  </si>
  <si>
    <t>Which key shows the ribbon KeyTips?</t>
  </si>
  <si>
    <t>S3-3 Format Power T5</t>
  </si>
  <si>
    <t>Alt, then H, then A, then C.</t>
  </si>
  <si>
    <t>Which KeyTips center the selected cells?</t>
  </si>
  <si>
    <t>S3-3 Format Power T6</t>
  </si>
  <si>
    <t>Alt, then H, then H again.</t>
  </si>
  <si>
    <t>Which KeyTips open the Fill Color menu?</t>
  </si>
  <si>
    <t>S3-3 Format Power T7</t>
  </si>
  <si>
    <t>A function key.</t>
  </si>
  <si>
    <t>T7</t>
  </si>
  <si>
    <t>Which key repeats your last action?</t>
  </si>
  <si>
    <t>▶ Open S3-3 Arena (or press Ctrl+PgDn)</t>
  </si>
  <si>
    <t>S3-3 Format Power C1</t>
  </si>
  <si>
    <t>CTRL+1</t>
  </si>
  <si>
    <t>S3-3 Format Power C2</t>
  </si>
  <si>
    <t>CTRL+SHIFT+&amp;</t>
  </si>
  <si>
    <t>CTRL+SHIFT+7</t>
  </si>
  <si>
    <t>SHIFT+CTRL+&amp;</t>
  </si>
  <si>
    <t>SHIFT+CTRL+7</t>
  </si>
  <si>
    <t>S3-3 Format Power C3</t>
  </si>
  <si>
    <t>CTRL+SHIFT+-</t>
  </si>
  <si>
    <t>CTRL+SHIFT+_</t>
  </si>
  <si>
    <t>SHIFT+CTRL+-</t>
  </si>
  <si>
    <t>SHIFT+CTRL+_</t>
  </si>
  <si>
    <t>S3-3 Format Power C4</t>
  </si>
  <si>
    <t>ALT</t>
  </si>
  <si>
    <t>F10</t>
  </si>
  <si>
    <t>S3-3 Format Power C5</t>
  </si>
  <si>
    <t>ALT+H+A+C</t>
  </si>
  <si>
    <t>ALT+H,A,C</t>
  </si>
  <si>
    <t>ALT+H&gt;A&gt;C</t>
  </si>
  <si>
    <t>ALT+HAC</t>
  </si>
  <si>
    <t>ALT,H+A+C</t>
  </si>
  <si>
    <t>ALT,H,A,C</t>
  </si>
  <si>
    <t>ALT,H&gt;A&gt;C</t>
  </si>
  <si>
    <t>ALT,HAC</t>
  </si>
  <si>
    <t>ALT&gt;H+A+C</t>
  </si>
  <si>
    <t>ALT&gt;H,A,C</t>
  </si>
  <si>
    <t>ALT&gt;H&gt;A&gt;C</t>
  </si>
  <si>
    <t>ALT&gt;HAC</t>
  </si>
  <si>
    <t>ALTH+A+C</t>
  </si>
  <si>
    <t>ALTH,A,C</t>
  </si>
  <si>
    <t>ALTH&gt;A&gt;C</t>
  </si>
  <si>
    <t>ALTHAC</t>
  </si>
  <si>
    <t>S3-3 Format Power C6</t>
  </si>
  <si>
    <t>ALT+H+H</t>
  </si>
  <si>
    <t>ALT+H,H</t>
  </si>
  <si>
    <t>ALT+H&gt;H</t>
  </si>
  <si>
    <t>ALT+HH</t>
  </si>
  <si>
    <t>ALT,H+H</t>
  </si>
  <si>
    <t>ALT,H,H</t>
  </si>
  <si>
    <t>ALT,H&gt;H</t>
  </si>
  <si>
    <t>ALT,HH</t>
  </si>
  <si>
    <t>ALT&gt;H+H</t>
  </si>
  <si>
    <t>ALT&gt;H,H</t>
  </si>
  <si>
    <t>ALT&gt;H&gt;H</t>
  </si>
  <si>
    <t>ALT&gt;HH</t>
  </si>
  <si>
    <t>ALTH+H</t>
  </si>
  <si>
    <t>ALTH,H</t>
  </si>
  <si>
    <t>ALTH&gt;H</t>
  </si>
  <si>
    <t>ALTHH</t>
  </si>
  <si>
    <t>S3-3 Format Power C7</t>
  </si>
  <si>
    <t>CTRL+Y</t>
  </si>
  <si>
    <t>S3-3 Format Power C8</t>
  </si>
  <si>
    <t>Number category, Decimal places = 1.</t>
  </si>
  <si>
    <t>In the arena select B6:B9, press Ctrl+1, choose Number with 1 decimal place and press Enter. Then press F9.</t>
  </si>
  <si>
    <t>▶ ARENA C8 (cell B6)</t>
  </si>
  <si>
    <t>S3-3 Format Power C9</t>
  </si>
  <si>
    <t>Home → Align → Center.</t>
  </si>
  <si>
    <t>Select C6:C9 and press Alt, H, A, C (one after another) to center the text. Then press F9.</t>
  </si>
  <si>
    <t>▶ ARENA C9 (cell C6)</t>
  </si>
  <si>
    <t>S3-3 Format Power C10</t>
  </si>
  <si>
    <t>F4 repeats the last format.</t>
  </si>
  <si>
    <t>Select D6 and press Ctrl+Shift+%. Then click D7 and press F4, click D8 and press F4, click D9 and press F4. Then press F9.</t>
  </si>
  <si>
    <t>▶ ARENA C10 (cell D6)</t>
  </si>
  <si>
    <t>S3-3 Format Power C11</t>
  </si>
  <si>
    <t>Borders first, then fill.</t>
  </si>
  <si>
    <t>Give E6:E9 an outline border (Ctrl+Shift+&amp;), remove it (Ctrl+Shift+_), add it again, then give the cells a yellow fill with Alt, H, H. Pick Done here.</t>
  </si>
  <si>
    <t>STAGE S3-3 ▸ FORMAT POWER</t>
  </si>
  <si>
    <t>Goal: reach every format option from the keyboard</t>
  </si>
  <si>
    <t>BOSS ARENA ▸ FORMAT</t>
  </si>
  <si>
    <t>RUNWAY</t>
  </si>
  <si>
    <t>◀ Back to Boss</t>
  </si>
  <si>
    <t>Cost</t>
  </si>
  <si>
    <t>Rate</t>
  </si>
  <si>
    <t>Day</t>
  </si>
  <si>
    <t>Clock</t>
  </si>
  <si>
    <t>Raw</t>
  </si>
  <si>
    <t>Measure</t>
  </si>
  <si>
    <t>Label</t>
  </si>
  <si>
    <t>Growth</t>
  </si>
  <si>
    <t>one</t>
  </si>
  <si>
    <t>two</t>
  </si>
  <si>
    <t>three</t>
  </si>
  <si>
    <t>SPEEDRUN · stamp START, beat the Boss, stamp FINISH</t>
  </si>
  <si>
    <t>START · select C6 and press Ctrl+Shift+:</t>
  </si>
  <si>
    <t>FINISH · select C7 and press Ctrl+Shift+:</t>
  </si>
  <si>
    <t>TIME</t>
  </si>
  <si>
    <t>PAR</t>
  </si>
  <si>
    <t>BOSS GATE</t>
  </si>
  <si>
    <t>FLASHBACK · moves from earlier worlds</t>
  </si>
  <si>
    <t>Boss F1</t>
  </si>
  <si>
    <t>F1</t>
  </si>
  <si>
    <t>Boss F2</t>
  </si>
  <si>
    <t>Boss F3</t>
  </si>
  <si>
    <t>F3</t>
  </si>
  <si>
    <t>Boss F4</t>
  </si>
  <si>
    <t>Boss F5</t>
  </si>
  <si>
    <t>F5</t>
  </si>
  <si>
    <t>Boss F6</t>
  </si>
  <si>
    <t>F6</t>
  </si>
  <si>
    <t>Boss F7</t>
  </si>
  <si>
    <t>F7</t>
  </si>
  <si>
    <t>Boss F8</t>
  </si>
  <si>
    <t>F8</t>
  </si>
  <si>
    <t>BOSS MISSIONS</t>
  </si>
  <si>
    <t>▶ Open Boss Arena (or press Ctrl+PgDn)</t>
  </si>
  <si>
    <t>Boss B1</t>
  </si>
  <si>
    <t>B1</t>
  </si>
  <si>
    <t>▶ ARENA B1 (cell B6)</t>
  </si>
  <si>
    <t>Boss B2</t>
  </si>
  <si>
    <t>B2</t>
  </si>
  <si>
    <t>▶ ARENA B2 (cell C6)</t>
  </si>
  <si>
    <t>Boss B3</t>
  </si>
  <si>
    <t>B3</t>
  </si>
  <si>
    <t>▶ ARENA B3 (cell D6)</t>
  </si>
  <si>
    <t>Boss B4</t>
  </si>
  <si>
    <t>B4</t>
  </si>
  <si>
    <t>▶ ARENA B4 (cell E6)</t>
  </si>
  <si>
    <t>Boss B5</t>
  </si>
  <si>
    <t>Ctrl+Shift+~.</t>
  </si>
  <si>
    <t>B5</t>
  </si>
  <si>
    <t>▶ ARENA B5 (cell F6)</t>
  </si>
  <si>
    <t>Boss B6</t>
  </si>
  <si>
    <t>Format Cells → Number.</t>
  </si>
  <si>
    <t>B6</t>
  </si>
  <si>
    <t>▶ ARENA B6 (cell G6)</t>
  </si>
  <si>
    <t>Boss B7</t>
  </si>
  <si>
    <t>KeyTips.</t>
  </si>
  <si>
    <t>B7</t>
  </si>
  <si>
    <t>▶ ARENA B7 (cell H6)</t>
  </si>
  <si>
    <t>Boss B8</t>
  </si>
  <si>
    <t>F4 repeats.</t>
  </si>
  <si>
    <t>B8</t>
  </si>
  <si>
    <t>▶ ARENA B8 (cell I6)</t>
  </si>
  <si>
    <t>BOSS ▸ FORMAT</t>
  </si>
  <si>
    <t>Every move from this world in one gauntlet. Clear it under par for rank S.</t>
  </si>
  <si>
    <t>SHORTCUTS 3 ▸ FORMAT</t>
  </si>
  <si>
    <t>Dress numbers, text and cells from the keyboard.</t>
  </si>
  <si>
    <t>HOW TO PLAY</t>
  </si>
  <si>
    <t>1 · Each stage: read the BRIEFING, then answer WARM-UP, TRAINING and CHALLENGES.</t>
  </si>
  <si>
    <t>2 · Yellow cells are yours: type, pick from a list (Alt+↓), or follow a ▶ ARENA link and do the move there.</t>
  </si>
  <si>
    <t>3 · ✔ CLEAR = right · ✘ = try again · · not yet = drill not done. Stuck? Pick 'Show hint' (5 XP instead of 10).</t>
  </si>
  <si>
    <t>4 · Formatting or hiding drills: press F9 to refresh the check. Tab jumps between yellow cells.</t>
  </si>
  <si>
    <t>Needs Windows with Microsoft Excel 365 or 2021+ (English). In Protected View, click Enable Editing.</t>
  </si>
  <si>
    <t>STAGE SELECT</t>
  </si>
  <si>
    <t>Stage</t>
  </si>
  <si>
    <t>Name</t>
  </si>
  <si>
    <t>Score</t>
  </si>
  <si>
    <t>Stars</t>
  </si>
  <si>
    <t>Status</t>
  </si>
  <si>
    <t>Go</t>
  </si>
  <si>
    <t>S3-1</t>
  </si>
  <si>
    <t>Number Skins</t>
  </si>
  <si>
    <t>Go to S3-1 Number Skins</t>
  </si>
  <si>
    <t>S3-2</t>
  </si>
  <si>
    <t>Text Style</t>
  </si>
  <si>
    <t>Go to S3-2 Text Style</t>
  </si>
  <si>
    <t>S3-3</t>
  </si>
  <si>
    <t>Format Power</t>
  </si>
  <si>
    <t>Go to S3-3 Format Power</t>
  </si>
  <si>
    <t>BOSS</t>
  </si>
  <si>
    <t>Boss</t>
  </si>
  <si>
    <t>Go to the Boss</t>
  </si>
  <si>
    <t>TOTAL SCORE</t>
  </si>
  <si>
    <t>RANK</t>
  </si>
  <si>
    <t>S = 100% and under par · A ≥ 90% · B ≥ 75% · C ≥ 50%</t>
  </si>
  <si>
    <t>BEST TIME</t>
  </si>
  <si>
    <t>NEXT UP</t>
  </si>
  <si>
    <t>Replay a stage: select its yellow answer cells and press Delete. Undo an arena drill with Ctrl+Z.</t>
  </si>
  <si>
    <t>CHEAT CODES ▸ FORMAT</t>
  </si>
  <si>
    <t>Every move from this world on one page. Keep it open while you play, or print it (Ctrl+P).</t>
  </si>
  <si>
    <t>What it does</t>
  </si>
  <si>
    <t>Pro tip</t>
  </si>
  <si>
    <t>Currency format with two decimals.</t>
  </si>
  <si>
    <t>Negative amounts show in parentheses.</t>
  </si>
  <si>
    <t>Percent format with no decimals.</t>
  </si>
  <si>
    <t>0.25 shows as 25%.</t>
  </si>
  <si>
    <t>Number format: two decimals and a thousands separator.</t>
  </si>
  <si>
    <t>1234567.891 shows as 1,234,567.89.</t>
  </si>
  <si>
    <t>Date format with day, month and year.</t>
  </si>
  <si>
    <t>Turns a serial number like 46100 into a readable date.</t>
  </si>
  <si>
    <t>Time format with hours, minutes and AM/PM.</t>
  </si>
  <si>
    <t>0.75 shows as 6:00 PM.</t>
  </si>
  <si>
    <t>Back to the General format (no special formatting).</t>
  </si>
  <si>
    <t>Use it to see the raw number behind any format.</t>
  </si>
  <si>
    <t>Bold on or off.</t>
  </si>
  <si>
    <t>Ctrl+2 does the same.</t>
  </si>
  <si>
    <t>Italic on or off.</t>
  </si>
  <si>
    <t>Ctrl+3 does the same.</t>
  </si>
  <si>
    <t>Underline on or off.</t>
  </si>
  <si>
    <t>Ctrl+4 does the same.</t>
  </si>
  <si>
    <t>Strikethrough on or off.</t>
  </si>
  <si>
    <t>Handy for crossing off done tasks.</t>
  </si>
  <si>
    <t>Open Format Cells: every number, alignment, font and border option.</t>
  </si>
  <si>
    <t>Ctrl+1 then Tab through the choices.</t>
  </si>
  <si>
    <t>Add an outline border around the selection.</t>
  </si>
  <si>
    <t>Ctrl+Shift+_ removes it again.</t>
  </si>
  <si>
    <t>Remove the outline border from the selection.</t>
  </si>
  <si>
    <t>Pairs with Ctrl+Shift+&amp;.</t>
  </si>
  <si>
    <t>Show KeyTips: a letter for every ribbon command.</t>
  </si>
  <si>
    <t>Alt, H opens the Home tab; follow the letters from there.</t>
  </si>
  <si>
    <t>Center the cell contents (KeyTips: Home, Align, Center).</t>
  </si>
  <si>
    <t>Press the keys one after another, not together.</t>
  </si>
  <si>
    <t>Open the Fill Color menu (KeyTips: Home, Fill).</t>
  </si>
  <si>
    <t>Use the arrow keys to pick a color, then Enter.</t>
  </si>
  <si>
    <t>Repeat your last action, like the same format on another cell.</t>
  </si>
  <si>
    <t>Ctrl+Y repeats too.</t>
  </si>
</sst>
</file>

<file path=xl/styles.xml><?xml version="1.0" encoding="utf-8"?>
<styleSheet xmlns="http://schemas.openxmlformats.org/spreadsheetml/2006/main">
  <numFmts count="4">
    <numFmt numFmtId="164" formatCode="@"/>
    <numFmt numFmtId="165" formatCode="$#,##0.00_);($#,##0.00)"/>
    <numFmt numFmtId="166" formatCode="h:mm AM/PM"/>
    <numFmt numFmtId="167" formatCode="0&quot; min&quot;"/>
  </numFmts>
  <fonts count="21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2328"/>
      <name val="Calibri"/>
      <family val="2"/>
      <scheme val="minor"/>
    </font>
    <font>
      <sz val="12"/>
      <color rgb="FF14213D"/>
      <name val="Segoe UI Symbol"/>
      <family val="2"/>
    </font>
    <font>
      <u/>
      <sz val="12"/>
      <color rgb="FF0B4FA8"/>
      <name val="Calibri"/>
      <family val="2"/>
      <scheme val="minor"/>
    </font>
    <font>
      <i/>
      <sz val="11"/>
      <color rgb="FF595F69"/>
      <name val="Calibri"/>
      <family val="2"/>
      <scheme val="minor"/>
    </font>
    <font>
      <b/>
      <sz val="14"/>
      <color rgb="FF14213D"/>
      <name val="Consolas"/>
      <family val="2"/>
    </font>
    <font>
      <sz val="14"/>
      <color rgb="FF14213D"/>
      <name val="Segoe UI Symbol"/>
      <family val="2"/>
    </font>
    <font>
      <sz val="14"/>
      <color rgb="FF14213D"/>
      <name val="Consolas"/>
      <family val="2"/>
    </font>
    <font>
      <b/>
      <sz val="12"/>
      <color rgb="FF0B6B2B"/>
      <name val="Segoe UI Symbol"/>
      <family val="2"/>
    </font>
    <font>
      <b/>
      <sz val="12"/>
      <color rgb="FF14213D"/>
      <name val="Consolas"/>
      <family val="2"/>
    </font>
    <font>
      <sz val="12"/>
      <color rgb="FF1F2328"/>
      <name val="Consolas"/>
      <family val="2"/>
    </font>
    <font>
      <b/>
      <sz val="12"/>
      <color rgb="FF4A4F57"/>
      <name val="Segoe UI Symbol"/>
      <family val="2"/>
    </font>
    <font>
      <sz val="11"/>
      <color rgb="FF1F2328"/>
      <name val="Calibri"/>
      <family val="2"/>
      <scheme val="minor"/>
    </font>
    <font>
      <i/>
      <sz val="11"/>
      <color rgb="FF5A3E8A"/>
      <name val="Calibri"/>
      <family val="2"/>
      <scheme val="minor"/>
    </font>
    <font>
      <b/>
      <sz val="12"/>
      <color rgb="FF14213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3EEFC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 applyProtection="1">
      <alignment horizontal="center" vertical="top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9" fillId="0" borderId="0" xfId="0" applyFont="1" applyAlignment="1">
      <alignment vertical="top"/>
    </xf>
    <xf numFmtId="0" fontId="7" fillId="0" borderId="0" xfId="0" applyFont="1" applyAlignment="1" applyProtection="1">
      <alignment vertical="top"/>
      <protection hidden="1"/>
    </xf>
    <xf numFmtId="0" fontId="10" fillId="0" borderId="0" xfId="0" applyFont="1" applyAlignment="1">
      <alignment vertical="top"/>
    </xf>
    <xf numFmtId="0" fontId="11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horizontal="center" vertical="top"/>
    </xf>
    <xf numFmtId="0" fontId="15" fillId="4" borderId="0" xfId="0" applyFont="1" applyFill="1" applyAlignment="1">
      <alignment vertical="top" wrapText="1"/>
    </xf>
    <xf numFmtId="164" fontId="16" fillId="5" borderId="1" xfId="0" applyNumberFormat="1" applyFont="1" applyFill="1" applyBorder="1" applyAlignment="1" applyProtection="1">
      <alignment vertical="top"/>
      <protection locked="0"/>
    </xf>
    <xf numFmtId="0" fontId="17" fillId="6" borderId="0" xfId="0" applyFont="1" applyFill="1" applyAlignment="1" applyProtection="1">
      <alignment vertical="top" wrapText="1"/>
      <protection hidden="1"/>
    </xf>
    <xf numFmtId="0" fontId="18" fillId="5" borderId="1" xfId="0" applyFont="1" applyFill="1" applyBorder="1" applyAlignment="1" applyProtection="1">
      <alignment vertical="top"/>
      <protection locked="0"/>
    </xf>
    <xf numFmtId="0" fontId="19" fillId="7" borderId="0" xfId="0" applyFont="1" applyFill="1" applyAlignment="1" applyProtection="1">
      <alignment vertical="top" wrapText="1"/>
      <protection hidden="1"/>
    </xf>
    <xf numFmtId="0" fontId="15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6" fillId="2" borderId="0" xfId="0" applyFont="1" applyFill="1"/>
    <xf numFmtId="165" fontId="5" fillId="0" borderId="0" xfId="0" applyNumberFormat="1" applyFont="1" applyAlignment="1">
      <alignment vertical="top"/>
    </xf>
    <xf numFmtId="166" fontId="16" fillId="5" borderId="1" xfId="0" applyNumberFormat="1" applyFont="1" applyFill="1" applyBorder="1" applyAlignment="1" applyProtection="1">
      <alignment vertical="top"/>
      <protection locked="0"/>
    </xf>
    <xf numFmtId="167" fontId="5" fillId="0" borderId="0" xfId="0" applyNumberFormat="1" applyFont="1" applyAlignment="1" applyProtection="1">
      <alignment vertical="top"/>
      <protection hidden="1"/>
    </xf>
    <xf numFmtId="0" fontId="5" fillId="0" borderId="0" xfId="0" applyFont="1" applyAlignment="1" applyProtection="1">
      <alignment vertical="top" wrapText="1"/>
      <protection hidden="1"/>
    </xf>
  </cellXfs>
  <cellStyles count="1">
    <cellStyle name="Normal" xfId="0" builtinId="0"/>
  </cellStyles>
  <dxfs count="3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  <dxf>
      <font>
        <color rgb="FF4A4F57"/>
      </font>
      <fill>
        <patternFill>
          <bgColor rgb="FFE9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F23"/>
  <sheetViews>
    <sheetView showGridLines="0" tabSelected="1" workbookViewId="0"/>
  </sheetViews>
  <sheetFormatPr defaultRowHeight="15"/>
  <cols>
    <col min="1" max="1" width="16.7109375" customWidth="1"/>
    <col min="2" max="2" width="32.7109375" customWidth="1"/>
    <col min="3" max="3" width="16.7109375" customWidth="1"/>
    <col min="4" max="4" width="12.7109375" customWidth="1"/>
    <col min="5" max="5" width="16.7109375" customWidth="1"/>
    <col min="6" max="6" width="36.7109375" customWidth="1"/>
  </cols>
  <sheetData>
    <row r="1" spans="1:6" ht="34" customHeight="1">
      <c r="A1" s="1" t="s">
        <v>535</v>
      </c>
      <c r="B1" s="2"/>
      <c r="C1" s="2"/>
      <c r="D1" s="2"/>
      <c r="E1" s="2"/>
      <c r="F1" s="2"/>
    </row>
    <row r="2" spans="1:6">
      <c r="A2" s="3" t="s">
        <v>536</v>
      </c>
    </row>
    <row r="4" spans="1:6">
      <c r="A4" s="4" t="s">
        <v>537</v>
      </c>
      <c r="B4" s="4"/>
      <c r="C4" s="4"/>
      <c r="D4" s="4"/>
      <c r="E4" s="4"/>
      <c r="F4" s="4"/>
    </row>
    <row r="5" spans="1:6">
      <c r="A5" s="5" t="s">
        <v>538</v>
      </c>
    </row>
    <row r="6" spans="1:6">
      <c r="A6" s="5" t="s">
        <v>539</v>
      </c>
    </row>
    <row r="7" spans="1:6">
      <c r="A7" s="5" t="s">
        <v>540</v>
      </c>
    </row>
    <row r="8" spans="1:6">
      <c r="A8" s="5" t="s">
        <v>541</v>
      </c>
    </row>
    <row r="9" spans="1:6">
      <c r="A9" s="5" t="s">
        <v>542</v>
      </c>
    </row>
    <row r="11" spans="1:6">
      <c r="A11" s="4" t="s">
        <v>543</v>
      </c>
      <c r="B11" s="4"/>
      <c r="C11" s="4"/>
      <c r="D11" s="4"/>
      <c r="E11" s="4"/>
      <c r="F11" s="4"/>
    </row>
    <row r="12" spans="1:6">
      <c r="A12" s="6" t="s">
        <v>544</v>
      </c>
      <c r="B12" s="6" t="s">
        <v>545</v>
      </c>
      <c r="C12" s="6" t="s">
        <v>546</v>
      </c>
      <c r="D12" s="6" t="s">
        <v>547</v>
      </c>
      <c r="E12" s="6" t="s">
        <v>548</v>
      </c>
      <c r="F12" s="6" t="s">
        <v>549</v>
      </c>
    </row>
    <row r="13" spans="1:6">
      <c r="A13" s="7" t="s">
        <v>550</v>
      </c>
      <c r="B13" s="8" t="s">
        <v>551</v>
      </c>
      <c r="C13" s="9" cm="1" t="str">
        <f t="array" ref="C13">SUM('S3-1 Number Skins'!$G$16:$G$50)&amp;" / 280"</f>
        <v>0 / 280</v>
      </c>
      <c r="D13" s="10" cm="1" t="str">
        <f t="array" ref="D13">IF(SUM('S3-1 Number Skins'!$G$16:$G$50)&gt;=280,"★★★",IF(SUM('S3-1 Number Skins'!$G$16:$G$50)&gt;=280*0.8,"★★☆",IF(SUM('S3-1 Number Skins'!$G$16:$G$50)&gt;=280*0.5,"★☆☆","☆☆☆")))</f>
        <v>☆☆☆</v>
      </c>
      <c r="E13" s="9" cm="1" t="str">
        <f t="array" ref="E13">IF(SUM('S3-1 Number Skins'!$G$16:$G$50)&gt;=280,"PERFECT",IF(SUM('S3-1 Number Skins'!$G$16:$G$50)&gt;=280*0.5,"CLEARED",IF(SUM('S3-1 Number Skins'!$G$16:$G$50)&gt;0,"IN PROGRESS","NEW")))</f>
        <v>NEW</v>
      </c>
      <c r="F13" s="11" t="s">
        <v>552</v>
      </c>
    </row>
    <row r="14" spans="1:6">
      <c r="A14" s="7" t="s">
        <v>553</v>
      </c>
      <c r="B14" s="8" t="s">
        <v>554</v>
      </c>
      <c r="C14" s="9" cm="1" t="str">
        <f t="array" ref="C14">SUM('S3-2 Text Style'!$G$14:$G$39)&amp;" / 190"</f>
        <v>0 / 190</v>
      </c>
      <c r="D14" s="10" cm="1" t="str">
        <f t="array" ref="D14">IF(SUM('S3-2 Text Style'!$G$14:$G$39)&gt;=190,"★★★",IF(SUM('S3-2 Text Style'!$G$14:$G$39)&gt;=190*0.8,"★★☆",IF(SUM('S3-2 Text Style'!$G$14:$G$39)&gt;=190*0.5,"★☆☆","☆☆☆")))</f>
        <v>☆☆☆</v>
      </c>
      <c r="E14" s="9" cm="1" t="str">
        <f t="array" ref="E14">IF(SUM('S3-2 Text Style'!$G$14:$G$39)&gt;=190,"PERFECT",IF(SUM('S3-2 Text Style'!$G$14:$G$39)&gt;=190*0.5,"CLEARED",IF(SUM('S3-2 Text Style'!$G$14:$G$39)&gt;0,"IN PROGRESS","NEW")))</f>
        <v>NEW</v>
      </c>
      <c r="F14" s="11" t="s">
        <v>555</v>
      </c>
    </row>
    <row r="15" spans="1:6">
      <c r="A15" s="7" t="s">
        <v>556</v>
      </c>
      <c r="B15" s="8" t="s">
        <v>557</v>
      </c>
      <c r="C15" s="9" cm="1" t="str">
        <f t="array" ref="C15">SUM('S3-3 Format Power'!$G$17:$G$51)&amp;" / 280"</f>
        <v>0 / 280</v>
      </c>
      <c r="D15" s="10" cm="1" t="str">
        <f t="array" ref="D15">IF(SUM('S3-3 Format Power'!$G$17:$G$51)&gt;=280,"★★★",IF(SUM('S3-3 Format Power'!$G$17:$G$51)&gt;=280*0.8,"★★☆",IF(SUM('S3-3 Format Power'!$G$17:$G$51)&gt;=280*0.5,"★☆☆","☆☆☆")))</f>
        <v>☆☆☆</v>
      </c>
      <c r="E15" s="9" cm="1" t="str">
        <f t="array" ref="E15">IF(SUM('S3-3 Format Power'!$G$17:$G$51)&gt;=280,"PERFECT",IF(SUM('S3-3 Format Power'!$G$17:$G$51)&gt;=280*0.5,"CLEARED",IF(SUM('S3-3 Format Power'!$G$17:$G$51)&gt;0,"IN PROGRESS","NEW")))</f>
        <v>NEW</v>
      </c>
      <c r="F15" s="11" t="s">
        <v>558</v>
      </c>
    </row>
    <row r="16" spans="1:6">
      <c r="A16" s="7" t="s">
        <v>559</v>
      </c>
      <c r="B16" s="8" t="s">
        <v>560</v>
      </c>
      <c r="C16" s="9" cm="1" t="str">
        <f t="array" ref="C16">SUM(Boss!$G$14:$G$33)&amp;" / 160"</f>
        <v>0 / 160</v>
      </c>
      <c r="D16" s="10" cm="1" t="str">
        <f t="array" ref="D16">IF(SUM(Boss!$G$14:$G$33)&gt;=160,"★★★",IF(SUM(Boss!$G$14:$G$33)&gt;=160*0.8,"★★☆",IF(SUM(Boss!$G$14:$G$33)&gt;=160*0.5,"★☆☆","☆☆☆")))</f>
        <v>☆☆☆</v>
      </c>
      <c r="E16" s="9" cm="1" t="str">
        <f t="array" ref="E16">IF(Boss!$C$10="OPEN",IF(SUM(Boss!$G$14:$G$33)&gt;=160*0.5,"DEFEATED","OPEN"),"LOCKED")</f>
        <v>LOCKED</v>
      </c>
      <c r="F16" s="11" t="s">
        <v>561</v>
      </c>
    </row>
    <row r="18" spans="1:3">
      <c r="A18" s="7" t="s">
        <v>562</v>
      </c>
      <c r="B18" s="12" cm="1" t="str">
        <f t="array" ref="B18">(SUM('S3-1 Number Skins'!$G$16:$G$50)+SUM('S3-2 Text Style'!$G$14:$G$39)+SUM('S3-3 Format Power'!$G$17:$G$51)+SUM(Boss!$G$14:$G$33))&amp;" / 910"</f>
        <v>0 / 910</v>
      </c>
    </row>
    <row r="19" spans="1:3">
      <c r="A19" s="7" t="s">
        <v>563</v>
      </c>
      <c r="B19" s="12" cm="1" t="str">
        <f t="array" ref="B19">_xlfn.LET(_xlpm.p,(SUM('S3-1 Number Skins'!$G$16:$G$50)+SUM('S3-2 Text Style'!$G$14:$G$39)+SUM('S3-3 Format Power'!$G$17:$G$51)+SUM(Boss!$G$14:$G$33))/910,IF(AND(_xlpm.p&gt;=1,ISNUMBER(Boss!$C$8),Boss!$C$8&lt;=8),"S",IF(_xlpm.p&gt;=0.9,"A",IF(_xlpm.p&gt;=0.75,"B",IF(_xlpm.p&gt;=0.5,"C","D")))))</f>
        <v>D</v>
      </c>
      <c r="C19" s="13" t="s">
        <v>564</v>
      </c>
    </row>
    <row r="20" spans="1:3">
      <c r="A20" s="7" t="s">
        <v>565</v>
      </c>
      <c r="B20" s="12" cm="1" t="str">
        <f t="array" ref="B20">IF(ISNUMBER(Boss!$C$8),Boss!$C$8&amp;" min (par 8)","—")</f>
        <v>—</v>
      </c>
    </row>
    <row r="21" spans="1:3">
      <c r="A21" s="7" t="s">
        <v>566</v>
      </c>
      <c r="B21" s="12" cm="1" t="str">
        <f t="array" ref="B21">IFERROR(INDEX($A$13:$A$15,MATCH("☆☆☆",$D$13:$D$15,0))&amp;" "&amp;INDEX($B$13:$B$15,MATCH("☆☆☆",$D$13:$D$15,0)),IF(Boss!$C$10="OPEN","the Boss","All clear! Aim for rank S"))</f>
        <v>S3-1 Number Skins</v>
      </c>
    </row>
    <row r="23" spans="1:3">
      <c r="A23" s="13" t="s">
        <v>567</v>
      </c>
    </row>
  </sheetData>
  <sheetProtection sheet="1" objects="1" scenarios="1" formatColumns="0" formatRows="0"/>
  <hyperlinks>
    <hyperlink ref="F13" location="'S3-1 Number Skins'!A1" display="Go to S3-1 Number Skins"/>
    <hyperlink ref="F14" location="'S3-2 Text Style'!A1" display="Go to S3-2 Text Style"/>
    <hyperlink ref="F15" location="'S3-3 Format Power'!A1" display="Go to S3-3 Format Power"/>
    <hyperlink ref="F16" location="Boss!A1" display="Go to the Bos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5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217</v>
      </c>
      <c r="B1" s="2"/>
      <c r="C1" s="2"/>
      <c r="D1" s="2"/>
      <c r="E1" s="2"/>
      <c r="F1" s="2"/>
      <c r="G1" s="2"/>
    </row>
    <row r="2" spans="1:7">
      <c r="A2" s="3" t="s">
        <v>218</v>
      </c>
    </row>
    <row r="3" spans="1:7" ht="26" customHeight="1">
      <c r="A3" s="14" cm="1" t="str">
        <f t="array" ref="A3">"SCORE "&amp;TEXT(SUM($G$16:$G$50),"0000")&amp;" / 0280"</f>
        <v>SCORE 0000 / 0280</v>
      </c>
      <c r="C3" s="15" cm="1" t="str">
        <f t="array" ref="C3">IF(SUM($G$16:$G$50)&gt;=280,"★★★",IF(SUM($G$16:$G$50)&gt;=280*0.8,"★★☆",IF(SUM($G$16:$G$50)&gt;=280*0.5,"★☆☆","☆☆☆")))</f>
        <v>☆☆☆</v>
      </c>
      <c r="D3" s="16" cm="1" t="str">
        <f t="array" ref="D3">REPT("█",ROUND(10*SUM($G$16:$G$50)/280,0))&amp;REPT("░",10-ROUND(10*SUM($G$16:$G$50)/280,0))&amp;"  "&amp;TEXT(SUM($G$16:$G$50)/280,"0%")</f>
        <v>░░░░░░░░░░  0%</v>
      </c>
      <c r="F3" s="17" cm="1" t="str">
        <f t="array" ref="F3">IF(SUM($G$16:$G$50)&gt;=280*0.5,"STAGE CLEAR! ▶ Next: S3-2 Text Style","")</f>
        <v/>
      </c>
    </row>
    <row r="5" spans="1:7" ht="22" customHeight="1">
      <c r="A5" s="4" t="s">
        <v>15</v>
      </c>
      <c r="B5" s="4"/>
      <c r="C5" s="4"/>
      <c r="D5" s="4"/>
      <c r="E5" s="4"/>
      <c r="F5" s="4"/>
      <c r="G5" s="4"/>
    </row>
    <row r="6" spans="1:7">
      <c r="A6" s="6" t="s">
        <v>16</v>
      </c>
      <c r="B6" s="6" t="s">
        <v>17</v>
      </c>
      <c r="C6" s="6" t="s">
        <v>18</v>
      </c>
      <c r="D6" s="6"/>
      <c r="E6" s="6"/>
      <c r="F6" s="6"/>
      <c r="G6" s="6"/>
    </row>
    <row r="7" spans="1:7" ht="35.5" customHeight="1">
      <c r="A7" s="18" t="s">
        <v>19</v>
      </c>
      <c r="B7" s="8" t="s">
        <v>20</v>
      </c>
      <c r="C7" s="19" t="s">
        <v>21</v>
      </c>
    </row>
    <row r="8" spans="1:7" ht="35.5" customHeight="1">
      <c r="A8" s="18" t="s">
        <v>22</v>
      </c>
      <c r="B8" s="8" t="s">
        <v>23</v>
      </c>
      <c r="C8" s="19" t="s">
        <v>24</v>
      </c>
    </row>
    <row r="9" spans="1:7" ht="51.25" customHeight="1">
      <c r="A9" s="18" t="s">
        <v>25</v>
      </c>
      <c r="B9" s="8" t="s">
        <v>26</v>
      </c>
      <c r="C9" s="19" t="s">
        <v>27</v>
      </c>
    </row>
    <row r="10" spans="1:7" ht="51.25" customHeight="1">
      <c r="A10" s="18" t="s">
        <v>28</v>
      </c>
      <c r="B10" s="8" t="s">
        <v>29</v>
      </c>
      <c r="C10" s="19" t="s">
        <v>30</v>
      </c>
    </row>
    <row r="11" spans="1:7" ht="35.5" customHeight="1">
      <c r="A11" s="18" t="s">
        <v>31</v>
      </c>
      <c r="B11" s="8" t="s">
        <v>32</v>
      </c>
      <c r="C11" s="19" t="s">
        <v>33</v>
      </c>
    </row>
    <row r="12" spans="1:7" ht="67" customHeight="1">
      <c r="A12" s="18" t="s">
        <v>34</v>
      </c>
      <c r="B12" s="8" t="s">
        <v>35</v>
      </c>
      <c r="C12" s="19" t="s">
        <v>36</v>
      </c>
    </row>
    <row r="14" spans="1:7" ht="22" customHeight="1">
      <c r="A14" s="4" t="s">
        <v>37</v>
      </c>
      <c r="B14" s="4"/>
      <c r="C14" s="4"/>
      <c r="D14" s="4"/>
      <c r="E14" s="4"/>
      <c r="F14" s="4"/>
      <c r="G14" s="4"/>
    </row>
    <row r="15" spans="1:7">
      <c r="A15" s="6" t="s">
        <v>16</v>
      </c>
      <c r="B15" s="6" t="s">
        <v>38</v>
      </c>
      <c r="C15" s="6" t="s">
        <v>39</v>
      </c>
      <c r="D15" s="6" t="s">
        <v>40</v>
      </c>
      <c r="E15" s="6" t="s">
        <v>41</v>
      </c>
      <c r="F15" s="6" t="s">
        <v>1</v>
      </c>
      <c r="G15" s="6" t="s">
        <v>42</v>
      </c>
    </row>
    <row r="16" spans="1:7" ht="35.5" customHeight="1">
      <c r="A16" s="18" t="s">
        <v>51</v>
      </c>
      <c r="B16" s="8" t="s">
        <v>52</v>
      </c>
      <c r="C16" s="20"/>
      <c r="D16" s="21" cm="1" t="str">
        <f t="array" ref="D16">IFERROR(_xlfn.LET(_xlpm.a,'S3-1 Number Skins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:$J$2),"✔ CLEAR","✘ TRY AGAIN"))),"✘ TRY AGAIN")</f>
        <v/>
      </c>
      <c r="E16" s="22"/>
      <c r="F16" s="23" cm="1" t="str">
        <f t="array" ref="F16">IF(E16="Show hint",Key!$B$2,"")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61</v>
      </c>
      <c r="B17" s="8" t="s">
        <v>62</v>
      </c>
      <c r="C17" s="20"/>
      <c r="D17" s="21" cm="1" t="str">
        <f t="array" ref="D17">IFERROR(_xlfn.LET(_xlpm.a,'S3-1 Number Skins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:$J$3),"✔ CLEAR","✘ TRY AGAIN"))),"✘ TRY AGAIN")</f>
        <v/>
      </c>
      <c r="E17" s="22"/>
      <c r="F17" s="23" cm="1" t="str">
        <f t="array" ref="F17">IF(E17="Show hint",Key!$B$3,"")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71</v>
      </c>
      <c r="B18" s="8" t="s">
        <v>72</v>
      </c>
      <c r="C18" s="20"/>
      <c r="D18" s="21" cm="1" t="str">
        <f t="array" ref="D18">IFERROR(_xlfn.LET(_xlpm.a,'S3-1 Number Skins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:$J$4),"✔ CLEAR","✘ TRY AGAIN"))),"✘ TRY AGAIN")</f>
        <v/>
      </c>
      <c r="E18" s="22"/>
      <c r="F18" s="23" cm="1" t="str">
        <f t="array" ref="F18">IF(E18="Show hint",Key!$B$4,"")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76</v>
      </c>
      <c r="B19" s="8" t="s">
        <v>77</v>
      </c>
      <c r="C19" s="20"/>
      <c r="D19" s="21" cm="1" t="str">
        <f t="array" ref="D19">IFERROR(_xlfn.LET(_xlpm.a,'S3-1 Number Skins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:$E$5),"✔ CLEAR","✘ TRY AGAIN"))),"✘ TRY AGAIN")</f>
        <v/>
      </c>
      <c r="E19" s="22"/>
      <c r="F19" s="23" cm="1" t="str">
        <f t="array" ref="F19">IF(E19="Show hint",Key!$B$5,"")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81</v>
      </c>
      <c r="B20" s="8" t="s">
        <v>82</v>
      </c>
      <c r="C20" s="20"/>
      <c r="D20" s="21" cm="1" t="str">
        <f t="array" ref="D20">IFERROR(_xlfn.LET(_xlpm.a,'S3-1 Number Skins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:$E$6),"✔ CLEAR","✘ TRY AGAIN"))),"✘ TRY AGAIN")</f>
        <v/>
      </c>
      <c r="E20" s="22"/>
      <c r="F20" s="23" cm="1" t="str">
        <f t="array" ref="F20">IF(E20="Show hint",Key!$B$6,"")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86</v>
      </c>
      <c r="B21" s="8" t="s">
        <v>87</v>
      </c>
      <c r="C21" s="20"/>
      <c r="D21" s="21" cm="1" t="str">
        <f t="array" ref="D21">IFERROR(_xlfn.LET(_xlpm.a,'S3-1 Number Skins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:$E$7),"✔ CLEAR","✘ TRY AGAIN"))),"✘ TRY AGAIN")</f>
        <v/>
      </c>
      <c r="E21" s="22"/>
      <c r="F21" s="23" cm="1" t="str">
        <f t="array" ref="F21">IF(E21="Show hint",Key!$B$7,"")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91</v>
      </c>
      <c r="B22" s="8" t="s">
        <v>92</v>
      </c>
      <c r="C22" s="20"/>
      <c r="D22" s="21" cm="1" t="str">
        <f t="array" ref="D22">IFERROR(_xlfn.LET(_xlpm.a,'S3-1 Number Skins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:$E$8),"✔ CLEAR","✘ TRY AGAIN"))),"✘ TRY AGAIN")</f>
        <v/>
      </c>
      <c r="E22" s="22"/>
      <c r="F22" s="23" cm="1" t="str">
        <f t="array" ref="F22">IF(E22="Show hint",Key!$B$8,"")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96</v>
      </c>
      <c r="B23" s="8" t="s">
        <v>97</v>
      </c>
      <c r="C23" s="20"/>
      <c r="D23" s="21" cm="1" t="str">
        <f t="array" ref="D23">IFERROR(_xlfn.LET(_xlpm.a,'S3-1 Number Skins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:$E$9),"✔ CLEAR","✘ TRY AGAIN"))),"✘ TRY AGAIN")</f>
        <v/>
      </c>
      <c r="E23" s="22"/>
      <c r="F23" s="23" cm="1" t="str">
        <f t="array" ref="F23">IF(E23="Show hint",Key!$B$9,"")</f>
        <v/>
      </c>
      <c r="G23" s="24" cm="1">
        <f t="array" ref="G23">IF(LEFT(D23,1)="✔",IF(E23="Show hint",5,10),0)</f>
        <v>0</v>
      </c>
    </row>
    <row r="24" spans="1:7" ht="35.5" customHeight="1">
      <c r="A24" s="18" t="s">
        <v>106</v>
      </c>
      <c r="B24" s="8" t="s">
        <v>107</v>
      </c>
      <c r="C24" s="20"/>
      <c r="D24" s="21" cm="1" t="str">
        <f t="array" ref="D24">IFERROR(_xlfn.LET(_xlpm.a,'S3-1 Number Skins'!$C$24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:$J$10),"✔ CLEAR","✘ TRY AGAIN"))),"✘ TRY AGAIN")</f>
        <v/>
      </c>
      <c r="E24" s="22"/>
      <c r="F24" s="23" cm="1" t="str">
        <f t="array" ref="F24">IF(E24="Show hint",Key!$B$10,"")</f>
        <v/>
      </c>
      <c r="G24" s="24" cm="1">
        <f t="array" ref="G24">IF(LEFT(D24,1)="✔",IF(E24="Show hint",5,10),0)</f>
        <v>0</v>
      </c>
    </row>
    <row r="25" spans="1:7" ht="35.5" customHeight="1">
      <c r="A25" s="18" t="s">
        <v>116</v>
      </c>
      <c r="B25" s="8" t="s">
        <v>117</v>
      </c>
      <c r="C25" s="20"/>
      <c r="D25" s="21" cm="1" t="str">
        <f t="array" ref="D25">IFERROR(_xlfn.LET(_xlpm.a,'S3-1 Number Skins'!$C$25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:$J$11),"✔ CLEAR","✘ TRY AGAIN"))),"✘ TRY AGAIN")</f>
        <v/>
      </c>
      <c r="E25" s="22"/>
      <c r="F25" s="23" cm="1" t="str">
        <f t="array" ref="F25">IF(E25="Show hint",Key!$B$11,"")</f>
        <v/>
      </c>
      <c r="G25" s="24" cm="1">
        <f t="array" ref="G25">IF(LEFT(D25,1)="✔",IF(E25="Show hint",5,10),0)</f>
        <v>0</v>
      </c>
    </row>
    <row r="27" spans="1:7" ht="22" customHeight="1">
      <c r="A27" s="4" t="s">
        <v>118</v>
      </c>
      <c r="B27" s="4"/>
      <c r="C27" s="4"/>
      <c r="D27" s="4"/>
      <c r="E27" s="4"/>
      <c r="F27" s="4"/>
      <c r="G27" s="4"/>
    </row>
    <row r="28" spans="1:7">
      <c r="A28" s="6" t="s">
        <v>16</v>
      </c>
      <c r="B28" s="6" t="s">
        <v>38</v>
      </c>
      <c r="C28" s="6" t="s">
        <v>39</v>
      </c>
      <c r="D28" s="6" t="s">
        <v>40</v>
      </c>
      <c r="E28" s="6" t="s">
        <v>41</v>
      </c>
      <c r="F28" s="6" t="s">
        <v>1</v>
      </c>
      <c r="G28" s="6" t="s">
        <v>42</v>
      </c>
    </row>
    <row r="29" spans="1:7" ht="19.75" customHeight="1">
      <c r="A29" s="18" t="s">
        <v>123</v>
      </c>
      <c r="B29" s="8" t="s">
        <v>124</v>
      </c>
      <c r="C29" s="20"/>
      <c r="D29" s="21" cm="1" t="str">
        <f t="array" ref="D29">IFERROR(IF('S3-1 Number Skins'!$C$29&amp;""="","",IF('S3-1 Number Skins'!$C$29&amp;""=Key!$C$12&amp;"","✔ CLEAR","✘ TRY AGAIN")),"✘ TRY AGAIN")</f>
        <v/>
      </c>
      <c r="E29" s="22"/>
      <c r="F29" s="23" cm="1" t="str">
        <f t="array" ref="F29">IF(E29="Show hint",Key!$B$12,"")</f>
        <v/>
      </c>
      <c r="G29" s="24" cm="1">
        <f t="array" ref="G29">IF(LEFT(D29,1)="✔",IF(E29="Show hint",5,10),0)</f>
        <v>0</v>
      </c>
    </row>
    <row r="30" spans="1:7" ht="19.75" customHeight="1">
      <c r="A30" s="18" t="s">
        <v>129</v>
      </c>
      <c r="B30" s="8" t="s">
        <v>130</v>
      </c>
      <c r="C30" s="20"/>
      <c r="D30" s="21" cm="1" t="str">
        <f t="array" ref="D30">IFERROR(IF('S3-1 Number Skins'!$C$30&amp;""="","",IF('S3-1 Number Skins'!$C$30&amp;""=Key!$C$13&amp;"","✔ CLEAR","✘ TRY AGAIN")),"✘ TRY AGAIN")</f>
        <v/>
      </c>
      <c r="E30" s="22"/>
      <c r="F30" s="23" cm="1" t="str">
        <f t="array" ref="F30">IF(E30="Show hint",Key!$B$13,"")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133</v>
      </c>
      <c r="B31" s="8" t="s">
        <v>134</v>
      </c>
      <c r="C31" s="20"/>
      <c r="D31" s="21" cm="1" t="str">
        <f t="array" ref="D31">IFERROR(IF('S3-1 Number Skins'!$C$31&amp;""="","",IF('S3-1 Number Skins'!$C$31&amp;""=Key!$C$14&amp;"","✔ CLEAR","✘ TRY AGAIN")),"✘ TRY AGAIN")</f>
        <v/>
      </c>
      <c r="E31" s="22"/>
      <c r="F31" s="23" cm="1" t="str">
        <f t="array" ref="F31">IF(E31="Show hint",Key!$B$14,"")</f>
        <v/>
      </c>
      <c r="G31" s="24" cm="1">
        <f t="array" ref="G31">IF(LEFT(D31,1)="✔",IF(E31="Show hint",5,10),0)</f>
        <v>0</v>
      </c>
    </row>
    <row r="32" spans="1:7" ht="19.75" customHeight="1">
      <c r="A32" s="18" t="s">
        <v>139</v>
      </c>
      <c r="B32" s="8" t="s">
        <v>140</v>
      </c>
      <c r="C32" s="20"/>
      <c r="D32" s="21" cm="1" t="str">
        <f t="array" ref="D32">IFERROR(IF('S3-1 Number Skins'!$C$32&amp;""="","",IF('S3-1 Number Skins'!$C$32&amp;""=Key!$C$15&amp;"","✔ CLEAR","✘ TRY AGAIN")),"✘ TRY AGAIN")</f>
        <v/>
      </c>
      <c r="E32" s="22"/>
      <c r="F32" s="23" cm="1" t="str">
        <f t="array" ref="F32">IF(E32="Show hint",Key!$B$15,"")</f>
        <v/>
      </c>
      <c r="G32" s="24" cm="1">
        <f t="array" ref="G32">IF(LEFT(D32,1)="✔",IF(E32="Show hint",5,10),0)</f>
        <v>0</v>
      </c>
    </row>
    <row r="33" spans="1:7" ht="19.75" customHeight="1">
      <c r="A33" s="18" t="s">
        <v>143</v>
      </c>
      <c r="B33" s="8" t="s">
        <v>144</v>
      </c>
      <c r="C33" s="20"/>
      <c r="D33" s="21" cm="1" t="str">
        <f t="array" ref="D33">IFERROR(IF('S3-1 Number Skins'!$C$33&amp;""="","",IF('S3-1 Number Skins'!$C$33&amp;""=Key!$C$16&amp;"","✔ CLEAR","✘ TRY AGAIN")),"✘ TRY AGAIN")</f>
        <v/>
      </c>
      <c r="E33" s="22"/>
      <c r="F33" s="23" cm="1" t="str">
        <f t="array" ref="F33">IF(E33="Show hint",Key!$B$16,"")</f>
        <v/>
      </c>
      <c r="G33" s="24" cm="1">
        <f t="array" ref="G33">IF(LEFT(D33,1)="✔",IF(E33="Show hint",5,10),0)</f>
        <v>0</v>
      </c>
    </row>
    <row r="34" spans="1:7" ht="19.75" customHeight="1">
      <c r="A34" s="18" t="s">
        <v>147</v>
      </c>
      <c r="B34" s="8" t="s">
        <v>148</v>
      </c>
      <c r="C34" s="20"/>
      <c r="D34" s="21" cm="1" t="str">
        <f t="array" ref="D34">IFERROR(IF('S3-1 Number Skins'!$C$34&amp;""="","",IF('S3-1 Number Skins'!$C$34&amp;""=Key!$C$17&amp;"","✔ CLEAR","✘ TRY AGAIN")),"✘ TRY AGAIN")</f>
        <v/>
      </c>
      <c r="E34" s="22"/>
      <c r="F34" s="23" cm="1" t="str">
        <f t="array" ref="F34">IF(E34="Show hint",Key!$B$17,"")</f>
        <v/>
      </c>
      <c r="G34" s="24" cm="1">
        <f t="array" ref="G34">IF(LEFT(D34,1)="✔",IF(E34="Show hint",5,10),0)</f>
        <v>0</v>
      </c>
    </row>
    <row r="36" spans="1:7" ht="22" customHeight="1">
      <c r="A36" s="4" t="s">
        <v>149</v>
      </c>
      <c r="B36" s="4"/>
      <c r="C36" s="4"/>
      <c r="D36" s="4"/>
      <c r="E36" s="4"/>
      <c r="F36" s="4"/>
      <c r="G36" s="4"/>
    </row>
    <row r="37" spans="1:7">
      <c r="B37" s="11" t="s">
        <v>150</v>
      </c>
    </row>
    <row r="38" spans="1:7">
      <c r="A38" s="6" t="s">
        <v>16</v>
      </c>
      <c r="B38" s="6" t="s">
        <v>38</v>
      </c>
      <c r="C38" s="6" t="s">
        <v>39</v>
      </c>
      <c r="D38" s="6" t="s">
        <v>40</v>
      </c>
      <c r="E38" s="6" t="s">
        <v>41</v>
      </c>
      <c r="F38" s="6" t="s">
        <v>1</v>
      </c>
      <c r="G38" s="6" t="s">
        <v>42</v>
      </c>
    </row>
    <row r="39" spans="1:7" ht="19.75" customHeight="1">
      <c r="A39" s="18" t="s">
        <v>156</v>
      </c>
      <c r="B39" s="8" t="s">
        <v>124</v>
      </c>
      <c r="C39" s="20"/>
      <c r="D39" s="21" cm="1" t="str">
        <f t="array" ref="D39">IFERROR(_xlfn.LET(_xlpm.a,'S3-1 Number Skins'!$C$39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$18:$H$18),"✔ CLEAR","✘ TRY AGAIN"))),"✘ TRY AGAIN")</f>
        <v/>
      </c>
      <c r="E39" s="22"/>
      <c r="F39" s="23" cm="1" t="str">
        <f t="array" ref="F39">IF(E39="Show hint",Key!$B$18,"")</f>
        <v/>
      </c>
      <c r="G39" s="24" cm="1">
        <f t="array" ref="G39">IF(LEFT(D39,1)="✔",IF(E39="Show hint",5,10),0)</f>
        <v>0</v>
      </c>
    </row>
    <row r="40" spans="1:7" ht="19.75" customHeight="1">
      <c r="A40" s="18" t="s">
        <v>162</v>
      </c>
      <c r="B40" s="8" t="s">
        <v>130</v>
      </c>
      <c r="C40" s="20"/>
      <c r="D40" s="21" cm="1" t="str">
        <f t="array" ref="D40">IFERROR(_xlfn.LET(_xlpm.a,'S3-1 Number Skins'!$C$40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$19:$H$19),"✔ CLEAR","✘ TRY AGAIN"))),"✘ TRY AGAIN")</f>
        <v/>
      </c>
      <c r="E40" s="22"/>
      <c r="F40" s="23" cm="1" t="str">
        <f t="array" ref="F40">IF(E40="Show hint",Key!$B$19,"")</f>
        <v/>
      </c>
      <c r="G40" s="24" cm="1">
        <f t="array" ref="G40">IF(LEFT(D40,1)="✔",IF(E40="Show hint",5,10),0)</f>
        <v>0</v>
      </c>
    </row>
    <row r="41" spans="1:7" ht="35.5" customHeight="1">
      <c r="A41" s="18" t="s">
        <v>168</v>
      </c>
      <c r="B41" s="8" t="s">
        <v>134</v>
      </c>
      <c r="C41" s="20"/>
      <c r="D41" s="21" cm="1" t="str">
        <f t="array" ref="D41">IFERROR(_xlfn.LET(_xlpm.a,'S3-1 Number Skins'!$C$41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$20:$H$20),"✔ CLEAR","✘ TRY AGAIN"))),"✘ TRY AGAIN")</f>
        <v/>
      </c>
      <c r="E41" s="22"/>
      <c r="F41" s="23" cm="1" t="str">
        <f t="array" ref="F41">IF(E41="Show hint",Key!$B$20,"")</f>
        <v/>
      </c>
      <c r="G41" s="24" cm="1">
        <f t="array" ref="G41">IF(LEFT(D41,1)="✔",IF(E41="Show hint",5,10),0)</f>
        <v>0</v>
      </c>
    </row>
    <row r="42" spans="1:7" ht="19.75" customHeight="1">
      <c r="A42" s="18" t="s">
        <v>174</v>
      </c>
      <c r="B42" s="8" t="s">
        <v>140</v>
      </c>
      <c r="C42" s="20"/>
      <c r="D42" s="21" cm="1" t="str">
        <f t="array" ref="D42">IFERROR(_xlfn.LET(_xlpm.a,'S3-1 Number Skins'!$C$42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$21:$H$21),"✔ CLEAR","✘ TRY AGAIN"))),"✘ TRY AGAIN")</f>
        <v/>
      </c>
      <c r="E42" s="22"/>
      <c r="F42" s="23" cm="1" t="str">
        <f t="array" ref="F42">IF(E42="Show hint",Key!$B$21,"")</f>
        <v/>
      </c>
      <c r="G42" s="24" cm="1">
        <f t="array" ref="G42">IF(LEFT(D42,1)="✔",IF(E42="Show hint",5,10),0)</f>
        <v>0</v>
      </c>
    </row>
    <row r="43" spans="1:7" ht="19.75" customHeight="1">
      <c r="A43" s="18" t="s">
        <v>180</v>
      </c>
      <c r="B43" s="8" t="s">
        <v>144</v>
      </c>
      <c r="C43" s="20"/>
      <c r="D43" s="21" cm="1" t="str">
        <f t="array" ref="D43">IFERROR(_xlfn.LET(_xlpm.a,'S3-1 Number Skins'!$C$43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$22:$H$22),"✔ CLEAR","✘ TRY AGAIN"))),"✘ TRY AGAIN")</f>
        <v/>
      </c>
      <c r="E43" s="22"/>
      <c r="F43" s="23" cm="1" t="str">
        <f t="array" ref="F43">IF(E43="Show hint",Key!$B$22,"")</f>
        <v/>
      </c>
      <c r="G43" s="24" cm="1">
        <f t="array" ref="G43">IF(LEFT(D43,1)="✔",IF(E43="Show hint",5,10),0)</f>
        <v>0</v>
      </c>
    </row>
    <row r="44" spans="1:7" ht="19.75" customHeight="1">
      <c r="A44" s="18" t="s">
        <v>186</v>
      </c>
      <c r="B44" s="8" t="s">
        <v>148</v>
      </c>
      <c r="C44" s="20"/>
      <c r="D44" s="21" cm="1" t="str">
        <f t="array" ref="D44">IFERROR(_xlfn.LET(_xlpm.a,'S3-1 Number Skins'!$C$44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$23:$H$23),"✔ CLEAR","✘ TRY AGAIN"))),"✘ TRY AGAIN")</f>
        <v/>
      </c>
      <c r="E44" s="22"/>
      <c r="F44" s="23" cm="1" t="str">
        <f t="array" ref="F44">IF(E44="Show hint",Key!$B$23,"")</f>
        <v/>
      </c>
      <c r="G44" s="24" cm="1">
        <f t="array" ref="G44">IF(LEFT(D44,1)="✔",IF(E44="Show hint",5,10),0)</f>
        <v>0</v>
      </c>
    </row>
    <row r="45" spans="1:7" ht="35.5" customHeight="1">
      <c r="A45" s="18" t="s">
        <v>189</v>
      </c>
      <c r="B45" s="8" t="s">
        <v>190</v>
      </c>
      <c r="C45" s="11" t="s">
        <v>191</v>
      </c>
      <c r="D45" s="21" cm="1" t="str">
        <f t="array" ref="D45">IF(IFERROR(AND(OR(CELL("format",'S3-1 Arena'!$B$6)="C2",CELL("format",'S3-1 Arena'!$B$6)="C2-"),OR(CELL("format",'S3-1 Arena'!$B$7)="C2",CELL("format",'S3-1 Arena'!$B$7)="C2-"),OR(CELL("format",'S3-1 Arena'!$B$8)="C2",CELL("format",'S3-1 Arena'!$B$8)="C2-"),OR(CELL("format",'S3-1 Arena'!$B$9)="C2",CELL("format",'S3-1 Arena'!$B$9)="C2-"),OR(CELL("format",'S3-1 Arena'!$B$10)="C2",CELL("format",'S3-1 Arena'!$B$10)="C2-")),FALSE),"✔ CLEAR","· not yet · press F9")</f>
        <v>· not yet · press F9</v>
      </c>
      <c r="E45" s="22"/>
      <c r="F45" s="23" cm="1" t="str">
        <f t="array" ref="F45">IF(E45="Show hint",Key!$B$24,"")</f>
        <v/>
      </c>
      <c r="G45" s="24" cm="1">
        <f t="array" ref="G45">IF(LEFT(D45,1)="✔",IF(E45="Show hint",5,10),0)</f>
        <v>0</v>
      </c>
    </row>
    <row r="46" spans="1:7" ht="35.5" customHeight="1">
      <c r="A46" s="18" t="s">
        <v>194</v>
      </c>
      <c r="B46" s="8" t="s">
        <v>195</v>
      </c>
      <c r="C46" s="11" t="s">
        <v>196</v>
      </c>
      <c r="D46" s="21" cm="1" t="str">
        <f t="array" ref="D46">IF(IFERROR(AND(OR(CELL("format",'S3-1 Arena'!$C$6)="P0"),OR(CELL("format",'S3-1 Arena'!$C$7)="P0"),OR(CELL("format",'S3-1 Arena'!$C$8)="P0"),OR(CELL("format",'S3-1 Arena'!$C$9)="P0"),OR(CELL("format",'S3-1 Arena'!$C$10)="P0")),FALSE),"✔ CLEAR","· not yet · press F9")</f>
        <v>· not yet · press F9</v>
      </c>
      <c r="E46" s="22"/>
      <c r="F46" s="23" cm="1" t="str">
        <f t="array" ref="F46">IF(E46="Show hint",Key!$B$25,"")</f>
        <v/>
      </c>
      <c r="G46" s="24" cm="1">
        <f t="array" ref="G46">IF(LEFT(D46,1)="✔",IF(E46="Show hint",5,10),0)</f>
        <v>0</v>
      </c>
    </row>
    <row r="47" spans="1:7" ht="35.5" customHeight="1">
      <c r="A47" s="18" t="s">
        <v>199</v>
      </c>
      <c r="B47" s="8" t="s">
        <v>200</v>
      </c>
      <c r="C47" s="11" t="s">
        <v>201</v>
      </c>
      <c r="D47" s="21" cm="1" t="str">
        <f t="array" ref="D47">IF(IFERROR(AND(OR(CELL("format",'S3-1 Arena'!$D$6)=",2"),OR(CELL("format",'S3-1 Arena'!$D$7)=",2"),OR(CELL("format",'S3-1 Arena'!$D$8)=",2"),OR(CELL("format",'S3-1 Arena'!$D$9)=",2"),OR(CELL("format",'S3-1 Arena'!$D$10)=",2")),FALSE),"✔ CLEAR","· not yet · press F9")</f>
        <v>· not yet · press F9</v>
      </c>
      <c r="E47" s="22"/>
      <c r="F47" s="23" cm="1" t="str">
        <f t="array" ref="F47">IF(E47="Show hint",Key!$B$26,"")</f>
        <v/>
      </c>
      <c r="G47" s="24" cm="1">
        <f t="array" ref="G47">IF(LEFT(D47,1)="✔",IF(E47="Show hint",5,10),0)</f>
        <v>0</v>
      </c>
    </row>
    <row r="48" spans="1:7" ht="35.5" customHeight="1">
      <c r="A48" s="18" t="s">
        <v>204</v>
      </c>
      <c r="B48" s="8" t="s">
        <v>205</v>
      </c>
      <c r="C48" s="11" t="s">
        <v>206</v>
      </c>
      <c r="D48" s="21" cm="1" t="str">
        <f t="array" ref="D48">IF(IFERROR(AND(OR(CELL("format",'S3-1 Arena'!$E$6)="D1",CELL("format",'S3-1 Arena'!$E$6)="D4"),OR(CELL("format",'S3-1 Arena'!$E$7)="D1",CELL("format",'S3-1 Arena'!$E$7)="D4"),OR(CELL("format",'S3-1 Arena'!$E$8)="D1",CELL("format",'S3-1 Arena'!$E$8)="D4"),OR(CELL("format",'S3-1 Arena'!$E$9)="D1",CELL("format",'S3-1 Arena'!$E$9)="D4"),OR(CELL("format",'S3-1 Arena'!$E$10)="D1",CELL("format",'S3-1 Arena'!$E$10)="D4")),FALSE),"✔ CLEAR","· not yet · press F9")</f>
        <v>· not yet · press F9</v>
      </c>
      <c r="E48" s="22"/>
      <c r="F48" s="23" cm="1" t="str">
        <f t="array" ref="F48">IF(E48="Show hint",Key!$B$27,"")</f>
        <v/>
      </c>
      <c r="G48" s="24" cm="1">
        <f t="array" ref="G48">IF(LEFT(D48,1)="✔",IF(E48="Show hint",5,10),0)</f>
        <v>0</v>
      </c>
    </row>
    <row r="49" spans="1:7" ht="35.5" customHeight="1">
      <c r="A49" s="18" t="s">
        <v>209</v>
      </c>
      <c r="B49" s="8" t="s">
        <v>210</v>
      </c>
      <c r="C49" s="11" t="s">
        <v>211</v>
      </c>
      <c r="D49" s="21" cm="1" t="str">
        <f t="array" ref="D49">IF(IFERROR(AND(OR(CELL("format",'S3-1 Arena'!$F$6)="D7",CELL("format",'S3-1 Arena'!$F$6)="D6",CELL("format",'S3-1 Arena'!$F$6)="D9",CELL("format",'S3-1 Arena'!$F$6)="D8"),OR(CELL("format",'S3-1 Arena'!$F$7)="D7",CELL("format",'S3-1 Arena'!$F$7)="D6",CELL("format",'S3-1 Arena'!$F$7)="D9",CELL("format",'S3-1 Arena'!$F$7)="D8"),OR(CELL("format",'S3-1 Arena'!$F$8)="D7",CELL("format",'S3-1 Arena'!$F$8)="D6",CELL("format",'S3-1 Arena'!$F$8)="D9",CELL("format",'S3-1 Arena'!$F$8)="D8"),OR(CELL("format",'S3-1 Arena'!$F$9)="D7",CELL("format",'S3-1 Arena'!$F$9)="D6",CELL("format",'S3-1 Arena'!$F$9)="D9",CELL("format",'S3-1 Arena'!$F$9)="D8"),OR(CELL("format",'S3-1 Arena'!$F$10)="D7",CELL("format",'S3-1 Arena'!$F$10)="D6",CELL("format",'S3-1 Arena'!$F$10)="D9",CELL("format",'S3-1 Arena'!$F$10)="D8")),FALSE),"✔ CLEAR","· not yet · press F9")</f>
        <v>· not yet · press F9</v>
      </c>
      <c r="E49" s="22"/>
      <c r="F49" s="23" cm="1" t="str">
        <f t="array" ref="F49">IF(E49="Show hint",Key!$B$28,"")</f>
        <v/>
      </c>
      <c r="G49" s="24" cm="1">
        <f t="array" ref="G49">IF(LEFT(D49,1)="✔",IF(E49="Show hint",5,10),0)</f>
        <v>0</v>
      </c>
    </row>
    <row r="50" spans="1:7" ht="51.25" customHeight="1">
      <c r="A50" s="18" t="s">
        <v>214</v>
      </c>
      <c r="B50" s="8" t="s">
        <v>215</v>
      </c>
      <c r="C50" s="11" t="s">
        <v>216</v>
      </c>
      <c r="D50" s="21" cm="1" t="str">
        <f t="array" ref="D50">IF(IFERROR(AND(OR(CELL("format",'S3-1 Arena'!$G$6)="G"),OR(CELL("format",'S3-1 Arena'!$G$7)="G"),OR(CELL("format",'S3-1 Arena'!$G$8)="G"),OR(CELL("format",'S3-1 Arena'!$G$9)="G"),OR(CELL("format",'S3-1 Arena'!$G$10)="G")),FALSE),"✔ CLEAR","· not yet · press F9")</f>
        <v>· not yet · press F9</v>
      </c>
      <c r="E50" s="22"/>
      <c r="F50" s="23" cm="1" t="str">
        <f t="array" ref="F50">IF(E50="Show hint",Key!$B$29,"")</f>
        <v/>
      </c>
      <c r="G50" s="24" cm="1">
        <f t="array" ref="G50">IF(LEFT(D50,1)="✔",IF(E50="Show hint",5,10),0)</f>
        <v>0</v>
      </c>
    </row>
  </sheetData>
  <sheetProtection sheet="1" objects="1" scenarios="1" formatColumns="0" formatRows="0"/>
  <conditionalFormatting sqref="D16:D50">
    <cfRule type="expression" dxfId="0" priority="1">
      <formula>LEFT($D16,1)="✔"</formula>
    </cfRule>
    <cfRule type="expression" dxfId="1" priority="2">
      <formula>LEFT($D16,1)="✘"</formula>
    </cfRule>
    <cfRule type="expression" dxfId="2" priority="3">
      <formula>$D16="LOCKED"</formula>
    </cfRule>
  </conditionalFormatting>
  <dataValidations count="50"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4"/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5"/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Key!$E$12:$H$12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Key!$E$13:$H$13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Pick an answer" prompt="Press Alt+Down to open the list, choose with the arrow keys, then press Enter." sqref="C31">
      <formula1>Key!$E$14:$H$14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Pick an answer" prompt="Press Alt+Down to open the list, choose with the arrow keys, then press Enter." sqref="C32">
      <formula1>Key!$E$15:$H$15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Pick an answer" prompt="Press Alt+Down to open the list, choose with the arrow keys, then press Enter." sqref="C33">
      <formula1>Key!$E$16:$H$16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Pick an answer" prompt="Press Alt+Down to open the list, choose with the arrow keys, then press Enter." sqref="C34">
      <formula1>Key!$E$17:$H$17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9"/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0"/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1"/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2"/>
    <dataValidation type="list" allowBlank="1" showInputMessage="1" showErrorMessage="1" promptTitle="Need a hint?" prompt="Pick 'Show hint' (Alt+Down). This question then gives 5 XP instead of 10." sqref="E4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3"/>
    <dataValidation type="list" allowBlank="1" showInputMessage="1" showErrorMessage="1" promptTitle="Need a hint?" prompt="Pick 'Show hint' (Alt+Down). This question then gives 5 XP instead of 10." sqref="E4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4"/>
    <dataValidation type="list" allowBlank="1" showInputMessage="1" showErrorMessage="1" promptTitle="Need a hint?" prompt="Pick 'Show hint' (Alt+Down). This question then gives 5 XP instead of 10." sqref="E44">
      <formula1>"Show hint"</formula1>
    </dataValidation>
    <dataValidation type="list" allowBlank="1" showInputMessage="1" showErrorMessage="1" promptTitle="Need a hint?" prompt="Pick 'Show hint' (Alt+Down). This question then gives 5 XP instead of 10." sqref="E45">
      <formula1>"Show hint"</formula1>
    </dataValidation>
    <dataValidation type="list" allowBlank="1" showInputMessage="1" showErrorMessage="1" promptTitle="Need a hint?" prompt="Pick 'Show hint' (Alt+Down). This question then gives 5 XP instead of 10." sqref="E46">
      <formula1>"Show hint"</formula1>
    </dataValidation>
    <dataValidation type="list" allowBlank="1" showInputMessage="1" showErrorMessage="1" promptTitle="Need a hint?" prompt="Pick 'Show hint' (Alt+Down). This question then gives 5 XP instead of 10." sqref="E47">
      <formula1>"Show hint"</formula1>
    </dataValidation>
    <dataValidation type="list" allowBlank="1" showInputMessage="1" showErrorMessage="1" promptTitle="Need a hint?" prompt="Pick 'Show hint' (Alt+Down). This question then gives 5 XP instead of 10." sqref="E48">
      <formula1>"Show hint"</formula1>
    </dataValidation>
    <dataValidation type="list" allowBlank="1" showInputMessage="1" showErrorMessage="1" promptTitle="Need a hint?" prompt="Pick 'Show hint' (Alt+Down). This question then gives 5 XP instead of 10." sqref="E49">
      <formula1>"Show hint"</formula1>
    </dataValidation>
    <dataValidation type="list" allowBlank="1" showInputMessage="1" showErrorMessage="1" promptTitle="Need a hint?" prompt="Pick 'Show hint' (Alt+Down). This question then gives 5 XP instead of 10." sqref="E50">
      <formula1>"Show hint"</formula1>
    </dataValidation>
  </dataValidations>
  <hyperlinks>
    <hyperlink ref="B37" location="'S3-1 Arena'!A1" display="▶ Open S3-1 Arena (or press Ctrl+PgDn)"/>
    <hyperlink ref="C45" location="'S3-1 Arena'!B6" tooltip="Go to S3-1 Arena, cell B6" display="▶ ARENA C7 (cell B6)"/>
    <hyperlink ref="C46" location="'S3-1 Arena'!C6" tooltip="Go to S3-1 Arena, cell C6" display="▶ ARENA C8 (cell C6)"/>
    <hyperlink ref="C47" location="'S3-1 Arena'!D6" tooltip="Go to S3-1 Arena, cell D6" display="▶ ARENA C9 (cell D6)"/>
    <hyperlink ref="C48" location="'S3-1 Arena'!E6" tooltip="Go to S3-1 Arena, cell E6" display="▶ ARENA C10 (cell E6)"/>
    <hyperlink ref="C49" location="'S3-1 Arena'!F6" tooltip="Go to S3-1 Arena, cell F6" display="▶ ARENA C11 (cell F6)"/>
    <hyperlink ref="C50" location="'S3-1 Arena'!G6" tooltip="Go to S3-1 Arena, cell G6" display="▶ ARENA C12 (cell G6)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14.7109375" customWidth="1"/>
    <col min="8" max="26" width="13.7109375" customWidth="1"/>
  </cols>
  <sheetData>
    <row r="1" spans="1:7">
      <c r="A1" s="1" t="s">
        <v>4</v>
      </c>
    </row>
    <row r="2" spans="1:7">
      <c r="A2" s="3" t="s">
        <v>5</v>
      </c>
    </row>
    <row r="3" spans="1:7">
      <c r="A3" s="25" t="s">
        <v>6</v>
      </c>
      <c r="B3" s="26" t="s">
        <v>7</v>
      </c>
      <c r="D3" s="11" t="s">
        <v>8</v>
      </c>
    </row>
    <row r="5" spans="1:7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G5" s="27" t="s">
        <v>14</v>
      </c>
    </row>
    <row r="6" spans="1:7">
      <c r="B6" s="5">
        <v>19.99</v>
      </c>
      <c r="C6" s="5">
        <v>0.25</v>
      </c>
      <c r="D6" s="5">
        <v>1234567.891</v>
      </c>
      <c r="E6" s="5">
        <v>46023</v>
      </c>
      <c r="F6" s="5">
        <v>0.25</v>
      </c>
      <c r="G6" s="28">
        <v>10</v>
      </c>
    </row>
    <row r="7" spans="1:7">
      <c r="B7" s="5">
        <v>5</v>
      </c>
      <c r="C7" s="5">
        <v>0.5</v>
      </c>
      <c r="D7" s="5">
        <v>98765.39999999999</v>
      </c>
      <c r="E7" s="5">
        <v>46100</v>
      </c>
      <c r="F7" s="5">
        <v>0.5</v>
      </c>
      <c r="G7" s="28">
        <v>20</v>
      </c>
    </row>
    <row r="8" spans="1:7">
      <c r="B8" s="5">
        <v>120.5</v>
      </c>
      <c r="C8" s="5">
        <v>0.125</v>
      </c>
      <c r="D8" s="5">
        <v>1000</v>
      </c>
      <c r="E8" s="5">
        <v>46200</v>
      </c>
      <c r="F8" s="5">
        <v>0.75</v>
      </c>
      <c r="G8" s="28">
        <v>30</v>
      </c>
    </row>
    <row r="9" spans="1:7">
      <c r="B9" s="5">
        <v>0.75</v>
      </c>
      <c r="C9" s="5">
        <v>0.9</v>
      </c>
      <c r="D9" s="5">
        <v>42</v>
      </c>
      <c r="E9" s="5">
        <v>46300</v>
      </c>
      <c r="F9" s="5">
        <v>0.3333</v>
      </c>
      <c r="G9" s="28">
        <v>40</v>
      </c>
    </row>
    <row r="10" spans="1:7">
      <c r="B10" s="5">
        <v>1499</v>
      </c>
      <c r="C10" s="5">
        <v>0.05</v>
      </c>
      <c r="D10" s="5">
        <v>7</v>
      </c>
      <c r="E10" s="5">
        <v>46388</v>
      </c>
      <c r="F10" s="5">
        <v>0.9</v>
      </c>
      <c r="G10" s="28">
        <v>50</v>
      </c>
    </row>
  </sheetData>
  <hyperlinks>
    <hyperlink ref="D3" location="'S3-1 Number Skins'!A1" display="◀ Back to S3-1 Number Ski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3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299</v>
      </c>
      <c r="B1" s="2"/>
      <c r="C1" s="2"/>
      <c r="D1" s="2"/>
      <c r="E1" s="2"/>
      <c r="F1" s="2"/>
      <c r="G1" s="2"/>
    </row>
    <row r="2" spans="1:7">
      <c r="A2" s="3" t="s">
        <v>300</v>
      </c>
    </row>
    <row r="3" spans="1:7" ht="26" customHeight="1">
      <c r="A3" s="14" cm="1" t="str">
        <f t="array" ref="A3">"SCORE "&amp;TEXT(SUM($G$14:$G$39),"0000")&amp;" / 0190"</f>
        <v>SCORE 0000 / 0190</v>
      </c>
      <c r="C3" s="15" cm="1" t="str">
        <f t="array" ref="C3">IF(SUM($G$14:$G$39)&gt;=190,"★★★",IF(SUM($G$14:$G$39)&gt;=190*0.8,"★★☆",IF(SUM($G$14:$G$39)&gt;=190*0.5,"★☆☆","☆☆☆")))</f>
        <v>☆☆☆</v>
      </c>
      <c r="D3" s="16" cm="1" t="str">
        <f t="array" ref="D3">REPT("█",ROUND(10*SUM($G$14:$G$39)/190,0))&amp;REPT("░",10-ROUND(10*SUM($G$14:$G$39)/190,0))&amp;"  "&amp;TEXT(SUM($G$14:$G$39)/190,"0%")</f>
        <v>░░░░░░░░░░  0%</v>
      </c>
      <c r="F3" s="17" cm="1" t="str">
        <f t="array" ref="F3">IF(SUM($G$14:$G$39)&gt;=190*0.5,"STAGE CLEAR! ▶ Next: S3-3 Format Power","")</f>
        <v/>
      </c>
    </row>
    <row r="5" spans="1:7" ht="22" customHeight="1">
      <c r="A5" s="4" t="s">
        <v>15</v>
      </c>
      <c r="B5" s="4"/>
      <c r="C5" s="4"/>
      <c r="D5" s="4"/>
      <c r="E5" s="4"/>
      <c r="F5" s="4"/>
      <c r="G5" s="4"/>
    </row>
    <row r="6" spans="1:7">
      <c r="A6" s="6" t="s">
        <v>16</v>
      </c>
      <c r="B6" s="6" t="s">
        <v>17</v>
      </c>
      <c r="C6" s="6" t="s">
        <v>18</v>
      </c>
      <c r="D6" s="6"/>
      <c r="E6" s="6"/>
      <c r="F6" s="6"/>
      <c r="G6" s="6"/>
    </row>
    <row r="7" spans="1:7" ht="35.5" customHeight="1">
      <c r="A7" s="18" t="s">
        <v>19</v>
      </c>
      <c r="B7" s="8" t="s">
        <v>226</v>
      </c>
      <c r="C7" s="19" t="s">
        <v>227</v>
      </c>
    </row>
    <row r="8" spans="1:7" ht="35.5" customHeight="1">
      <c r="A8" s="18" t="s">
        <v>22</v>
      </c>
      <c r="B8" s="8" t="s">
        <v>228</v>
      </c>
      <c r="C8" s="19" t="s">
        <v>229</v>
      </c>
    </row>
    <row r="9" spans="1:7" ht="35.5" customHeight="1">
      <c r="A9" s="18" t="s">
        <v>25</v>
      </c>
      <c r="B9" s="8" t="s">
        <v>230</v>
      </c>
      <c r="C9" s="19" t="s">
        <v>127</v>
      </c>
    </row>
    <row r="10" spans="1:7" ht="35.5" customHeight="1">
      <c r="A10" s="18" t="s">
        <v>28</v>
      </c>
      <c r="B10" s="8" t="s">
        <v>231</v>
      </c>
      <c r="C10" s="19" t="s">
        <v>122</v>
      </c>
    </row>
    <row r="12" spans="1:7" ht="22" customHeight="1">
      <c r="A12" s="4" t="s">
        <v>37</v>
      </c>
      <c r="B12" s="4"/>
      <c r="C12" s="4"/>
      <c r="D12" s="4"/>
      <c r="E12" s="4"/>
      <c r="F12" s="4"/>
      <c r="G12" s="4"/>
    </row>
    <row r="13" spans="1:7">
      <c r="A13" s="6" t="s">
        <v>16</v>
      </c>
      <c r="B13" s="6" t="s">
        <v>38</v>
      </c>
      <c r="C13" s="6" t="s">
        <v>39</v>
      </c>
      <c r="D13" s="6" t="s">
        <v>40</v>
      </c>
      <c r="E13" s="6" t="s">
        <v>41</v>
      </c>
      <c r="F13" s="6" t="s">
        <v>1</v>
      </c>
      <c r="G13" s="6" t="s">
        <v>42</v>
      </c>
    </row>
    <row r="14" spans="1:7" ht="35.5" customHeight="1">
      <c r="A14" s="18" t="s">
        <v>51</v>
      </c>
      <c r="B14" s="8" t="s">
        <v>233</v>
      </c>
      <c r="C14" s="20"/>
      <c r="D14" s="21" cm="1" t="str">
        <f t="array" ref="D14">IFERROR(_xlfn.LET(_xlpm.a,'S3-2 Text Style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$30:$H$30),"✔ CLEAR","✘ TRY AGAIN"))),"✘ TRY AGAIN")</f>
        <v/>
      </c>
      <c r="E14" s="22"/>
      <c r="F14" s="23" cm="1" t="str">
        <f t="array" ref="F14">IF(E14="Show hint",Key!$B$30,"")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61</v>
      </c>
      <c r="B15" s="8" t="s">
        <v>235</v>
      </c>
      <c r="C15" s="20"/>
      <c r="D15" s="21" cm="1" t="str">
        <f t="array" ref="D15">IFERROR(_xlfn.LET(_xlpm.a,'S3-2 Text Style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$31:$H$31),"✔ CLEAR","✘ TRY AGAIN"))),"✘ TRY AGAIN")</f>
        <v/>
      </c>
      <c r="E15" s="22"/>
      <c r="F15" s="23" cm="1" t="str">
        <f t="array" ref="F15">IF(E15="Show hint",Key!$B$31,"")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71</v>
      </c>
      <c r="B16" s="8" t="s">
        <v>237</v>
      </c>
      <c r="C16" s="20"/>
      <c r="D16" s="21" cm="1" t="str">
        <f t="array" ref="D16">IFERROR(_xlfn.LET(_xlpm.a,'S3-2 Text Style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$32:$H$32),"✔ CLEAR","✘ TRY AGAIN"))),"✘ TRY AGAIN")</f>
        <v/>
      </c>
      <c r="E16" s="22"/>
      <c r="F16" s="23" cm="1" t="str">
        <f t="array" ref="F16">IF(E16="Show hint",Key!$B$32,"")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76</v>
      </c>
      <c r="B17" s="8" t="s">
        <v>239</v>
      </c>
      <c r="C17" s="20"/>
      <c r="D17" s="21" cm="1" t="str">
        <f t="array" ref="D17">IFERROR(_xlfn.LET(_xlpm.a,'S3-2 Text Style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$33:$H$33),"✔ CLEAR","✘ TRY AGAIN"))),"✘ TRY AGAIN")</f>
        <v/>
      </c>
      <c r="E17" s="22"/>
      <c r="F17" s="23" cm="1" t="str">
        <f t="array" ref="F17">IF(E17="Show hint",Key!$B$33,"")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81</v>
      </c>
      <c r="B18" s="8" t="s">
        <v>241</v>
      </c>
      <c r="C18" s="20"/>
      <c r="D18" s="21" cm="1" t="str">
        <f t="array" ref="D18">IFERROR(_xlfn.LET(_xlpm.a,'S3-2 Text Style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$34:$H$34),"✔ CLEAR","✘ TRY AGAIN"))),"✘ TRY AGAIN")</f>
        <v/>
      </c>
      <c r="E18" s="22"/>
      <c r="F18" s="23" cm="1" t="str">
        <f t="array" ref="F18">IF(E18="Show hint",Key!$B$34,"")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86</v>
      </c>
      <c r="B19" s="8" t="s">
        <v>243</v>
      </c>
      <c r="C19" s="20"/>
      <c r="D19" s="21" cm="1" t="str">
        <f t="array" ref="D19">IFERROR(_xlfn.LET(_xlpm.a,'S3-2 Text Style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$35:$H$35),"✔ CLEAR","✘ TRY AGAIN"))),"✘ TRY AGAIN")</f>
        <v/>
      </c>
      <c r="E19" s="22"/>
      <c r="F19" s="23" cm="1" t="str">
        <f t="array" ref="F19">IF(E19="Show hint",Key!$B$35,"")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91</v>
      </c>
      <c r="B20" s="8" t="s">
        <v>247</v>
      </c>
      <c r="C20" s="20"/>
      <c r="D20" s="21" cm="1" t="str">
        <f t="array" ref="D20">IFERROR(_xlfn.LET(_xlpm.a,'S3-2 Text Style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$36:$F$36),"✔ CLEAR","✘ TRY AGAIN"))),"✘ TRY AGAIN")</f>
        <v/>
      </c>
      <c r="E20" s="22"/>
      <c r="F20" s="23" cm="1" t="str">
        <f t="array" ref="F20">IF(E20="Show hint",Key!$B$36,"")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96</v>
      </c>
      <c r="B21" s="8" t="s">
        <v>256</v>
      </c>
      <c r="C21" s="20"/>
      <c r="D21" s="21" cm="1" t="str">
        <f t="array" ref="D21">IFERROR(_xlfn.LET(_xlpm.a,'S3-2 Text Style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$37:$J$37),"✔ CLEAR","✘ TRY AGAIN"))),"✘ TRY AGAIN")</f>
        <v/>
      </c>
      <c r="E21" s="22"/>
      <c r="F21" s="23" cm="1" t="str">
        <f t="array" ref="F21">IF(E21="Show hint",Key!$B$37,"")</f>
        <v/>
      </c>
      <c r="G21" s="24" cm="1">
        <f t="array" ref="G21">IF(LEFT(D21,1)="✔",IF(E21="Show hint",5,10),0)</f>
        <v>0</v>
      </c>
    </row>
    <row r="22" spans="1:7" ht="51.25" customHeight="1">
      <c r="A22" s="18" t="s">
        <v>106</v>
      </c>
      <c r="B22" s="8" t="s">
        <v>260</v>
      </c>
      <c r="C22" s="20"/>
      <c r="D22" s="21" cm="1" t="str">
        <f t="array" ref="D22">IFERROR(_xlfn.LET(_xlpm.a,'S3-2 Text Style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$38:$E$38),"✔ CLEAR","✘ TRY AGAIN"))),"✘ TRY AGAIN")</f>
        <v/>
      </c>
      <c r="E22" s="22"/>
      <c r="F22" s="23" cm="1" t="str">
        <f t="array" ref="F22">IF(E22="Show hint",Key!$B$38,"")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116</v>
      </c>
      <c r="B23" s="8" t="s">
        <v>269</v>
      </c>
      <c r="C23" s="20"/>
      <c r="D23" s="21" cm="1" t="str">
        <f t="array" ref="D23">IFERROR(_xlfn.LET(_xlpm.a,'S3-2 Text Style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$39:$J$39),"✔ CLEAR","✘ TRY AGAIN"))),"✘ TRY AGAIN")</f>
        <v/>
      </c>
      <c r="E23" s="22"/>
      <c r="F23" s="23" cm="1" t="str">
        <f t="array" ref="F23">IF(E23="Show hint",Key!$B$39,"")</f>
        <v/>
      </c>
      <c r="G23" s="24" cm="1">
        <f t="array" ref="G23">IF(LEFT(D23,1)="✔",IF(E23="Show hint",5,10),0)</f>
        <v>0</v>
      </c>
    </row>
    <row r="25" spans="1:7" ht="22" customHeight="1">
      <c r="A25" s="4" t="s">
        <v>118</v>
      </c>
      <c r="B25" s="4"/>
      <c r="C25" s="4"/>
      <c r="D25" s="4"/>
      <c r="E25" s="4"/>
      <c r="F25" s="4"/>
      <c r="G25" s="4"/>
    </row>
    <row r="26" spans="1:7">
      <c r="A26" s="6" t="s">
        <v>16</v>
      </c>
      <c r="B26" s="6" t="s">
        <v>38</v>
      </c>
      <c r="C26" s="6" t="s">
        <v>39</v>
      </c>
      <c r="D26" s="6" t="s">
        <v>40</v>
      </c>
      <c r="E26" s="6" t="s">
        <v>41</v>
      </c>
      <c r="F26" s="6" t="s">
        <v>1</v>
      </c>
      <c r="G26" s="6" t="s">
        <v>42</v>
      </c>
    </row>
    <row r="27" spans="1:7" ht="19.75" customHeight="1">
      <c r="A27" s="18" t="s">
        <v>123</v>
      </c>
      <c r="B27" s="8" t="s">
        <v>272</v>
      </c>
      <c r="C27" s="20"/>
      <c r="D27" s="21" cm="1" t="str">
        <f t="array" ref="D27">IFERROR(IF('S3-2 Text Style'!$C$27&amp;""="","",IF('S3-2 Text Style'!$C$27&amp;""=Key!$C$40&amp;"","✔ CLEAR","✘ TRY AGAIN")),"✘ TRY AGAIN")</f>
        <v/>
      </c>
      <c r="E27" s="22"/>
      <c r="F27" s="23" cm="1" t="str">
        <f t="array" ref="F27">IF(E27="Show hint",Key!$B$40,"")</f>
        <v/>
      </c>
      <c r="G27" s="24" cm="1">
        <f t="array" ref="G27">IF(LEFT(D27,1)="✔",IF(E27="Show hint",5,10),0)</f>
        <v>0</v>
      </c>
    </row>
    <row r="28" spans="1:7" ht="19.75" customHeight="1">
      <c r="A28" s="18" t="s">
        <v>129</v>
      </c>
      <c r="B28" s="8" t="s">
        <v>275</v>
      </c>
      <c r="C28" s="20"/>
      <c r="D28" s="21" cm="1" t="str">
        <f t="array" ref="D28">IFERROR(IF('S3-2 Text Style'!$C$28&amp;""="","",IF('S3-2 Text Style'!$C$28&amp;""=Key!$C$41&amp;"","✔ CLEAR","✘ TRY AGAIN")),"✘ TRY AGAIN")</f>
        <v/>
      </c>
      <c r="E28" s="22"/>
      <c r="F28" s="23" cm="1" t="str">
        <f t="array" ref="F28">IF(E28="Show hint",Key!$B$41,"")</f>
        <v/>
      </c>
      <c r="G28" s="24" cm="1">
        <f t="array" ref="G28">IF(LEFT(D28,1)="✔",IF(E28="Show hint",5,10),0)</f>
        <v>0</v>
      </c>
    </row>
    <row r="29" spans="1:7" ht="19.75" customHeight="1">
      <c r="A29" s="18" t="s">
        <v>133</v>
      </c>
      <c r="B29" s="8" t="s">
        <v>279</v>
      </c>
      <c r="C29" s="20"/>
      <c r="D29" s="21" cm="1" t="str">
        <f t="array" ref="D29">IFERROR(IF('S3-2 Text Style'!$C$29&amp;""="","",IF('S3-2 Text Style'!$C$29&amp;""=Key!$C$42&amp;"","✔ CLEAR","✘ TRY AGAIN")),"✘ TRY AGAIN")</f>
        <v/>
      </c>
      <c r="E29" s="22"/>
      <c r="F29" s="23" cm="1" t="str">
        <f t="array" ref="F29">IF(E29="Show hint",Key!$B$42,"")</f>
        <v/>
      </c>
      <c r="G29" s="24" cm="1">
        <f t="array" ref="G29">IF(LEFT(D29,1)="✔",IF(E29="Show hint",5,10),0)</f>
        <v>0</v>
      </c>
    </row>
    <row r="30" spans="1:7" ht="19.75" customHeight="1">
      <c r="A30" s="18" t="s">
        <v>139</v>
      </c>
      <c r="B30" s="8" t="s">
        <v>282</v>
      </c>
      <c r="C30" s="20"/>
      <c r="D30" s="21" cm="1" t="str">
        <f t="array" ref="D30">IFERROR(IF('S3-2 Text Style'!$C$30&amp;""="","",IF('S3-2 Text Style'!$C$30&amp;""=Key!$C$43&amp;"","✔ CLEAR","✘ TRY AGAIN")),"✘ TRY AGAIN")</f>
        <v/>
      </c>
      <c r="E30" s="22"/>
      <c r="F30" s="23" cm="1" t="str">
        <f t="array" ref="F30">IF(E30="Show hint",Key!$B$43,"")</f>
        <v/>
      </c>
      <c r="G30" s="24" cm="1">
        <f t="array" ref="G30">IF(LEFT(D30,1)="✔",IF(E30="Show hint",5,10),0)</f>
        <v>0</v>
      </c>
    </row>
    <row r="32" spans="1:7" ht="22" customHeight="1">
      <c r="A32" s="4" t="s">
        <v>149</v>
      </c>
      <c r="B32" s="4"/>
      <c r="C32" s="4"/>
      <c r="D32" s="4"/>
      <c r="E32" s="4"/>
      <c r="F32" s="4"/>
      <c r="G32" s="4"/>
    </row>
    <row r="33" spans="1:7">
      <c r="B33" s="11" t="s">
        <v>283</v>
      </c>
    </row>
    <row r="34" spans="1:7">
      <c r="A34" s="6" t="s">
        <v>16</v>
      </c>
      <c r="B34" s="6" t="s">
        <v>38</v>
      </c>
      <c r="C34" s="6" t="s">
        <v>39</v>
      </c>
      <c r="D34" s="6" t="s">
        <v>40</v>
      </c>
      <c r="E34" s="6" t="s">
        <v>41</v>
      </c>
      <c r="F34" s="6" t="s">
        <v>1</v>
      </c>
      <c r="G34" s="6" t="s">
        <v>42</v>
      </c>
    </row>
    <row r="35" spans="1:7" ht="19.75" customHeight="1">
      <c r="A35" s="18" t="s">
        <v>156</v>
      </c>
      <c r="B35" s="8" t="s">
        <v>272</v>
      </c>
      <c r="C35" s="20"/>
      <c r="D35" s="21" cm="1" t="str">
        <f t="array" ref="D35">IFERROR(_xlfn.LET(_xlpm.a,'S3-2 Text Style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$44:$F$44),"✔ CLEAR","✘ TRY AGAIN"))),"✘ TRY AGAIN")</f>
        <v/>
      </c>
      <c r="E35" s="22"/>
      <c r="F35" s="23" cm="1" t="str">
        <f t="array" ref="F35">IF(E35="Show hint",Key!$B$44,"")</f>
        <v/>
      </c>
      <c r="G35" s="24" cm="1">
        <f t="array" ref="G35">IF(LEFT(D35,1)="✔",IF(E35="Show hint",5,10),0)</f>
        <v>0</v>
      </c>
    </row>
    <row r="36" spans="1:7" ht="19.75" customHeight="1">
      <c r="A36" s="18" t="s">
        <v>162</v>
      </c>
      <c r="B36" s="8" t="s">
        <v>275</v>
      </c>
      <c r="C36" s="20"/>
      <c r="D36" s="21" cm="1" t="str">
        <f t="array" ref="D36">IFERROR(_xlfn.LET(_xlpm.a,'S3-2 Text Style'!$C$36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$45:$F$45),"✔ CLEAR","✘ TRY AGAIN"))),"✘ TRY AGAIN")</f>
        <v/>
      </c>
      <c r="E36" s="22"/>
      <c r="F36" s="23" cm="1" t="str">
        <f t="array" ref="F36">IF(E36="Show hint",Key!$B$45,"")</f>
        <v/>
      </c>
      <c r="G36" s="24" cm="1">
        <f t="array" ref="G36">IF(LEFT(D36,1)="✔",IF(E36="Show hint",5,10),0)</f>
        <v>0</v>
      </c>
    </row>
    <row r="37" spans="1:7" ht="19.75" customHeight="1">
      <c r="A37" s="18" t="s">
        <v>168</v>
      </c>
      <c r="B37" s="8" t="s">
        <v>279</v>
      </c>
      <c r="C37" s="20"/>
      <c r="D37" s="21" cm="1" t="str">
        <f t="array" ref="D37">IFERROR(_xlfn.LET(_xlpm.a,'S3-2 Text Style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$46:$F$46),"✔ CLEAR","✘ TRY AGAIN"))),"✘ TRY AGAIN")</f>
        <v/>
      </c>
      <c r="E37" s="22"/>
      <c r="F37" s="23" cm="1" t="str">
        <f t="array" ref="F37">IF(E37="Show hint",Key!$B$46,"")</f>
        <v/>
      </c>
      <c r="G37" s="24" cm="1">
        <f t="array" ref="G37">IF(LEFT(D37,1)="✔",IF(E37="Show hint",5,10),0)</f>
        <v>0</v>
      </c>
    </row>
    <row r="38" spans="1:7" ht="19.75" customHeight="1">
      <c r="A38" s="18" t="s">
        <v>174</v>
      </c>
      <c r="B38" s="8" t="s">
        <v>282</v>
      </c>
      <c r="C38" s="20"/>
      <c r="D38" s="21" cm="1" t="str">
        <f t="array" ref="D38">IFERROR(_xlfn.LET(_xlpm.a,'S3-2 Text Style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$47:$E$47),"✔ CLEAR","✘ TRY AGAIN"))),"✘ TRY AGAIN")</f>
        <v/>
      </c>
      <c r="E38" s="22"/>
      <c r="F38" s="23" cm="1" t="str">
        <f t="array" ref="F38">IF(E38="Show hint",Key!$B$47,"")</f>
        <v/>
      </c>
      <c r="G38" s="24" cm="1">
        <f t="array" ref="G38">IF(LEFT(D38,1)="✔",IF(E38="Show hint",5,10),0)</f>
        <v>0</v>
      </c>
    </row>
    <row r="39" spans="1:7" ht="51.25" customHeight="1">
      <c r="A39" s="18" t="s">
        <v>180</v>
      </c>
      <c r="B39" s="8" t="s">
        <v>298</v>
      </c>
      <c r="C39" s="20"/>
      <c r="D39" s="21" cm="1" t="str">
        <f t="array" ref="D39">IF('S3-2 Text Style'!$C$39="Done","✔ CLEAR · self-check","")</f>
        <v/>
      </c>
      <c r="E39" s="22"/>
      <c r="F39" s="23" cm="1" t="str">
        <f t="array" ref="F39">IF(E39="Show hint",Key!$B$48,"")</f>
        <v/>
      </c>
      <c r="G39" s="24" cm="1">
        <f t="array" ref="G39">IF(LEFT(D39,1)="✔",IF(E39="Show hint",5,10),0)</f>
        <v>0</v>
      </c>
    </row>
  </sheetData>
  <sheetProtection sheet="1" objects="1" scenarios="1" formatColumns="0" formatRows="0"/>
  <conditionalFormatting sqref="D14:D39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38"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Key!$E$40:$H$40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Key!$E$41:$H$41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Key!$E$42:$H$42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Key!$E$43:$H$43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Self-check" prompt="Do the task in the arena, then pick Done from the list (Alt+Down)." sqref="C39">
      <formula1>"Done"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</dataValidations>
  <hyperlinks>
    <hyperlink ref="B33" location="'S3-2 Arena'!A1" display="▶ Open S3-2 Arena (or press Ctrl+PgDn)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14.7109375" customWidth="1"/>
    <col min="2" max="2" width="22.7109375" customWidth="1"/>
    <col min="3" max="26" width="13.7109375" customWidth="1"/>
  </cols>
  <sheetData>
    <row r="1" spans="1:4">
      <c r="A1" s="1" t="s">
        <v>219</v>
      </c>
    </row>
    <row r="2" spans="1:4">
      <c r="A2" s="3" t="s">
        <v>5</v>
      </c>
    </row>
    <row r="3" spans="1:4">
      <c r="A3" s="25" t="s">
        <v>6</v>
      </c>
      <c r="B3" s="26" t="s">
        <v>220</v>
      </c>
      <c r="D3" s="11" t="s">
        <v>221</v>
      </c>
    </row>
    <row r="6" spans="1:4">
      <c r="B6" s="5" t="s">
        <v>222</v>
      </c>
    </row>
    <row r="7" spans="1:4">
      <c r="B7" s="5" t="s">
        <v>223</v>
      </c>
    </row>
    <row r="8" spans="1:4">
      <c r="B8" s="5" t="s">
        <v>224</v>
      </c>
    </row>
    <row r="9" spans="1:4">
      <c r="B9" s="5" t="s">
        <v>225</v>
      </c>
    </row>
  </sheetData>
  <hyperlinks>
    <hyperlink ref="D3" location="'S3-2 Text Style'!A1" display="◀ Back to S3-2 Text Styl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5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466</v>
      </c>
      <c r="B1" s="2"/>
      <c r="C1" s="2"/>
      <c r="D1" s="2"/>
      <c r="E1" s="2"/>
      <c r="F1" s="2"/>
      <c r="G1" s="2"/>
    </row>
    <row r="2" spans="1:7">
      <c r="A2" s="3" t="s">
        <v>467</v>
      </c>
    </row>
    <row r="3" spans="1:7" ht="26" customHeight="1">
      <c r="A3" s="14" cm="1" t="str">
        <f t="array" ref="A3">"SCORE "&amp;TEXT(SUM($G$17:$G$51),"0000")&amp;" / 0280"</f>
        <v>SCORE 0000 / 0280</v>
      </c>
      <c r="C3" s="15" cm="1" t="str">
        <f t="array" ref="C3">IF(SUM($G$17:$G$51)&gt;=280,"★★★",IF(SUM($G$17:$G$51)&gt;=280*0.8,"★★☆",IF(SUM($G$17:$G$51)&gt;=280*0.5,"★☆☆","☆☆☆")))</f>
        <v>☆☆☆</v>
      </c>
      <c r="D3" s="16" cm="1" t="str">
        <f t="array" ref="D3">REPT("█",ROUND(10*SUM($G$17:$G$51)/280,0))&amp;REPT("░",10-ROUND(10*SUM($G$17:$G$51)/280,0))&amp;"  "&amp;TEXT(SUM($G$17:$G$51)/280,"0%")</f>
        <v>░░░░░░░░░░  0%</v>
      </c>
      <c r="F3" s="17" cm="1" t="str">
        <f t="array" ref="F3">IF(SUM($G$17:$G$51)&gt;=280*0.5,"STAGE CLEAR! ▶ Next: Boss","")</f>
        <v/>
      </c>
    </row>
    <row r="5" spans="1:7" ht="22" customHeight="1">
      <c r="A5" s="4" t="s">
        <v>15</v>
      </c>
      <c r="B5" s="4"/>
      <c r="C5" s="4"/>
      <c r="D5" s="4"/>
      <c r="E5" s="4"/>
      <c r="F5" s="4"/>
      <c r="G5" s="4"/>
    </row>
    <row r="6" spans="1:7">
      <c r="A6" s="6" t="s">
        <v>16</v>
      </c>
      <c r="B6" s="6" t="s">
        <v>17</v>
      </c>
      <c r="C6" s="6" t="s">
        <v>18</v>
      </c>
      <c r="D6" s="6"/>
      <c r="E6" s="6"/>
      <c r="F6" s="6"/>
      <c r="G6" s="6"/>
    </row>
    <row r="7" spans="1:7" ht="51.25" customHeight="1">
      <c r="A7" s="18" t="s">
        <v>19</v>
      </c>
      <c r="B7" s="8" t="s">
        <v>313</v>
      </c>
      <c r="C7" s="19" t="s">
        <v>137</v>
      </c>
    </row>
    <row r="8" spans="1:7" ht="35.5" customHeight="1">
      <c r="A8" s="18" t="s">
        <v>22</v>
      </c>
      <c r="B8" s="8" t="s">
        <v>314</v>
      </c>
      <c r="C8" s="19" t="s">
        <v>278</v>
      </c>
    </row>
    <row r="9" spans="1:7" ht="35.5" customHeight="1">
      <c r="A9" s="18" t="s">
        <v>25</v>
      </c>
      <c r="B9" s="8" t="s">
        <v>315</v>
      </c>
      <c r="C9" s="19" t="s">
        <v>128</v>
      </c>
    </row>
    <row r="10" spans="1:7" ht="67" customHeight="1">
      <c r="A10" s="18" t="s">
        <v>28</v>
      </c>
      <c r="B10" s="8" t="s">
        <v>316</v>
      </c>
      <c r="C10" s="19" t="s">
        <v>317</v>
      </c>
    </row>
    <row r="11" spans="1:7" ht="67" customHeight="1">
      <c r="A11" s="18" t="s">
        <v>31</v>
      </c>
      <c r="B11" s="8" t="s">
        <v>318</v>
      </c>
      <c r="C11" s="19" t="s">
        <v>121</v>
      </c>
    </row>
    <row r="12" spans="1:7" ht="51.25" customHeight="1">
      <c r="A12" s="18" t="s">
        <v>34</v>
      </c>
      <c r="B12" s="8" t="s">
        <v>319</v>
      </c>
      <c r="C12" s="19" t="s">
        <v>138</v>
      </c>
    </row>
    <row r="13" spans="1:7" ht="51.25" customHeight="1">
      <c r="A13" s="18" t="s">
        <v>320</v>
      </c>
      <c r="B13" s="8" t="s">
        <v>321</v>
      </c>
      <c r="C13" s="19" t="s">
        <v>90</v>
      </c>
    </row>
    <row r="15" spans="1:7" ht="22" customHeight="1">
      <c r="A15" s="4" t="s">
        <v>37</v>
      </c>
      <c r="B15" s="4"/>
      <c r="C15" s="4"/>
      <c r="D15" s="4"/>
      <c r="E15" s="4"/>
      <c r="F15" s="4"/>
      <c r="G15" s="4"/>
    </row>
    <row r="16" spans="1:7">
      <c r="A16" s="6" t="s">
        <v>16</v>
      </c>
      <c r="B16" s="6" t="s">
        <v>38</v>
      </c>
      <c r="C16" s="6" t="s">
        <v>39</v>
      </c>
      <c r="D16" s="6" t="s">
        <v>40</v>
      </c>
      <c r="E16" s="6" t="s">
        <v>41</v>
      </c>
      <c r="F16" s="6" t="s">
        <v>1</v>
      </c>
      <c r="G16" s="6" t="s">
        <v>42</v>
      </c>
    </row>
    <row r="17" spans="1:7" ht="19.75" customHeight="1">
      <c r="A17" s="18" t="s">
        <v>51</v>
      </c>
      <c r="B17" s="8" t="s">
        <v>323</v>
      </c>
      <c r="C17" s="20"/>
      <c r="D17" s="21" cm="1" t="str">
        <f t="array" ref="D17">IFERROR(_xlfn.LET(_xlpm.a,'S3-3 Format Power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$49:$F$49),"✔ CLEAR","✘ TRY AGAIN"))),"✘ TRY AGAIN")</f>
        <v/>
      </c>
      <c r="E17" s="22"/>
      <c r="F17" s="23" cm="1" t="str">
        <f t="array" ref="F17">IF(E17="Show hint",Key!$B$49,"")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61</v>
      </c>
      <c r="B18" s="8" t="s">
        <v>325</v>
      </c>
      <c r="C18" s="20"/>
      <c r="D18" s="21" cm="1" t="str">
        <f t="array" ref="D18">IFERROR(_xlfn.LET(_xlpm.a,'S3-3 Format Power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$50:$F$50),"✔ CLEAR","✘ TRY AGAIN"))),"✘ TRY AGAIN")</f>
        <v/>
      </c>
      <c r="E18" s="22"/>
      <c r="F18" s="23" cm="1" t="str">
        <f t="array" ref="F18">IF(E18="Show hint",Key!$B$50,"")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71</v>
      </c>
      <c r="B19" s="8" t="s">
        <v>327</v>
      </c>
      <c r="C19" s="20"/>
      <c r="D19" s="21" cm="1" t="str">
        <f t="array" ref="D19">IFERROR(_xlfn.LET(_xlpm.a,'S3-3 Format Power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$51:$F$51),"✔ CLEAR","✘ TRY AGAIN"))),"✘ TRY AGAIN")</f>
        <v/>
      </c>
      <c r="E19" s="22"/>
      <c r="F19" s="23" cm="1" t="str">
        <f t="array" ref="F19">IF(E19="Show hint",Key!$B$51,"")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76</v>
      </c>
      <c r="B20" s="8" t="s">
        <v>329</v>
      </c>
      <c r="C20" s="20"/>
      <c r="D20" s="21" cm="1" t="str">
        <f t="array" ref="D20">IFERROR(_xlfn.LET(_xlpm.a,'S3-3 Format Power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$52:$E$52),"✔ CLEAR","✘ TRY AGAIN"))),"✘ TRY AGAIN")</f>
        <v/>
      </c>
      <c r="E20" s="22"/>
      <c r="F20" s="23" cm="1" t="str">
        <f t="array" ref="F20">IF(E20="Show hint",Key!$B$52,"")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81</v>
      </c>
      <c r="B21" s="8" t="s">
        <v>338</v>
      </c>
      <c r="C21" s="20"/>
      <c r="D21" s="21" cm="1" t="str">
        <f t="array" ref="D21">IFERROR(_xlfn.LET(_xlpm.a,'S3-3 Format Power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$53:$J$53),"✔ CLEAR","✘ TRY AGAIN"))),"✘ TRY AGAIN")</f>
        <v/>
      </c>
      <c r="E21" s="22"/>
      <c r="F21" s="23" cm="1" t="str">
        <f t="array" ref="F21">IF(E21="Show hint",Key!$B$53,"")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86</v>
      </c>
      <c r="B22" s="8" t="s">
        <v>347</v>
      </c>
      <c r="C22" s="20"/>
      <c r="D22" s="21" cm="1" t="str">
        <f t="array" ref="D22">IFERROR(_xlfn.LET(_xlpm.a,'S3-3 Format Power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$54:$J$54),"✔ CLEAR","✘ TRY AGAIN"))),"✘ TRY AGAIN")</f>
        <v/>
      </c>
      <c r="E22" s="22"/>
      <c r="F22" s="23" cm="1" t="str">
        <f t="array" ref="F22">IF(E22="Show hint",Key!$B$54,"")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91</v>
      </c>
      <c r="B23" s="8" t="s">
        <v>356</v>
      </c>
      <c r="C23" s="20"/>
      <c r="D23" s="21" cm="1" t="str">
        <f t="array" ref="D23">IFERROR(_xlfn.LET(_xlpm.a,'S3-3 Format Power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$55:$J$55),"✔ CLEAR","✘ TRY AGAIN"))),"✘ TRY AGAIN")</f>
        <v/>
      </c>
      <c r="E23" s="22"/>
      <c r="F23" s="23" cm="1" t="str">
        <f t="array" ref="F23">IF(E23="Show hint",Key!$B$55,"")</f>
        <v/>
      </c>
      <c r="G23" s="24" cm="1">
        <f t="array" ref="G23">IF(LEFT(D23,1)="✔",IF(E23="Show hint",5,10),0)</f>
        <v>0</v>
      </c>
    </row>
    <row r="24" spans="1:7" ht="35.5" customHeight="1">
      <c r="A24" s="18" t="s">
        <v>96</v>
      </c>
      <c r="B24" s="8" t="s">
        <v>365</v>
      </c>
      <c r="C24" s="20"/>
      <c r="D24" s="21" cm="1" t="str">
        <f t="array" ref="D24">IFERROR(_xlfn.LET(_xlpm.a,'S3-3 Format Power'!$C$24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$56:$J$56),"✔ CLEAR","✘ TRY AGAIN"))),"✘ TRY AGAIN")</f>
        <v/>
      </c>
      <c r="E24" s="22"/>
      <c r="F24" s="23" cm="1" t="str">
        <f t="array" ref="F24">IF(E24="Show hint",Key!$B$56,"")</f>
        <v/>
      </c>
      <c r="G24" s="24" cm="1">
        <f t="array" ref="G24">IF(LEFT(D24,1)="✔",IF(E24="Show hint",5,10),0)</f>
        <v>0</v>
      </c>
    </row>
    <row r="25" spans="1:7" ht="35.5" customHeight="1">
      <c r="A25" s="18" t="s">
        <v>106</v>
      </c>
      <c r="B25" s="8" t="s">
        <v>372</v>
      </c>
      <c r="C25" s="20"/>
      <c r="D25" s="21" cm="1" t="str">
        <f t="array" ref="D25">IFERROR(_xlfn.LET(_xlpm.a,'S3-3 Format Power'!$C$25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$57:$H$57),"✔ CLEAR","✘ TRY AGAIN"))),"✘ TRY AGAIN")</f>
        <v/>
      </c>
      <c r="E25" s="22"/>
      <c r="F25" s="23" cm="1" t="str">
        <f t="array" ref="F25">IF(E25="Show hint",Key!$B$57,"")</f>
        <v/>
      </c>
      <c r="G25" s="24" cm="1">
        <f t="array" ref="G25">IF(LEFT(D25,1)="✔",IF(E25="Show hint",5,10),0)</f>
        <v>0</v>
      </c>
    </row>
    <row r="26" spans="1:7" ht="35.5" customHeight="1">
      <c r="A26" s="18" t="s">
        <v>116</v>
      </c>
      <c r="B26" s="8" t="s">
        <v>376</v>
      </c>
      <c r="C26" s="20"/>
      <c r="D26" s="21" cm="1" t="str">
        <f t="array" ref="D26">IFERROR(_xlfn.LET(_xlpm.a,'S3-3 Format Power'!$C$26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$58:$E$58),"✔ CLEAR","✘ TRY AGAIN"))),"✘ TRY AGAIN")</f>
        <v/>
      </c>
      <c r="E26" s="22"/>
      <c r="F26" s="23" cm="1" t="str">
        <f t="array" ref="F26">IF(E26="Show hint",Key!$B$58,"")</f>
        <v/>
      </c>
      <c r="G26" s="24" cm="1">
        <f t="array" ref="G26">IF(LEFT(D26,1)="✔",IF(E26="Show hint",5,10),0)</f>
        <v>0</v>
      </c>
    </row>
    <row r="28" spans="1:7" ht="22" customHeight="1">
      <c r="A28" s="4" t="s">
        <v>118</v>
      </c>
      <c r="B28" s="4"/>
      <c r="C28" s="4"/>
      <c r="D28" s="4"/>
      <c r="E28" s="4"/>
      <c r="F28" s="4"/>
      <c r="G28" s="4"/>
    </row>
    <row r="29" spans="1:7">
      <c r="A29" s="6" t="s">
        <v>16</v>
      </c>
      <c r="B29" s="6" t="s">
        <v>38</v>
      </c>
      <c r="C29" s="6" t="s">
        <v>39</v>
      </c>
      <c r="D29" s="6" t="s">
        <v>40</v>
      </c>
      <c r="E29" s="6" t="s">
        <v>41</v>
      </c>
      <c r="F29" s="6" t="s">
        <v>1</v>
      </c>
      <c r="G29" s="6" t="s">
        <v>42</v>
      </c>
    </row>
    <row r="30" spans="1:7" ht="19.75" customHeight="1">
      <c r="A30" s="18" t="s">
        <v>123</v>
      </c>
      <c r="B30" s="8" t="s">
        <v>379</v>
      </c>
      <c r="C30" s="20"/>
      <c r="D30" s="21" cm="1" t="str">
        <f t="array" ref="D30">IFERROR(IF('S3-3 Format Power'!$C$30&amp;""="","",IF('S3-3 Format Power'!$C$30&amp;""=Key!$C$59&amp;"","✔ CLEAR","✘ TRY AGAIN")),"✘ TRY AGAIN")</f>
        <v/>
      </c>
      <c r="E30" s="22"/>
      <c r="F30" s="23" cm="1" t="str">
        <f t="array" ref="F30">IF(E30="Show hint",Key!$B$59,"")</f>
        <v/>
      </c>
      <c r="G30" s="24" cm="1">
        <f t="array" ref="G30">IF(LEFT(D30,1)="✔",IF(E30="Show hint",5,10),0)</f>
        <v>0</v>
      </c>
    </row>
    <row r="31" spans="1:7" ht="19.75" customHeight="1">
      <c r="A31" s="18" t="s">
        <v>129</v>
      </c>
      <c r="B31" s="8" t="s">
        <v>382</v>
      </c>
      <c r="C31" s="20"/>
      <c r="D31" s="21" cm="1" t="str">
        <f t="array" ref="D31">IFERROR(IF('S3-3 Format Power'!$C$31&amp;""="","",IF('S3-3 Format Power'!$C$31&amp;""=Key!$C$60&amp;"","✔ CLEAR","✘ TRY AGAIN")),"✘ TRY AGAIN")</f>
        <v/>
      </c>
      <c r="E31" s="22"/>
      <c r="F31" s="23" cm="1" t="str">
        <f t="array" ref="F31">IF(E31="Show hint",Key!$B$60,"")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133</v>
      </c>
      <c r="B32" s="8" t="s">
        <v>385</v>
      </c>
      <c r="C32" s="20"/>
      <c r="D32" s="21" cm="1" t="str">
        <f t="array" ref="D32">IFERROR(IF('S3-3 Format Power'!$C$32&amp;""="","",IF('S3-3 Format Power'!$C$32&amp;""=Key!$C$61&amp;"","✔ CLEAR","✘ TRY AGAIN")),"✘ TRY AGAIN")</f>
        <v/>
      </c>
      <c r="E32" s="22"/>
      <c r="F32" s="23" cm="1" t="str">
        <f t="array" ref="F32">IF(E32="Show hint",Key!$B$61,"")</f>
        <v/>
      </c>
      <c r="G32" s="24" cm="1">
        <f t="array" ref="G32">IF(LEFT(D32,1)="✔",IF(E32="Show hint",5,10),0)</f>
        <v>0</v>
      </c>
    </row>
    <row r="33" spans="1:7" ht="19.75" customHeight="1">
      <c r="A33" s="18" t="s">
        <v>139</v>
      </c>
      <c r="B33" s="8" t="s">
        <v>388</v>
      </c>
      <c r="C33" s="20"/>
      <c r="D33" s="21" cm="1" t="str">
        <f t="array" ref="D33">IFERROR(IF('S3-3 Format Power'!$C$33&amp;""="","",IF('S3-3 Format Power'!$C$33&amp;""=Key!$C$62&amp;"","✔ CLEAR","✘ TRY AGAIN")),"✘ TRY AGAIN")</f>
        <v/>
      </c>
      <c r="E33" s="22"/>
      <c r="F33" s="23" cm="1" t="str">
        <f t="array" ref="F33">IF(E33="Show hint",Key!$B$62,"")</f>
        <v/>
      </c>
      <c r="G33" s="24" cm="1">
        <f t="array" ref="G33">IF(LEFT(D33,1)="✔",IF(E33="Show hint",5,10),0)</f>
        <v>0</v>
      </c>
    </row>
    <row r="34" spans="1:7" ht="19.75" customHeight="1">
      <c r="A34" s="18" t="s">
        <v>143</v>
      </c>
      <c r="B34" s="8" t="s">
        <v>391</v>
      </c>
      <c r="C34" s="20"/>
      <c r="D34" s="21" cm="1" t="str">
        <f t="array" ref="D34">IFERROR(IF('S3-3 Format Power'!$C$34&amp;""="","",IF('S3-3 Format Power'!$C$34&amp;""=Key!$C$63&amp;"","✔ CLEAR","✘ TRY AGAIN")),"✘ TRY AGAIN")</f>
        <v/>
      </c>
      <c r="E34" s="22"/>
      <c r="F34" s="23" cm="1" t="str">
        <f t="array" ref="F34">IF(E34="Show hint",Key!$B$63,"")</f>
        <v/>
      </c>
      <c r="G34" s="24" cm="1">
        <f t="array" ref="G34">IF(LEFT(D34,1)="✔",IF(E34="Show hint",5,10),0)</f>
        <v>0</v>
      </c>
    </row>
    <row r="35" spans="1:7" ht="19.75" customHeight="1">
      <c r="A35" s="18" t="s">
        <v>147</v>
      </c>
      <c r="B35" s="8" t="s">
        <v>394</v>
      </c>
      <c r="C35" s="20"/>
      <c r="D35" s="21" cm="1" t="str">
        <f t="array" ref="D35">IFERROR(IF('S3-3 Format Power'!$C$35&amp;""="","",IF('S3-3 Format Power'!$C$35&amp;""=Key!$C$64&amp;"","✔ CLEAR","✘ TRY AGAIN")),"✘ TRY AGAIN")</f>
        <v/>
      </c>
      <c r="E35" s="22"/>
      <c r="F35" s="23" cm="1" t="str">
        <f t="array" ref="F35">IF(E35="Show hint",Key!$B$64,"")</f>
        <v/>
      </c>
      <c r="G35" s="24" cm="1">
        <f t="array" ref="G35">IF(LEFT(D35,1)="✔",IF(E35="Show hint",5,10),0)</f>
        <v>0</v>
      </c>
    </row>
    <row r="36" spans="1:7" ht="19.75" customHeight="1">
      <c r="A36" s="18" t="s">
        <v>397</v>
      </c>
      <c r="B36" s="8" t="s">
        <v>398</v>
      </c>
      <c r="C36" s="20"/>
      <c r="D36" s="21" cm="1" t="str">
        <f t="array" ref="D36">IFERROR(IF('S3-3 Format Power'!$C$36&amp;""="","",IF('S3-3 Format Power'!$C$36&amp;""=Key!$C$65&amp;"","✔ CLEAR","✘ TRY AGAIN")),"✘ TRY AGAIN")</f>
        <v/>
      </c>
      <c r="E36" s="22"/>
      <c r="F36" s="23" cm="1" t="str">
        <f t="array" ref="F36">IF(E36="Show hint",Key!$B$65,"")</f>
        <v/>
      </c>
      <c r="G36" s="24" cm="1">
        <f t="array" ref="G36">IF(LEFT(D36,1)="✔",IF(E36="Show hint",5,10),0)</f>
        <v>0</v>
      </c>
    </row>
    <row r="38" spans="1:7" ht="22" customHeight="1">
      <c r="A38" s="4" t="s">
        <v>149</v>
      </c>
      <c r="B38" s="4"/>
      <c r="C38" s="4"/>
      <c r="D38" s="4"/>
      <c r="E38" s="4"/>
      <c r="F38" s="4"/>
      <c r="G38" s="4"/>
    </row>
    <row r="39" spans="1:7">
      <c r="B39" s="11" t="s">
        <v>399</v>
      </c>
    </row>
    <row r="40" spans="1:7">
      <c r="A40" s="6" t="s">
        <v>16</v>
      </c>
      <c r="B40" s="6" t="s">
        <v>38</v>
      </c>
      <c r="C40" s="6" t="s">
        <v>39</v>
      </c>
      <c r="D40" s="6" t="s">
        <v>40</v>
      </c>
      <c r="E40" s="6" t="s">
        <v>41</v>
      </c>
      <c r="F40" s="6" t="s">
        <v>1</v>
      </c>
      <c r="G40" s="6" t="s">
        <v>42</v>
      </c>
    </row>
    <row r="41" spans="1:7" ht="19.75" customHeight="1">
      <c r="A41" s="18" t="s">
        <v>156</v>
      </c>
      <c r="B41" s="8" t="s">
        <v>379</v>
      </c>
      <c r="C41" s="20"/>
      <c r="D41" s="21" cm="1" t="str">
        <f t="array" ref="D41">IFERROR(_xlfn.LET(_xlpm.a,'S3-3 Format Power'!$C$41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$66:$E$66),"✔ CLEAR","✘ TRY AGAIN"))),"✘ TRY AGAIN")</f>
        <v/>
      </c>
      <c r="E41" s="22"/>
      <c r="F41" s="23" cm="1" t="str">
        <f t="array" ref="F41">IF(E41="Show hint",Key!$B$66,"")</f>
        <v/>
      </c>
      <c r="G41" s="24" cm="1">
        <f t="array" ref="G41">IF(LEFT(D41,1)="✔",IF(E41="Show hint",5,10),0)</f>
        <v>0</v>
      </c>
    </row>
    <row r="42" spans="1:7" ht="19.75" customHeight="1">
      <c r="A42" s="18" t="s">
        <v>162</v>
      </c>
      <c r="B42" s="8" t="s">
        <v>382</v>
      </c>
      <c r="C42" s="20"/>
      <c r="D42" s="21" cm="1" t="str">
        <f t="array" ref="D42">IFERROR(_xlfn.LET(_xlpm.a,'S3-3 Format Power'!$C$42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$67:$H$67),"✔ CLEAR","✘ TRY AGAIN"))),"✘ TRY AGAIN")</f>
        <v/>
      </c>
      <c r="E42" s="22"/>
      <c r="F42" s="23" cm="1" t="str">
        <f t="array" ref="F42">IF(E42="Show hint",Key!$B$67,"")</f>
        <v/>
      </c>
      <c r="G42" s="24" cm="1">
        <f t="array" ref="G42">IF(LEFT(D42,1)="✔",IF(E42="Show hint",5,10),0)</f>
        <v>0</v>
      </c>
    </row>
    <row r="43" spans="1:7" ht="35.5" customHeight="1">
      <c r="A43" s="18" t="s">
        <v>168</v>
      </c>
      <c r="B43" s="8" t="s">
        <v>385</v>
      </c>
      <c r="C43" s="20"/>
      <c r="D43" s="21" cm="1" t="str">
        <f t="array" ref="D43">IFERROR(_xlfn.LET(_xlpm.a,'S3-3 Format Power'!$C$43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$68:$H$68),"✔ CLEAR","✘ TRY AGAIN"))),"✘ TRY AGAIN")</f>
        <v/>
      </c>
      <c r="E43" s="22"/>
      <c r="F43" s="23" cm="1" t="str">
        <f t="array" ref="F43">IF(E43="Show hint",Key!$B$68,"")</f>
        <v/>
      </c>
      <c r="G43" s="24" cm="1">
        <f t="array" ref="G43">IF(LEFT(D43,1)="✔",IF(E43="Show hint",5,10),0)</f>
        <v>0</v>
      </c>
    </row>
    <row r="44" spans="1:7" ht="19.75" customHeight="1">
      <c r="A44" s="18" t="s">
        <v>174</v>
      </c>
      <c r="B44" s="8" t="s">
        <v>388</v>
      </c>
      <c r="C44" s="20"/>
      <c r="D44" s="21" cm="1" t="str">
        <f t="array" ref="D44">IFERROR(_xlfn.LET(_xlpm.a,'S3-3 Format Power'!$C$44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$69:$F$69),"✔ CLEAR","✘ TRY AGAIN"))),"✘ TRY AGAIN")</f>
        <v/>
      </c>
      <c r="E44" s="22"/>
      <c r="F44" s="23" cm="1" t="str">
        <f t="array" ref="F44">IF(E44="Show hint",Key!$B$69,"")</f>
        <v/>
      </c>
      <c r="G44" s="24" cm="1">
        <f t="array" ref="G44">IF(LEFT(D44,1)="✔",IF(E44="Show hint",5,10),0)</f>
        <v>0</v>
      </c>
    </row>
    <row r="45" spans="1:7" ht="19.75" customHeight="1">
      <c r="A45" s="18" t="s">
        <v>180</v>
      </c>
      <c r="B45" s="8" t="s">
        <v>391</v>
      </c>
      <c r="C45" s="20"/>
      <c r="D45" s="21" cm="1" t="str">
        <f t="array" ref="D45">IFERROR(_xlfn.LET(_xlpm.a,'S3-3 Format Power'!$C$45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$70:$T$70),"✔ CLEAR","✘ TRY AGAIN"))),"✘ TRY AGAIN")</f>
        <v/>
      </c>
      <c r="E45" s="22"/>
      <c r="F45" s="23" cm="1" t="str">
        <f t="array" ref="F45">IF(E45="Show hint",Key!$B$70,"")</f>
        <v/>
      </c>
      <c r="G45" s="24" cm="1">
        <f t="array" ref="G45">IF(LEFT(D45,1)="✔",IF(E45="Show hint",5,10),0)</f>
        <v>0</v>
      </c>
    </row>
    <row r="46" spans="1:7" ht="19.75" customHeight="1">
      <c r="A46" s="18" t="s">
        <v>186</v>
      </c>
      <c r="B46" s="8" t="s">
        <v>394</v>
      </c>
      <c r="C46" s="20"/>
      <c r="D46" s="21" cm="1" t="str">
        <f t="array" ref="D46">IFERROR(_xlfn.LET(_xlpm.a,'S3-3 Format Power'!$C$46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$71:$T$71),"✔ CLEAR","✘ TRY AGAIN"))),"✘ TRY AGAIN")</f>
        <v/>
      </c>
      <c r="E46" s="22"/>
      <c r="F46" s="23" cm="1" t="str">
        <f t="array" ref="F46">IF(E46="Show hint",Key!$B$71,"")</f>
        <v/>
      </c>
      <c r="G46" s="24" cm="1">
        <f t="array" ref="G46">IF(LEFT(D46,1)="✔",IF(E46="Show hint",5,10),0)</f>
        <v>0</v>
      </c>
    </row>
    <row r="47" spans="1:7" ht="19.75" customHeight="1">
      <c r="A47" s="18" t="s">
        <v>189</v>
      </c>
      <c r="B47" s="8" t="s">
        <v>398</v>
      </c>
      <c r="C47" s="20"/>
      <c r="D47" s="21" cm="1" t="str">
        <f t="array" ref="D47">IFERROR(_xlfn.LET(_xlpm.a,'S3-3 Format Power'!$C$47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$72:$F$72),"✔ CLEAR","✘ TRY AGAIN"))),"✘ TRY AGAIN")</f>
        <v/>
      </c>
      <c r="E47" s="22"/>
      <c r="F47" s="23" cm="1" t="str">
        <f t="array" ref="F47">IF(E47="Show hint",Key!$B$72,"")</f>
        <v/>
      </c>
      <c r="G47" s="24" cm="1">
        <f t="array" ref="G47">IF(LEFT(D47,1)="✔",IF(E47="Show hint",5,10),0)</f>
        <v>0</v>
      </c>
    </row>
    <row r="48" spans="1:7" ht="51.25" customHeight="1">
      <c r="A48" s="18" t="s">
        <v>194</v>
      </c>
      <c r="B48" s="8" t="s">
        <v>453</v>
      </c>
      <c r="C48" s="11" t="s">
        <v>454</v>
      </c>
      <c r="D48" s="21" cm="1" t="str">
        <f t="array" ref="D48">IF(IFERROR(AND(OR(CELL("format",'S3-3 Arena'!$B$6)="F1",CELL("format",'S3-3 Arena'!$B$6)=",1"),OR(CELL("format",'S3-3 Arena'!$B$7)="F1",CELL("format",'S3-3 Arena'!$B$7)=",1"),OR(CELL("format",'S3-3 Arena'!$B$8)="F1",CELL("format",'S3-3 Arena'!$B$8)=",1"),OR(CELL("format",'S3-3 Arena'!$B$9)="F1",CELL("format",'S3-3 Arena'!$B$9)=",1")),FALSE),"✔ CLEAR","· not yet · press F9")</f>
        <v>· not yet · press F9</v>
      </c>
      <c r="E48" s="22"/>
      <c r="F48" s="23" cm="1" t="str">
        <f t="array" ref="F48">IF(E48="Show hint",Key!$B$73,"")</f>
        <v/>
      </c>
      <c r="G48" s="24" cm="1">
        <f t="array" ref="G48">IF(LEFT(D48,1)="✔",IF(E48="Show hint",5,10),0)</f>
        <v>0</v>
      </c>
    </row>
    <row r="49" spans="1:7" ht="35.5" customHeight="1">
      <c r="A49" s="18" t="s">
        <v>199</v>
      </c>
      <c r="B49" s="8" t="s">
        <v>457</v>
      </c>
      <c r="C49" s="11" t="s">
        <v>458</v>
      </c>
      <c r="D49" s="21" cm="1" t="str">
        <f t="array" ref="D49">IF(IFERROR(AND(CELL("prefix",'S3-3 Arena'!$C$6)="^",CELL("prefix",'S3-3 Arena'!$C$7)="^",CELL("prefix",'S3-3 Arena'!$C$8)="^",CELL("prefix",'S3-3 Arena'!$C$9)="^"),FALSE),"✔ CLEAR","· not yet · press F9")</f>
        <v>· not yet · press F9</v>
      </c>
      <c r="E49" s="22"/>
      <c r="F49" s="23" cm="1" t="str">
        <f t="array" ref="F49">IF(E49="Show hint",Key!$B$74,"")</f>
        <v/>
      </c>
      <c r="G49" s="24" cm="1">
        <f t="array" ref="G49">IF(LEFT(D49,1)="✔",IF(E49="Show hint",5,10),0)</f>
        <v>0</v>
      </c>
    </row>
    <row r="50" spans="1:7" ht="51.25" customHeight="1">
      <c r="A50" s="18" t="s">
        <v>204</v>
      </c>
      <c r="B50" s="8" t="s">
        <v>461</v>
      </c>
      <c r="C50" s="11" t="s">
        <v>462</v>
      </c>
      <c r="D50" s="21" cm="1" t="str">
        <f t="array" ref="D50">IF(IFERROR(AND(OR(CELL("format",'S3-3 Arena'!$D$6)="P0"),OR(CELL("format",'S3-3 Arena'!$D$7)="P0"),OR(CELL("format",'S3-3 Arena'!$D$8)="P0"),OR(CELL("format",'S3-3 Arena'!$D$9)="P0")),FALSE),"✔ CLEAR","· not yet · press F9")</f>
        <v>· not yet · press F9</v>
      </c>
      <c r="E50" s="22"/>
      <c r="F50" s="23" cm="1" t="str">
        <f t="array" ref="F50">IF(E50="Show hint",Key!$B$75,"")</f>
        <v/>
      </c>
      <c r="G50" s="24" cm="1">
        <f t="array" ref="G50">IF(LEFT(D50,1)="✔",IF(E50="Show hint",5,10),0)</f>
        <v>0</v>
      </c>
    </row>
    <row r="51" spans="1:7" ht="67" customHeight="1">
      <c r="A51" s="18" t="s">
        <v>209</v>
      </c>
      <c r="B51" s="8" t="s">
        <v>465</v>
      </c>
      <c r="C51" s="20"/>
      <c r="D51" s="21" cm="1" t="str">
        <f t="array" ref="D51">IF('S3-3 Format Power'!$C$51="Done","✔ CLEAR · self-check","")</f>
        <v/>
      </c>
      <c r="E51" s="22"/>
      <c r="F51" s="23" cm="1" t="str">
        <f t="array" ref="F51">IF(E51="Show hint",Key!$B$76,"")</f>
        <v/>
      </c>
      <c r="G51" s="24" cm="1">
        <f t="array" ref="G51">IF(LEFT(D51,1)="✔",IF(E51="Show hint",5,10),0)</f>
        <v>0</v>
      </c>
    </row>
  </sheetData>
  <sheetProtection sheet="1" objects="1" scenarios="1" formatColumns="0" formatRows="0"/>
  <conditionalFormatting sqref="D17:D51">
    <cfRule type="expression" dxfId="0" priority="1">
      <formula>LEFT($D17,1)="✔"</formula>
    </cfRule>
    <cfRule type="expression" dxfId="1" priority="2">
      <formula>LEFT($D17,1)="✘"</formula>
    </cfRule>
    <cfRule type="expression" dxfId="2" priority="3">
      <formula>$D17="LOCKED"</formula>
    </cfRule>
  </conditionalFormatting>
  <dataValidations count="53"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4"/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5"/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6"/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Key!$E$59:$H$59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Pick an answer" prompt="Press Alt+Down to open the list, choose with the arrow keys, then press Enter." sqref="C31">
      <formula1>Key!$E$60:$H$60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Pick an answer" prompt="Press Alt+Down to open the list, choose with the arrow keys, then press Enter." sqref="C32">
      <formula1>Key!$E$61:$H$61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Pick an answer" prompt="Press Alt+Down to open the list, choose with the arrow keys, then press Enter." sqref="C33">
      <formula1>Key!$E$62:$H$62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Pick an answer" prompt="Press Alt+Down to open the list, choose with the arrow keys, then press Enter." sqref="C34">
      <formula1>Key!$E$63:$H$63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type="list" allowBlank="1" showInputMessage="1" showErrorMessage="1" promptTitle="Pick an answer" prompt="Press Alt+Down to open the list, choose with the arrow keys, then press Enter." sqref="C35">
      <formula1>Key!$E$64:$H$64</formula1>
    </dataValidation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Pick an answer" prompt="Press Alt+Down to open the list, choose with the arrow keys, then press Enter." sqref="C36">
      <formula1>Key!$E$65:$H$65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1"/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2"/>
    <dataValidation type="list" allowBlank="1" showInputMessage="1" showErrorMessage="1" promptTitle="Need a hint?" prompt="Pick 'Show hint' (Alt+Down). This question then gives 5 XP instead of 10." sqref="E4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3"/>
    <dataValidation type="list" allowBlank="1" showInputMessage="1" showErrorMessage="1" promptTitle="Need a hint?" prompt="Pick 'Show hint' (Alt+Down). This question then gives 5 XP instead of 10." sqref="E4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4"/>
    <dataValidation type="list" allowBlank="1" showInputMessage="1" showErrorMessage="1" promptTitle="Need a hint?" prompt="Pick 'Show hint' (Alt+Down). This question then gives 5 XP instead of 10." sqref="E4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5"/>
    <dataValidation type="list" allowBlank="1" showInputMessage="1" showErrorMessage="1" promptTitle="Need a hint?" prompt="Pick 'Show hint' (Alt+Down). This question then gives 5 XP instead of 10." sqref="E4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6"/>
    <dataValidation type="list" allowBlank="1" showInputMessage="1" showErrorMessage="1" promptTitle="Need a hint?" prompt="Pick 'Show hint' (Alt+Down). This question then gives 5 XP instead of 10." sqref="E4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7"/>
    <dataValidation type="list" allowBlank="1" showInputMessage="1" showErrorMessage="1" promptTitle="Need a hint?" prompt="Pick 'Show hint' (Alt+Down). This question then gives 5 XP instead of 10." sqref="E47">
      <formula1>"Show hint"</formula1>
    </dataValidation>
    <dataValidation type="list" allowBlank="1" showInputMessage="1" showErrorMessage="1" promptTitle="Need a hint?" prompt="Pick 'Show hint' (Alt+Down). This question then gives 5 XP instead of 10." sqref="E48">
      <formula1>"Show hint"</formula1>
    </dataValidation>
    <dataValidation type="list" allowBlank="1" showInputMessage="1" showErrorMessage="1" promptTitle="Need a hint?" prompt="Pick 'Show hint' (Alt+Down). This question then gives 5 XP instead of 10." sqref="E49">
      <formula1>"Show hint"</formula1>
    </dataValidation>
    <dataValidation type="list" allowBlank="1" showInputMessage="1" showErrorMessage="1" promptTitle="Need a hint?" prompt="Pick 'Show hint' (Alt+Down). This question then gives 5 XP instead of 10." sqref="E50">
      <formula1>"Show hint"</formula1>
    </dataValidation>
    <dataValidation type="list" allowBlank="1" showInputMessage="1" showErrorMessage="1" promptTitle="Self-check" prompt="Do the task in the arena, then pick Done from the list (Alt+Down)." sqref="C51">
      <formula1>"Done"</formula1>
    </dataValidation>
    <dataValidation type="list" allowBlank="1" showInputMessage="1" showErrorMessage="1" promptTitle="Need a hint?" prompt="Pick 'Show hint' (Alt+Down). This question then gives 5 XP instead of 10." sqref="E51">
      <formula1>"Show hint"</formula1>
    </dataValidation>
  </dataValidations>
  <hyperlinks>
    <hyperlink ref="B39" location="'S3-3 Arena'!A1" display="▶ Open S3-3 Arena (or press Ctrl+PgDn)"/>
    <hyperlink ref="C48" location="'S3-3 Arena'!B6" tooltip="Go to S3-3 Arena, cell B6" display="▶ ARENA C8 (cell B6)"/>
    <hyperlink ref="C49" location="'S3-3 Arena'!C6" tooltip="Go to S3-3 Arena, cell C6" display="▶ ARENA C9 (cell C6)"/>
    <hyperlink ref="C50" location="'S3-3 Arena'!D6" tooltip="Go to S3-3 Arena, cell D6" display="▶ ARENA C10 (cell D6)"/>
  </hyperlink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14.7109375" customWidth="1"/>
    <col min="6" max="26" width="13.7109375" customWidth="1"/>
  </cols>
  <sheetData>
    <row r="1" spans="1:5">
      <c r="A1" s="1" t="s">
        <v>301</v>
      </c>
    </row>
    <row r="2" spans="1:5">
      <c r="A2" s="3" t="s">
        <v>5</v>
      </c>
    </row>
    <row r="3" spans="1:5">
      <c r="A3" s="25" t="s">
        <v>6</v>
      </c>
      <c r="B3" s="26" t="s">
        <v>302</v>
      </c>
      <c r="D3" s="11" t="s">
        <v>303</v>
      </c>
    </row>
    <row r="5" spans="1:5">
      <c r="B5" s="27" t="s">
        <v>304</v>
      </c>
      <c r="C5" s="27" t="s">
        <v>305</v>
      </c>
      <c r="D5" s="27" t="s">
        <v>306</v>
      </c>
      <c r="E5" s="27" t="s">
        <v>307</v>
      </c>
    </row>
    <row r="6" spans="1:5">
      <c r="B6" s="5">
        <v>3.14159</v>
      </c>
      <c r="C6" s="5" t="s">
        <v>308</v>
      </c>
      <c r="D6" s="5">
        <v>0.1</v>
      </c>
      <c r="E6" s="5" t="s">
        <v>309</v>
      </c>
    </row>
    <row r="7" spans="1:5">
      <c r="B7" s="5">
        <v>2.71828</v>
      </c>
      <c r="C7" s="5" t="s">
        <v>310</v>
      </c>
      <c r="D7" s="5">
        <v>0.2</v>
      </c>
      <c r="E7" s="5" t="s">
        <v>309</v>
      </c>
    </row>
    <row r="8" spans="1:5">
      <c r="B8" s="5">
        <v>1.41421</v>
      </c>
      <c r="C8" s="5" t="s">
        <v>311</v>
      </c>
      <c r="D8" s="5">
        <v>0.3</v>
      </c>
      <c r="E8" s="5" t="s">
        <v>309</v>
      </c>
    </row>
    <row r="9" spans="1:5">
      <c r="B9" s="5">
        <v>1.73205</v>
      </c>
      <c r="C9" s="5" t="s">
        <v>312</v>
      </c>
      <c r="D9" s="5">
        <v>0.4</v>
      </c>
      <c r="E9" s="5" t="s">
        <v>309</v>
      </c>
    </row>
  </sheetData>
  <hyperlinks>
    <hyperlink ref="D3" location="'S3-3 Format Power'!A1" display="◀ Back to S3-3 Format Power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533</v>
      </c>
      <c r="B1" s="2"/>
      <c r="C1" s="2"/>
      <c r="D1" s="2"/>
      <c r="E1" s="2"/>
      <c r="F1" s="2"/>
      <c r="G1" s="2"/>
    </row>
    <row r="2" spans="1:7">
      <c r="A2" s="3" t="s">
        <v>534</v>
      </c>
    </row>
    <row r="3" spans="1:7" ht="26" customHeight="1">
      <c r="A3" s="14" cm="1" t="str">
        <f t="array" ref="A3">"SCORE "&amp;TEXT(SUM($G$14:$G$33),"0000")&amp;" / 0160"</f>
        <v>SCORE 0000 / 0160</v>
      </c>
      <c r="C3" s="15" cm="1" t="str">
        <f t="array" ref="C3">IF(SUM($G$14:$G$33)&gt;=160,"★★★",IF(SUM($G$14:$G$33)&gt;=160*0.8,"★★☆",IF(SUM($G$14:$G$33)&gt;=160*0.5,"★☆☆","☆☆☆")))</f>
        <v>☆☆☆</v>
      </c>
      <c r="D3" s="16" cm="1" t="str">
        <f t="array" ref="D3">REPT("█",ROUND(10*SUM($G$14:$G$33)/160,0))&amp;REPT("░",10-ROUND(10*SUM($G$14:$G$33)/160,0))&amp;"  "&amp;TEXT(SUM($G$14:$G$33)/160,"0%")</f>
        <v>░░░░░░░░░░  0%</v>
      </c>
    </row>
    <row r="5" spans="1:7" ht="22" customHeight="1">
      <c r="A5" s="4" t="s">
        <v>482</v>
      </c>
      <c r="B5" s="4"/>
      <c r="C5" s="4"/>
      <c r="D5" s="4"/>
      <c r="E5" s="4"/>
      <c r="F5" s="4"/>
      <c r="G5" s="4"/>
    </row>
    <row r="6" spans="1:7">
      <c r="B6" s="7" t="s">
        <v>483</v>
      </c>
      <c r="C6" s="29"/>
    </row>
    <row r="7" spans="1:7">
      <c r="B7" s="7" t="s">
        <v>484</v>
      </c>
      <c r="C7" s="29"/>
    </row>
    <row r="8" spans="1:7">
      <c r="B8" s="7" t="s">
        <v>485</v>
      </c>
      <c r="C8" s="30" cm="1" t="str">
        <f t="array" ref="C8">IF(OR(C6="",C7=""),"",ROUND(MOD(C7-C6,1)*1440,0))</f>
        <v/>
      </c>
    </row>
    <row r="9" spans="1:7">
      <c r="B9" s="7" t="s">
        <v>486</v>
      </c>
      <c r="C9" s="30">
        <v>8</v>
      </c>
    </row>
    <row r="10" spans="1:7">
      <c r="B10" s="7" t="s">
        <v>487</v>
      </c>
      <c r="C10" s="12" cm="1" t="str">
        <f t="array" ref="C10">IF(AND(SUM('S3-1 Number Skins'!$G$16:$G$50)&gt;=280*0.5,SUM('S3-2 Text Style'!$G$14:$G$39)&gt;=190*0.5,SUM('S3-3 Format Power'!$G$17:$G$51)&gt;=280*0.5),"OPEN","LOCKED")</f>
        <v>LOCKED</v>
      </c>
      <c r="D10" s="31" cm="1" t="str">
        <f t="array" ref="D10">IF(C10="OPEN","Gate open · go!","Earn ★ on every stage to open the gate")</f>
        <v>Earn ★ on every stage to open the gate</v>
      </c>
    </row>
    <row r="12" spans="1:7" ht="22" customHeight="1">
      <c r="A12" s="4" t="s">
        <v>488</v>
      </c>
      <c r="B12" s="4"/>
      <c r="C12" s="4"/>
      <c r="D12" s="4"/>
      <c r="E12" s="4"/>
      <c r="F12" s="4"/>
      <c r="G12" s="4"/>
    </row>
    <row r="13" spans="1:7">
      <c r="A13" s="6" t="s">
        <v>16</v>
      </c>
      <c r="B13" s="6" t="s">
        <v>38</v>
      </c>
      <c r="C13" s="6" t="s">
        <v>39</v>
      </c>
      <c r="D13" s="6" t="s">
        <v>40</v>
      </c>
      <c r="E13" s="6" t="s">
        <v>41</v>
      </c>
      <c r="F13" s="6" t="s">
        <v>1</v>
      </c>
      <c r="G13" s="6" t="s">
        <v>42</v>
      </c>
    </row>
    <row r="14" spans="1:7" ht="35.5" customHeight="1">
      <c r="A14" s="18" t="s">
        <v>490</v>
      </c>
      <c r="B14" s="31" cm="1" t="str">
        <f t="array" ref="B14">IF($C$10="OPEN","Which keys open the Format Cells dialog?  (from S3-3 Format Power)","LOCKED · earn ★ on every stage to open the Boss gate")</f>
        <v>LOCKED · earn ★ on every stage to open the Boss gate</v>
      </c>
      <c r="C14" s="20"/>
      <c r="D14" s="21" cm="1" t="str">
        <f t="array" ref="D14">IF($C$10="OPEN",IFERROR(_xlfn.LET(_xlpm.a,Boss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$77:$E$77),"✔ CLEAR","✘ TRY AGAIN"))),"✘ TRY AGAIN"),"LOCKED")</f>
        <v>LOCKED</v>
      </c>
      <c r="E14" s="22"/>
      <c r="F14" s="23" cm="1" t="str">
        <f t="array" ref="F14">IF(E14="Show hint",Key!$B$77,"")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375</v>
      </c>
      <c r="B15" s="31" cm="1" t="str">
        <f t="array" ref="B15">IF($C$10="OPEN","Which keys add an outline border?  (from S3-3 Format Power)","LOCKED · earn ★ on every stage to open the Boss gate")</f>
        <v>LOCKED · earn ★ on every stage to open the Boss gate</v>
      </c>
      <c r="C15" s="20"/>
      <c r="D15" s="21" cm="1" t="str">
        <f t="array" ref="D15">IF($C$10="OPEN",IFERROR(_xlfn.LET(_xlpm.a,Boss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$78:$H$78),"✔ CLEAR","✘ TRY AGAIN"))),"✘ TRY AGAIN"),"LOCKED")</f>
        <v>LOCKED</v>
      </c>
      <c r="E15" s="22"/>
      <c r="F15" s="23" cm="1" t="str">
        <f t="array" ref="F15">IF(E15="Show hint",Key!$B$78,"")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493</v>
      </c>
      <c r="B16" s="31" cm="1" t="str">
        <f t="array" ref="B16">IF($C$10="OPEN","Which keys remove the outline border?  (from S3-3 Format Power)","LOCKED · earn ★ on every stage to open the Boss gate")</f>
        <v>LOCKED · earn ★ on every stage to open the Boss gate</v>
      </c>
      <c r="C16" s="20"/>
      <c r="D16" s="21" cm="1" t="str">
        <f t="array" ref="D16">IF($C$10="OPEN",IFERROR(_xlfn.LET(_xlpm.a,Boss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$79:$H$79),"✔ CLEAR","✘ TRY AGAIN"))),"✘ TRY AGAIN"),"LOCKED")</f>
        <v>LOCKED</v>
      </c>
      <c r="E16" s="22"/>
      <c r="F16" s="23" cm="1" t="str">
        <f t="array" ref="F16">IF(E16="Show hint",Key!$B$79,"")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90</v>
      </c>
      <c r="B17" s="31" cm="1" t="str">
        <f t="array" ref="B17">IF($C$10="OPEN","Which key shows the ribbon KeyTips?  (from S3-3 Format Power)","LOCKED · earn ★ on every stage to open the Boss gate")</f>
        <v>LOCKED · earn ★ on every stage to open the Boss gate</v>
      </c>
      <c r="C17" s="20"/>
      <c r="D17" s="21" cm="1" t="str">
        <f t="array" ref="D17">IF($C$10="OPEN",IFERROR(_xlfn.LET(_xlpm.a,Boss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$80:$F$80),"✔ CLEAR","✘ TRY AGAIN"))),"✘ TRY AGAIN"),"LOCKED")</f>
        <v>LOCKED</v>
      </c>
      <c r="E17" s="22"/>
      <c r="F17" s="23" cm="1" t="str">
        <f t="array" ref="F17">IF(E17="Show hint",Key!$B$80,"")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496</v>
      </c>
      <c r="B18" s="31" cm="1" t="str">
        <f t="array" ref="B18">IF($C$10="OPEN","Which KeyTips center the selected cells?  (from S3-3 Format Power)","LOCKED · earn ★ on every stage to open the Boss gate")</f>
        <v>LOCKED · earn ★ on every stage to open the Boss gate</v>
      </c>
      <c r="C18" s="20"/>
      <c r="D18" s="21" cm="1" t="str">
        <f t="array" ref="D18">IF($C$10="OPEN",IFERROR(_xlfn.LET(_xlpm.a,Boss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$81:$T$81),"✔ CLEAR","✘ TRY AGAIN"))),"✘ TRY AGAIN"),"LOCKED")</f>
        <v>LOCKED</v>
      </c>
      <c r="E18" s="22"/>
      <c r="F18" s="23" cm="1" t="str">
        <f t="array" ref="F18">IF(E18="Show hint",Key!$B$81,"")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498</v>
      </c>
      <c r="B19" s="31" cm="1" t="str">
        <f t="array" ref="B19">IF($C$10="OPEN","Which KeyTips open the Fill Color menu?  (from S3-3 Format Power)","LOCKED · earn ★ on every stage to open the Boss gate")</f>
        <v>LOCKED · earn ★ on every stage to open the Boss gate</v>
      </c>
      <c r="C19" s="20"/>
      <c r="D19" s="21" cm="1" t="str">
        <f t="array" ref="D19">IF($C$10="OPEN",IFERROR(_xlfn.LET(_xlpm.a,Boss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$82:$T$82),"✔ CLEAR","✘ TRY AGAIN"))),"✘ TRY AGAIN"),"LOCKED")</f>
        <v>LOCKED</v>
      </c>
      <c r="E19" s="22"/>
      <c r="F19" s="23" cm="1" t="str">
        <f t="array" ref="F19">IF(E19="Show hint",Key!$B$82,"")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500</v>
      </c>
      <c r="B20" s="31" cm="1" t="str">
        <f t="array" ref="B20">IF($C$10="OPEN","Which key repeats your last action?  (from S3-3 Format Power)","LOCKED · earn ★ on every stage to open the Boss gate")</f>
        <v>LOCKED · earn ★ on every stage to open the Boss gate</v>
      </c>
      <c r="C20" s="20"/>
      <c r="D20" s="21" cm="1" t="str">
        <f t="array" ref="D20">IF($C$10="OPEN",IFERROR(_xlfn.LET(_xlpm.a,Boss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$83:$F$83),"✔ CLEAR","✘ TRY AGAIN"))),"✘ TRY AGAIN"),"LOCKED")</f>
        <v>LOCKED</v>
      </c>
      <c r="E20" s="22"/>
      <c r="F20" s="23" cm="1" t="str">
        <f t="array" ref="F20">IF(E20="Show hint",Key!$B$83,"")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502</v>
      </c>
      <c r="B21" s="31" cm="1" t="str">
        <f t="array" ref="B21">IF($C$10="OPEN","Which keys apply the Currency format?  (from S3-1 Number Skins)","LOCKED · earn ★ on every stage to open the Boss gate")</f>
        <v>LOCKED · earn ★ on every stage to open the Boss gate</v>
      </c>
      <c r="C21" s="20"/>
      <c r="D21" s="21" cm="1" t="str">
        <f t="array" ref="D21">IF($C$10="OPEN",IFERROR(_xlfn.LET(_xlpm.a,Boss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$84:$H$84),"✔ CLEAR","✘ TRY AGAIN"))),"✘ TRY AGAIN"),"LOCKED")</f>
        <v>LOCKED</v>
      </c>
      <c r="E21" s="22"/>
      <c r="F21" s="23" cm="1" t="str">
        <f t="array" ref="F21">IF(E21="Show hint",Key!$B$84,"")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503</v>
      </c>
      <c r="B23" s="4"/>
      <c r="C23" s="4"/>
      <c r="D23" s="4"/>
      <c r="E23" s="4"/>
      <c r="F23" s="4"/>
      <c r="G23" s="4"/>
    </row>
    <row r="24" spans="1:7">
      <c r="B24" s="11" t="s">
        <v>504</v>
      </c>
    </row>
    <row r="25" spans="1:7">
      <c r="A25" s="6" t="s">
        <v>16</v>
      </c>
      <c r="B25" s="6" t="s">
        <v>38</v>
      </c>
      <c r="C25" s="6" t="s">
        <v>39</v>
      </c>
      <c r="D25" s="6" t="s">
        <v>40</v>
      </c>
      <c r="E25" s="6" t="s">
        <v>41</v>
      </c>
      <c r="F25" s="6" t="s">
        <v>1</v>
      </c>
      <c r="G25" s="6" t="s">
        <v>42</v>
      </c>
    </row>
    <row r="26" spans="1:7" ht="35.5" customHeight="1">
      <c r="A26" s="18" t="s">
        <v>506</v>
      </c>
      <c r="B26" s="31" cm="1" t="str">
        <f t="array" ref="B26">IF($C$10="OPEN","In the Boss Arena make B6:B8 currency (Ctrl+Shift+$). Press F9.","LOCKED · earn ★ on every stage to open the Boss gate")</f>
        <v>LOCKED · earn ★ on every stage to open the Boss gate</v>
      </c>
      <c r="C26" s="11" t="s">
        <v>507</v>
      </c>
      <c r="D26" s="21" cm="1" t="str">
        <f t="array" ref="D26">IF($C$10="OPEN",IF(IFERROR(AND(OR(CELL("format",'Boss Arena'!$B$6)="C2",CELL("format",'Boss Arena'!$B$6)="C2-"),OR(CELL("format",'Boss Arena'!$B$7)="C2",CELL("format",'Boss Arena'!$B$7)="C2-"),OR(CELL("format",'Boss Arena'!$B$8)="C2",CELL("format",'Boss Arena'!$B$8)="C2-")),FALSE),"✔ CLEAR","· not yet · press F9"),"LOCKED")</f>
        <v>LOCKED</v>
      </c>
      <c r="E26" s="22"/>
      <c r="F26" s="23" cm="1" t="str">
        <f t="array" ref="F26">IF(E26="Show hint",Key!$B$85,"")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509</v>
      </c>
      <c r="B27" s="31" cm="1" t="str">
        <f t="array" ref="B27">IF($C$10="OPEN","Make C6:C8 percent (Ctrl+Shift+%). Press F9.","LOCKED · earn ★ on every stage to open the Boss gate")</f>
        <v>LOCKED · earn ★ on every stage to open the Boss gate</v>
      </c>
      <c r="C27" s="11" t="s">
        <v>510</v>
      </c>
      <c r="D27" s="21" cm="1" t="str">
        <f t="array" ref="D27">IF($C$10="OPEN",IF(IFERROR(AND(OR(CELL("format",'Boss Arena'!$C$6)="P0"),OR(CELL("format",'Boss Arena'!$C$7)="P0"),OR(CELL("format",'Boss Arena'!$C$8)="P0")),FALSE),"✔ CLEAR","· not yet · press F9"),"LOCKED")</f>
        <v>LOCKED</v>
      </c>
      <c r="E27" s="22"/>
      <c r="F27" s="23" cm="1" t="str">
        <f t="array" ref="F27">IF(E27="Show hint",Key!$B$86,"")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512</v>
      </c>
      <c r="B28" s="31" cm="1" t="str">
        <f t="array" ref="B28">IF($C$10="OPEN","Make D6:D8 dates (Ctrl+Shift+#). Press F9.","LOCKED · earn ★ on every stage to open the Boss gate")</f>
        <v>LOCKED · earn ★ on every stage to open the Boss gate</v>
      </c>
      <c r="C28" s="11" t="s">
        <v>513</v>
      </c>
      <c r="D28" s="21" cm="1" t="str">
        <f t="array" ref="D28">IF($C$10="OPEN",IF(IFERROR(AND(OR(CELL("format",'Boss Arena'!$D$6)="D1",CELL("format",'Boss Arena'!$D$6)="D4"),OR(CELL("format",'Boss Arena'!$D$7)="D1",CELL("format",'Boss Arena'!$D$7)="D4"),OR(CELL("format",'Boss Arena'!$D$8)="D1",CELL("format",'Boss Arena'!$D$8)="D4")),FALSE),"✔ CLEAR","· not yet · press F9"),"LOCKED")</f>
        <v>LOCKED</v>
      </c>
      <c r="E28" s="22"/>
      <c r="F28" s="23" cm="1" t="str">
        <f t="array" ref="F28">IF(E28="Show hint",Key!$B$87,"")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515</v>
      </c>
      <c r="B29" s="31" cm="1" t="str">
        <f t="array" ref="B29">IF($C$10="OPEN","Make E6:E8 times (Ctrl+Shift+@). Press F9.","LOCKED · earn ★ on every stage to open the Boss gate")</f>
        <v>LOCKED · earn ★ on every stage to open the Boss gate</v>
      </c>
      <c r="C29" s="11" t="s">
        <v>516</v>
      </c>
      <c r="D29" s="21" cm="1" t="str">
        <f t="array" ref="D29">IF($C$10="OPEN",IF(IFERROR(AND(OR(CELL("format",'Boss Arena'!$E$6)="D7",CELL("format",'Boss Arena'!$E$6)="D6",CELL("format",'Boss Arena'!$E$6)="D9",CELL("format",'Boss Arena'!$E$6)="D8"),OR(CELL("format",'Boss Arena'!$E$7)="D7",CELL("format",'Boss Arena'!$E$7)="D6",CELL("format",'Boss Arena'!$E$7)="D9",CELL("format",'Boss Arena'!$E$7)="D8"),OR(CELL("format",'Boss Arena'!$E$8)="D7",CELL("format",'Boss Arena'!$E$8)="D6",CELL("format",'Boss Arena'!$E$8)="D9",CELL("format",'Boss Arena'!$E$8)="D8")),FALSE),"✔ CLEAR","· not yet · press F9"),"LOCKED")</f>
        <v>LOCKED</v>
      </c>
      <c r="E29" s="22"/>
      <c r="F29" s="23" cm="1" t="str">
        <f t="array" ref="F29">IF(E29="Show hint",Key!$B$88,"")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519</v>
      </c>
      <c r="B30" s="31" cm="1" t="str">
        <f t="array" ref="B30">IF($C$10="OPEN","F6:F8 wear currency. Reset them to General (Ctrl+Shift+~). Press F9.","LOCKED · earn ★ on every stage to open the Boss gate")</f>
        <v>LOCKED · earn ★ on every stage to open the Boss gate</v>
      </c>
      <c r="C30" s="11" t="s">
        <v>520</v>
      </c>
      <c r="D30" s="21" cm="1" t="str">
        <f t="array" ref="D30">IF($C$10="OPEN",IF(IFERROR(AND(OR(CELL("format",'Boss Arena'!$F$6)="G"),OR(CELL("format",'Boss Arena'!$F$7)="G"),OR(CELL("format",'Boss Arena'!$F$8)="G")),FALSE),"✔ CLEAR","· not yet · press F9"),"LOCKED")</f>
        <v>LOCKED</v>
      </c>
      <c r="E30" s="22"/>
      <c r="F30" s="23" cm="1" t="str">
        <f t="array" ref="F30">IF(E30="Show hint",Key!$B$89,"")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523</v>
      </c>
      <c r="B31" s="31" cm="1" t="str">
        <f t="array" ref="B31">IF($C$10="OPEN","Give G6:G8 exactly 1 decimal place through Ctrl+1. Press F9.","LOCKED · earn ★ on every stage to open the Boss gate")</f>
        <v>LOCKED · earn ★ on every stage to open the Boss gate</v>
      </c>
      <c r="C31" s="11" t="s">
        <v>524</v>
      </c>
      <c r="D31" s="21" cm="1" t="str">
        <f t="array" ref="D31">IF($C$10="OPEN",IF(IFERROR(AND(OR(CELL("format",'Boss Arena'!$G$6)="F1",CELL("format",'Boss Arena'!$G$6)=",1"),OR(CELL("format",'Boss Arena'!$G$7)="F1",CELL("format",'Boss Arena'!$G$7)=",1"),OR(CELL("format",'Boss Arena'!$G$8)="F1",CELL("format",'Boss Arena'!$G$8)=",1")),FALSE),"✔ CLEAR","· not yet · press F9"),"LOCKED")</f>
        <v>LOCKED</v>
      </c>
      <c r="E31" s="22"/>
      <c r="F31" s="23" cm="1" t="str">
        <f t="array" ref="F31">IF(E31="Show hint",Key!$B$90,"")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527</v>
      </c>
      <c r="B32" s="31" cm="1" t="str">
        <f t="array" ref="B32">IF($C$10="OPEN","Center H6:H8 with Alt, H, A, C. Press F9.","LOCKED · earn ★ on every stage to open the Boss gate")</f>
        <v>LOCKED · earn ★ on every stage to open the Boss gate</v>
      </c>
      <c r="C32" s="11" t="s">
        <v>528</v>
      </c>
      <c r="D32" s="21" cm="1" t="str">
        <f t="array" ref="D32">IF($C$10="OPEN",IF(IFERROR(AND(CELL("prefix",'Boss Arena'!$H$6)="^",CELL("prefix",'Boss Arena'!$H$7)="^",CELL("prefix",'Boss Arena'!$H$8)="^"),FALSE),"✔ CLEAR","· not yet · press F9"),"LOCKED")</f>
        <v>LOCKED</v>
      </c>
      <c r="E32" s="22"/>
      <c r="F32" s="23" cm="1" t="str">
        <f t="array" ref="F32">IF(E32="Show hint",Key!$B$91,"")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531</v>
      </c>
      <c r="B33" s="31" cm="1" t="str">
        <f t="array" ref="B33">IF($C$10="OPEN","Make I6 a percent with Ctrl+Shift+%, then use F4 on I7 and I8. Press F9.","LOCKED · earn ★ on every stage to open the Boss gate")</f>
        <v>LOCKED · earn ★ on every stage to open the Boss gate</v>
      </c>
      <c r="C33" s="11" t="s">
        <v>532</v>
      </c>
      <c r="D33" s="21" cm="1" t="str">
        <f t="array" ref="D33">IF($C$10="OPEN",IF(IFERROR(AND(OR(CELL("format",'Boss Arena'!$I$6)="P0"),OR(CELL("format",'Boss Arena'!$I$7)="P0"),OR(CELL("format",'Boss Arena'!$I$8)="P0")),FALSE),"✔ CLEAR","· not yet · press F9"),"LOCKED")</f>
        <v>LOCKED</v>
      </c>
      <c r="E33" s="22"/>
      <c r="F33" s="23" cm="1" t="str">
        <f t="array" ref="F33">IF(E33="Show hint",Key!$B$92,"")</f>
        <v/>
      </c>
      <c r="G33" s="24" cm="1">
        <f t="array" ref="G33">IF(LEFT(D33,1)="✔",IF(E33="Show hint",5,10),0)</f>
        <v>0</v>
      </c>
    </row>
  </sheetData>
  <sheetProtection sheet="1" objects="1" scenarios="1" formatColumns="0" formatRows="0"/>
  <conditionalFormatting sqref="D14:D33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26">
    <dataValidation allowBlank="1" showInputMessage="1" showErrorMessage="1" promptTitle="Stamp the time" prompt="Press Ctrl+Shift+: to type the current time." sqref="C6"/>
    <dataValidation allowBlank="1" showInputMessage="1" showErrorMessage="1" promptTitle="Stamp the time" prompt="Press Ctrl+Shift+: to type the current time." sqref="C7"/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</dataValidations>
  <hyperlinks>
    <hyperlink ref="B24" location="'Boss Arena'!A1" display="▶ Open Boss Arena (or press Ctrl+PgDn)"/>
    <hyperlink ref="C26" location="'Boss Arena'!B6" tooltip="Go to Boss Arena, cell B6" display="▶ ARENA B1 (cell B6)"/>
    <hyperlink ref="C27" location="'Boss Arena'!C6" tooltip="Go to Boss Arena, cell C6" display="▶ ARENA B2 (cell C6)"/>
    <hyperlink ref="C28" location="'Boss Arena'!D6" tooltip="Go to Boss Arena, cell D6" display="▶ ARENA B3 (cell D6)"/>
    <hyperlink ref="C29" location="'Boss Arena'!E6" tooltip="Go to Boss Arena, cell E6" display="▶ ARENA B4 (cell E6)"/>
    <hyperlink ref="C30" location="'Boss Arena'!F6" tooltip="Go to Boss Arena, cell F6" display="▶ ARENA B5 (cell F6)"/>
    <hyperlink ref="C31" location="'Boss Arena'!G6" tooltip="Go to Boss Arena, cell G6" display="▶ ARENA B6 (cell G6)"/>
    <hyperlink ref="C32" location="'Boss Arena'!H6" tooltip="Go to Boss Arena, cell H6" display="▶ ARENA B7 (cell H6)"/>
    <hyperlink ref="C33" location="'Boss Arena'!I6" tooltip="Go to Boss Arena, cell I6" display="▶ ARENA B8 (cell I6)"/>
  </hyperlink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1" width="14.7109375" customWidth="1"/>
    <col min="2" max="26" width="13.7109375" customWidth="1"/>
  </cols>
  <sheetData>
    <row r="1" spans="1:9">
      <c r="A1" s="1" t="s">
        <v>468</v>
      </c>
    </row>
    <row r="2" spans="1:9">
      <c r="A2" s="3" t="s">
        <v>5</v>
      </c>
    </row>
    <row r="3" spans="1:9">
      <c r="A3" s="25" t="s">
        <v>6</v>
      </c>
      <c r="B3" s="26" t="s">
        <v>469</v>
      </c>
      <c r="D3" s="11" t="s">
        <v>470</v>
      </c>
    </row>
    <row r="5" spans="1:9">
      <c r="B5" s="27" t="s">
        <v>471</v>
      </c>
      <c r="C5" s="27" t="s">
        <v>472</v>
      </c>
      <c r="D5" s="27" t="s">
        <v>473</v>
      </c>
      <c r="E5" s="27" t="s">
        <v>474</v>
      </c>
      <c r="F5" s="27" t="s">
        <v>475</v>
      </c>
      <c r="G5" s="27" t="s">
        <v>476</v>
      </c>
      <c r="H5" s="27" t="s">
        <v>477</v>
      </c>
      <c r="I5" s="27" t="s">
        <v>478</v>
      </c>
    </row>
    <row r="6" spans="1:9">
      <c r="B6" s="5">
        <v>250</v>
      </c>
      <c r="C6" s="5">
        <v>0.15</v>
      </c>
      <c r="D6" s="5">
        <v>46050</v>
      </c>
      <c r="E6" s="5">
        <v>0.375</v>
      </c>
      <c r="F6" s="28">
        <v>99</v>
      </c>
      <c r="G6" s="5">
        <v>2.345</v>
      </c>
      <c r="H6" s="5" t="s">
        <v>479</v>
      </c>
      <c r="I6" s="5">
        <v>0.05</v>
      </c>
    </row>
    <row r="7" spans="1:9">
      <c r="B7" s="5">
        <v>1200.5</v>
      </c>
      <c r="C7" s="5">
        <v>0.4</v>
      </c>
      <c r="D7" s="5">
        <v>46150</v>
      </c>
      <c r="E7" s="5">
        <v>0.6</v>
      </c>
      <c r="F7" s="28">
        <v>55</v>
      </c>
      <c r="G7" s="5">
        <v>9.875999999999999</v>
      </c>
      <c r="H7" s="5" t="s">
        <v>480</v>
      </c>
      <c r="I7" s="5">
        <v>0.12</v>
      </c>
    </row>
    <row r="8" spans="1:9">
      <c r="B8" s="5">
        <v>75</v>
      </c>
      <c r="C8" s="5">
        <v>0.08</v>
      </c>
      <c r="D8" s="5">
        <v>46250</v>
      </c>
      <c r="E8" s="5">
        <v>0.125</v>
      </c>
      <c r="F8" s="28">
        <v>12</v>
      </c>
      <c r="G8" s="5">
        <v>4.4444</v>
      </c>
      <c r="H8" s="5" t="s">
        <v>481</v>
      </c>
      <c r="I8" s="5">
        <v>0.3</v>
      </c>
    </row>
  </sheetData>
  <hyperlinks>
    <hyperlink ref="D3" location="Boss!A1" display="◀ Back to Boss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D2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50.7109375" customWidth="1"/>
    <col min="4" max="4" width="56.7109375" customWidth="1"/>
  </cols>
  <sheetData>
    <row r="1" spans="1:4" ht="34" customHeight="1">
      <c r="A1" s="1" t="s">
        <v>568</v>
      </c>
      <c r="B1" s="2"/>
      <c r="C1" s="2"/>
      <c r="D1" s="2"/>
    </row>
    <row r="2" spans="1:4">
      <c r="A2" s="3" t="s">
        <v>569</v>
      </c>
    </row>
    <row r="4" spans="1:4">
      <c r="A4" s="6" t="s">
        <v>544</v>
      </c>
      <c r="B4" s="6" t="s">
        <v>18</v>
      </c>
      <c r="C4" s="6" t="s">
        <v>570</v>
      </c>
      <c r="D4" s="6" t="s">
        <v>571</v>
      </c>
    </row>
    <row r="5" spans="1:4" ht="19.75" customHeight="1">
      <c r="A5" s="18" t="s">
        <v>550</v>
      </c>
      <c r="B5" s="19" t="s">
        <v>21</v>
      </c>
      <c r="C5" s="8" t="s">
        <v>572</v>
      </c>
      <c r="D5" s="8" t="s">
        <v>573</v>
      </c>
    </row>
    <row r="6" spans="1:4" ht="19.75" customHeight="1">
      <c r="A6" s="18" t="s">
        <v>550</v>
      </c>
      <c r="B6" s="19" t="s">
        <v>24</v>
      </c>
      <c r="C6" s="8" t="s">
        <v>574</v>
      </c>
      <c r="D6" s="8" t="s">
        <v>575</v>
      </c>
    </row>
    <row r="7" spans="1:4" ht="35.5" customHeight="1">
      <c r="A7" s="18" t="s">
        <v>550</v>
      </c>
      <c r="B7" s="19" t="s">
        <v>27</v>
      </c>
      <c r="C7" s="8" t="s">
        <v>576</v>
      </c>
      <c r="D7" s="8" t="s">
        <v>577</v>
      </c>
    </row>
    <row r="8" spans="1:4" ht="35.5" customHeight="1">
      <c r="A8" s="18" t="s">
        <v>550</v>
      </c>
      <c r="B8" s="19" t="s">
        <v>30</v>
      </c>
      <c r="C8" s="8" t="s">
        <v>578</v>
      </c>
      <c r="D8" s="8" t="s">
        <v>579</v>
      </c>
    </row>
    <row r="9" spans="1:4" ht="35.5" customHeight="1">
      <c r="A9" s="18" t="s">
        <v>550</v>
      </c>
      <c r="B9" s="19" t="s">
        <v>33</v>
      </c>
      <c r="C9" s="8" t="s">
        <v>580</v>
      </c>
      <c r="D9" s="8" t="s">
        <v>581</v>
      </c>
    </row>
    <row r="10" spans="1:4" ht="35.5" customHeight="1">
      <c r="A10" s="18" t="s">
        <v>550</v>
      </c>
      <c r="B10" s="19" t="s">
        <v>36</v>
      </c>
      <c r="C10" s="8" t="s">
        <v>582</v>
      </c>
      <c r="D10" s="8" t="s">
        <v>583</v>
      </c>
    </row>
    <row r="11" spans="1:4" ht="19.75" customHeight="1">
      <c r="A11" s="18" t="s">
        <v>553</v>
      </c>
      <c r="B11" s="19" t="s">
        <v>227</v>
      </c>
      <c r="C11" s="8" t="s">
        <v>584</v>
      </c>
      <c r="D11" s="8" t="s">
        <v>585</v>
      </c>
    </row>
    <row r="12" spans="1:4" ht="19.75" customHeight="1">
      <c r="A12" s="18" t="s">
        <v>553</v>
      </c>
      <c r="B12" s="19" t="s">
        <v>229</v>
      </c>
      <c r="C12" s="8" t="s">
        <v>586</v>
      </c>
      <c r="D12" s="8" t="s">
        <v>587</v>
      </c>
    </row>
    <row r="13" spans="1:4" ht="19.75" customHeight="1">
      <c r="A13" s="18" t="s">
        <v>553</v>
      </c>
      <c r="B13" s="19" t="s">
        <v>127</v>
      </c>
      <c r="C13" s="8" t="s">
        <v>588</v>
      </c>
      <c r="D13" s="8" t="s">
        <v>589</v>
      </c>
    </row>
    <row r="14" spans="1:4" ht="19.75" customHeight="1">
      <c r="A14" s="18" t="s">
        <v>553</v>
      </c>
      <c r="B14" s="19" t="s">
        <v>122</v>
      </c>
      <c r="C14" s="8" t="s">
        <v>590</v>
      </c>
      <c r="D14" s="8" t="s">
        <v>591</v>
      </c>
    </row>
    <row r="15" spans="1:4" ht="35.5" customHeight="1">
      <c r="A15" s="18" t="s">
        <v>556</v>
      </c>
      <c r="B15" s="19" t="s">
        <v>137</v>
      </c>
      <c r="C15" s="8" t="s">
        <v>592</v>
      </c>
      <c r="D15" s="8" t="s">
        <v>593</v>
      </c>
    </row>
    <row r="16" spans="1:4" ht="35.5" customHeight="1">
      <c r="A16" s="18" t="s">
        <v>556</v>
      </c>
      <c r="B16" s="19" t="s">
        <v>278</v>
      </c>
      <c r="C16" s="8" t="s">
        <v>594</v>
      </c>
      <c r="D16" s="8" t="s">
        <v>595</v>
      </c>
    </row>
    <row r="17" spans="1:4" ht="35.5" customHeight="1">
      <c r="A17" s="18" t="s">
        <v>556</v>
      </c>
      <c r="B17" s="19" t="s">
        <v>128</v>
      </c>
      <c r="C17" s="8" t="s">
        <v>596</v>
      </c>
      <c r="D17" s="8" t="s">
        <v>597</v>
      </c>
    </row>
    <row r="18" spans="1:4" ht="35.5" customHeight="1">
      <c r="A18" s="18" t="s">
        <v>556</v>
      </c>
      <c r="B18" s="19" t="s">
        <v>317</v>
      </c>
      <c r="C18" s="8" t="s">
        <v>598</v>
      </c>
      <c r="D18" s="8" t="s">
        <v>599</v>
      </c>
    </row>
    <row r="19" spans="1:4" ht="35.5" customHeight="1">
      <c r="A19" s="18" t="s">
        <v>556</v>
      </c>
      <c r="B19" s="19" t="s">
        <v>121</v>
      </c>
      <c r="C19" s="8" t="s">
        <v>600</v>
      </c>
      <c r="D19" s="8" t="s">
        <v>601</v>
      </c>
    </row>
    <row r="20" spans="1:4" ht="35.5" customHeight="1">
      <c r="A20" s="18" t="s">
        <v>556</v>
      </c>
      <c r="B20" s="19" t="s">
        <v>138</v>
      </c>
      <c r="C20" s="8" t="s">
        <v>602</v>
      </c>
      <c r="D20" s="8" t="s">
        <v>603</v>
      </c>
    </row>
    <row r="21" spans="1:4" ht="35.5" customHeight="1">
      <c r="A21" s="18" t="s">
        <v>556</v>
      </c>
      <c r="B21" s="19" t="s">
        <v>90</v>
      </c>
      <c r="C21" s="8" t="s">
        <v>604</v>
      </c>
      <c r="D21" s="8" t="s">
        <v>605</v>
      </c>
    </row>
  </sheetData>
  <sheetProtection sheet="1" objects="1" scenarios="1" formatColumns="0" formatRows="0"/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9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E1" t="s">
        <v>3</v>
      </c>
    </row>
    <row r="2" spans="1:10">
      <c r="A2" t="s">
        <v>43</v>
      </c>
      <c r="B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</row>
    <row r="3" spans="1:10">
      <c r="A3" t="s">
        <v>53</v>
      </c>
      <c r="B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</row>
    <row r="4" spans="1:10">
      <c r="A4" t="s">
        <v>63</v>
      </c>
      <c r="B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</row>
    <row r="5" spans="1:10">
      <c r="A5" t="s">
        <v>73</v>
      </c>
      <c r="B5" t="s">
        <v>74</v>
      </c>
      <c r="E5" t="s">
        <v>75</v>
      </c>
    </row>
    <row r="6" spans="1:10">
      <c r="A6" t="s">
        <v>78</v>
      </c>
      <c r="B6" t="s">
        <v>79</v>
      </c>
      <c r="E6" t="s">
        <v>80</v>
      </c>
    </row>
    <row r="7" spans="1:10">
      <c r="A7" t="s">
        <v>83</v>
      </c>
      <c r="B7" t="s">
        <v>84</v>
      </c>
      <c r="E7" t="s">
        <v>85</v>
      </c>
    </row>
    <row r="8" spans="1:10">
      <c r="A8" t="s">
        <v>88</v>
      </c>
      <c r="B8" t="s">
        <v>89</v>
      </c>
      <c r="E8" t="s">
        <v>90</v>
      </c>
    </row>
    <row r="9" spans="1:10">
      <c r="A9" t="s">
        <v>93</v>
      </c>
      <c r="B9" t="s">
        <v>94</v>
      </c>
      <c r="E9" t="s">
        <v>95</v>
      </c>
    </row>
    <row r="10" spans="1:10">
      <c r="A10" t="s">
        <v>98</v>
      </c>
      <c r="B10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</row>
    <row r="11" spans="1:10">
      <c r="A11" t="s">
        <v>108</v>
      </c>
      <c r="B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</row>
    <row r="12" spans="1:10">
      <c r="A12" t="s">
        <v>119</v>
      </c>
      <c r="B12" t="s">
        <v>120</v>
      </c>
      <c r="C12" t="s">
        <v>21</v>
      </c>
      <c r="E12" t="s">
        <v>21</v>
      </c>
      <c r="F12" t="s">
        <v>121</v>
      </c>
      <c r="G12" t="s">
        <v>122</v>
      </c>
      <c r="H12" t="s">
        <v>24</v>
      </c>
    </row>
    <row r="13" spans="1:10">
      <c r="A13" t="s">
        <v>125</v>
      </c>
      <c r="B13" t="s">
        <v>126</v>
      </c>
      <c r="C13" t="s">
        <v>24</v>
      </c>
      <c r="E13" t="s">
        <v>127</v>
      </c>
      <c r="F13" t="s">
        <v>128</v>
      </c>
      <c r="G13" t="s">
        <v>36</v>
      </c>
      <c r="H13" t="s">
        <v>24</v>
      </c>
    </row>
    <row r="14" spans="1:10">
      <c r="A14" t="s">
        <v>131</v>
      </c>
      <c r="B14" t="s">
        <v>132</v>
      </c>
      <c r="C14" t="s">
        <v>27</v>
      </c>
      <c r="E14" t="s">
        <v>27</v>
      </c>
      <c r="F14" t="s">
        <v>21</v>
      </c>
      <c r="G14" t="s">
        <v>24</v>
      </c>
      <c r="H14" t="s">
        <v>122</v>
      </c>
    </row>
    <row r="15" spans="1:10">
      <c r="A15" t="s">
        <v>135</v>
      </c>
      <c r="B15" t="s">
        <v>136</v>
      </c>
      <c r="C15" t="s">
        <v>30</v>
      </c>
      <c r="E15" t="s">
        <v>137</v>
      </c>
      <c r="F15" t="s">
        <v>30</v>
      </c>
      <c r="G15" t="s">
        <v>138</v>
      </c>
      <c r="H15" t="s">
        <v>21</v>
      </c>
    </row>
    <row r="16" spans="1:10">
      <c r="A16" t="s">
        <v>141</v>
      </c>
      <c r="B16" t="s">
        <v>142</v>
      </c>
      <c r="C16" t="s">
        <v>33</v>
      </c>
      <c r="E16" t="s">
        <v>33</v>
      </c>
      <c r="F16" t="s">
        <v>24</v>
      </c>
      <c r="G16" t="s">
        <v>127</v>
      </c>
      <c r="H16" t="s">
        <v>21</v>
      </c>
    </row>
    <row r="17" spans="1:8">
      <c r="A17" t="s">
        <v>145</v>
      </c>
      <c r="B17" t="s">
        <v>146</v>
      </c>
      <c r="C17" t="s">
        <v>36</v>
      </c>
      <c r="E17" t="s">
        <v>121</v>
      </c>
      <c r="F17" t="s">
        <v>137</v>
      </c>
      <c r="G17" t="s">
        <v>27</v>
      </c>
      <c r="H17" t="s">
        <v>36</v>
      </c>
    </row>
    <row r="18" spans="1:8">
      <c r="A18" t="s">
        <v>151</v>
      </c>
      <c r="B18" t="s">
        <v>120</v>
      </c>
      <c r="E18" t="s">
        <v>152</v>
      </c>
      <c r="F18" t="s">
        <v>153</v>
      </c>
      <c r="G18" t="s">
        <v>154</v>
      </c>
      <c r="H18" t="s">
        <v>155</v>
      </c>
    </row>
    <row r="19" spans="1:8">
      <c r="A19" t="s">
        <v>157</v>
      </c>
      <c r="B19" t="s">
        <v>126</v>
      </c>
      <c r="E19" t="s">
        <v>158</v>
      </c>
      <c r="F19" t="s">
        <v>159</v>
      </c>
      <c r="G19" t="s">
        <v>160</v>
      </c>
      <c r="H19" t="s">
        <v>161</v>
      </c>
    </row>
    <row r="20" spans="1:8">
      <c r="A20" t="s">
        <v>163</v>
      </c>
      <c r="B20" t="s">
        <v>132</v>
      </c>
      <c r="E20" t="s">
        <v>164</v>
      </c>
      <c r="F20" t="s">
        <v>165</v>
      </c>
      <c r="G20" t="s">
        <v>166</v>
      </c>
      <c r="H20" t="s">
        <v>167</v>
      </c>
    </row>
    <row r="21" spans="1:8">
      <c r="A21" t="s">
        <v>169</v>
      </c>
      <c r="B21" t="s">
        <v>136</v>
      </c>
      <c r="E21" t="s">
        <v>170</v>
      </c>
      <c r="F21" t="s">
        <v>171</v>
      </c>
      <c r="G21" t="s">
        <v>172</v>
      </c>
      <c r="H21" t="s">
        <v>173</v>
      </c>
    </row>
    <row r="22" spans="1:8">
      <c r="A22" t="s">
        <v>175</v>
      </c>
      <c r="B22" t="s">
        <v>142</v>
      </c>
      <c r="E22" t="s">
        <v>176</v>
      </c>
      <c r="F22" t="s">
        <v>177</v>
      </c>
      <c r="G22" t="s">
        <v>178</v>
      </c>
      <c r="H22" t="s">
        <v>179</v>
      </c>
    </row>
    <row r="23" spans="1:8">
      <c r="A23" t="s">
        <v>181</v>
      </c>
      <c r="B23" t="s">
        <v>146</v>
      </c>
      <c r="E23" t="s">
        <v>182</v>
      </c>
      <c r="F23" t="s">
        <v>183</v>
      </c>
      <c r="G23" t="s">
        <v>184</v>
      </c>
      <c r="H23" t="s">
        <v>185</v>
      </c>
    </row>
    <row r="24" spans="1:8">
      <c r="A24" t="s">
        <v>187</v>
      </c>
      <c r="B24" t="s">
        <v>188</v>
      </c>
    </row>
    <row r="25" spans="1:8">
      <c r="A25" t="s">
        <v>192</v>
      </c>
      <c r="B25" t="s">
        <v>193</v>
      </c>
    </row>
    <row r="26" spans="1:8">
      <c r="A26" t="s">
        <v>197</v>
      </c>
      <c r="B26" t="s">
        <v>198</v>
      </c>
    </row>
    <row r="27" spans="1:8">
      <c r="A27" t="s">
        <v>202</v>
      </c>
      <c r="B27" t="s">
        <v>203</v>
      </c>
    </row>
    <row r="28" spans="1:8">
      <c r="A28" t="s">
        <v>207</v>
      </c>
      <c r="B28" t="s">
        <v>208</v>
      </c>
    </row>
    <row r="29" spans="1:8">
      <c r="A29" t="s">
        <v>212</v>
      </c>
      <c r="B29" t="s">
        <v>213</v>
      </c>
    </row>
    <row r="30" spans="1:8">
      <c r="A30" t="s">
        <v>232</v>
      </c>
      <c r="B30" t="s">
        <v>120</v>
      </c>
      <c r="E30" t="s">
        <v>152</v>
      </c>
      <c r="F30" t="s">
        <v>153</v>
      </c>
      <c r="G30" t="s">
        <v>154</v>
      </c>
      <c r="H30" t="s">
        <v>155</v>
      </c>
    </row>
    <row r="31" spans="1:8">
      <c r="A31" t="s">
        <v>234</v>
      </c>
      <c r="B31" t="s">
        <v>126</v>
      </c>
      <c r="E31" t="s">
        <v>158</v>
      </c>
      <c r="F31" t="s">
        <v>159</v>
      </c>
      <c r="G31" t="s">
        <v>160</v>
      </c>
      <c r="H31" t="s">
        <v>161</v>
      </c>
    </row>
    <row r="32" spans="1:8">
      <c r="A32" t="s">
        <v>236</v>
      </c>
      <c r="B32" t="s">
        <v>132</v>
      </c>
      <c r="E32" t="s">
        <v>164</v>
      </c>
      <c r="F32" t="s">
        <v>165</v>
      </c>
      <c r="G32" t="s">
        <v>166</v>
      </c>
      <c r="H32" t="s">
        <v>167</v>
      </c>
    </row>
    <row r="33" spans="1:10">
      <c r="A33" t="s">
        <v>238</v>
      </c>
      <c r="B33" t="s">
        <v>136</v>
      </c>
      <c r="E33" t="s">
        <v>170</v>
      </c>
      <c r="F33" t="s">
        <v>171</v>
      </c>
      <c r="G33" t="s">
        <v>172</v>
      </c>
      <c r="H33" t="s">
        <v>173</v>
      </c>
    </row>
    <row r="34" spans="1:10">
      <c r="A34" t="s">
        <v>240</v>
      </c>
      <c r="B34" t="s">
        <v>142</v>
      </c>
      <c r="E34" t="s">
        <v>176</v>
      </c>
      <c r="F34" t="s">
        <v>177</v>
      </c>
      <c r="G34" t="s">
        <v>178</v>
      </c>
      <c r="H34" t="s">
        <v>179</v>
      </c>
    </row>
    <row r="35" spans="1:10">
      <c r="A35" t="s">
        <v>242</v>
      </c>
      <c r="B35" t="s">
        <v>146</v>
      </c>
      <c r="E35" t="s">
        <v>182</v>
      </c>
      <c r="F35" t="s">
        <v>183</v>
      </c>
      <c r="G35" t="s">
        <v>184</v>
      </c>
      <c r="H35" t="s">
        <v>185</v>
      </c>
    </row>
    <row r="36" spans="1:10">
      <c r="A36" t="s">
        <v>244</v>
      </c>
      <c r="B36" t="s">
        <v>245</v>
      </c>
      <c r="E36" t="s">
        <v>22</v>
      </c>
      <c r="F36" t="s">
        <v>246</v>
      </c>
    </row>
    <row r="37" spans="1:10">
      <c r="A37" t="s">
        <v>248</v>
      </c>
      <c r="B37" t="s">
        <v>249</v>
      </c>
      <c r="E37" t="s">
        <v>250</v>
      </c>
      <c r="F37" t="s">
        <v>251</v>
      </c>
      <c r="G37" t="s">
        <v>252</v>
      </c>
      <c r="H37" t="s">
        <v>253</v>
      </c>
      <c r="I37" t="s">
        <v>254</v>
      </c>
      <c r="J37" t="s">
        <v>255</v>
      </c>
    </row>
    <row r="38" spans="1:10">
      <c r="A38" t="s">
        <v>257</v>
      </c>
      <c r="B38" t="s">
        <v>258</v>
      </c>
      <c r="E38" t="s">
        <v>259</v>
      </c>
    </row>
    <row r="39" spans="1:10">
      <c r="A39" t="s">
        <v>261</v>
      </c>
      <c r="B39" t="s">
        <v>262</v>
      </c>
      <c r="E39" t="s">
        <v>263</v>
      </c>
      <c r="F39" t="s">
        <v>264</v>
      </c>
      <c r="G39" t="s">
        <v>265</v>
      </c>
      <c r="H39" t="s">
        <v>266</v>
      </c>
      <c r="I39" t="s">
        <v>267</v>
      </c>
      <c r="J39" t="s">
        <v>268</v>
      </c>
    </row>
    <row r="40" spans="1:10">
      <c r="A40" t="s">
        <v>270</v>
      </c>
      <c r="B40" t="s">
        <v>271</v>
      </c>
      <c r="C40" t="s">
        <v>227</v>
      </c>
      <c r="E40" t="s">
        <v>128</v>
      </c>
      <c r="F40" t="s">
        <v>27</v>
      </c>
      <c r="G40" t="s">
        <v>227</v>
      </c>
      <c r="H40" t="s">
        <v>33</v>
      </c>
    </row>
    <row r="41" spans="1:10">
      <c r="A41" t="s">
        <v>273</v>
      </c>
      <c r="B41" t="s">
        <v>274</v>
      </c>
      <c r="C41" t="s">
        <v>229</v>
      </c>
      <c r="E41" t="s">
        <v>229</v>
      </c>
      <c r="F41" t="s">
        <v>36</v>
      </c>
      <c r="G41" t="s">
        <v>24</v>
      </c>
      <c r="H41" t="s">
        <v>21</v>
      </c>
    </row>
    <row r="42" spans="1:10">
      <c r="A42" t="s">
        <v>276</v>
      </c>
      <c r="B42" t="s">
        <v>277</v>
      </c>
      <c r="C42" t="s">
        <v>127</v>
      </c>
      <c r="E42" t="s">
        <v>128</v>
      </c>
      <c r="F42" t="s">
        <v>278</v>
      </c>
      <c r="G42" t="s">
        <v>229</v>
      </c>
      <c r="H42" t="s">
        <v>127</v>
      </c>
    </row>
    <row r="43" spans="1:10">
      <c r="A43" t="s">
        <v>280</v>
      </c>
      <c r="B43" t="s">
        <v>281</v>
      </c>
      <c r="C43" t="s">
        <v>122</v>
      </c>
      <c r="E43" t="s">
        <v>36</v>
      </c>
      <c r="F43" t="s">
        <v>33</v>
      </c>
      <c r="G43" t="s">
        <v>128</v>
      </c>
      <c r="H43" t="s">
        <v>122</v>
      </c>
    </row>
    <row r="44" spans="1:10">
      <c r="A44" t="s">
        <v>284</v>
      </c>
      <c r="B44" t="s">
        <v>271</v>
      </c>
      <c r="E44" t="s">
        <v>285</v>
      </c>
      <c r="F44" t="s">
        <v>286</v>
      </c>
    </row>
    <row r="45" spans="1:10">
      <c r="A45" t="s">
        <v>287</v>
      </c>
      <c r="B45" t="s">
        <v>274</v>
      </c>
      <c r="E45" t="s">
        <v>288</v>
      </c>
      <c r="F45" t="s">
        <v>289</v>
      </c>
    </row>
    <row r="46" spans="1:10">
      <c r="A46" t="s">
        <v>290</v>
      </c>
      <c r="B46" t="s">
        <v>277</v>
      </c>
      <c r="E46" t="s">
        <v>291</v>
      </c>
      <c r="F46" t="s">
        <v>292</v>
      </c>
    </row>
    <row r="47" spans="1:10">
      <c r="A47" t="s">
        <v>293</v>
      </c>
      <c r="B47" t="s">
        <v>281</v>
      </c>
      <c r="E47" t="s">
        <v>294</v>
      </c>
    </row>
    <row r="48" spans="1:10">
      <c r="A48" t="s">
        <v>295</v>
      </c>
      <c r="B48" t="s">
        <v>296</v>
      </c>
      <c r="E48" t="s">
        <v>297</v>
      </c>
    </row>
    <row r="49" spans="1:10">
      <c r="A49" t="s">
        <v>322</v>
      </c>
      <c r="B49" t="s">
        <v>271</v>
      </c>
      <c r="E49" t="s">
        <v>285</v>
      </c>
      <c r="F49" t="s">
        <v>286</v>
      </c>
    </row>
    <row r="50" spans="1:10">
      <c r="A50" t="s">
        <v>324</v>
      </c>
      <c r="B50" t="s">
        <v>274</v>
      </c>
      <c r="E50" t="s">
        <v>288</v>
      </c>
      <c r="F50" t="s">
        <v>289</v>
      </c>
    </row>
    <row r="51" spans="1:10">
      <c r="A51" t="s">
        <v>326</v>
      </c>
      <c r="B51" t="s">
        <v>277</v>
      </c>
      <c r="E51" t="s">
        <v>291</v>
      </c>
      <c r="F51" t="s">
        <v>292</v>
      </c>
    </row>
    <row r="52" spans="1:10">
      <c r="A52" t="s">
        <v>328</v>
      </c>
      <c r="B52" t="s">
        <v>281</v>
      </c>
      <c r="E52" t="s">
        <v>294</v>
      </c>
    </row>
    <row r="53" spans="1:10">
      <c r="A53" t="s">
        <v>330</v>
      </c>
      <c r="B53" t="s">
        <v>331</v>
      </c>
      <c r="E53" t="s">
        <v>332</v>
      </c>
      <c r="F53" t="s">
        <v>333</v>
      </c>
      <c r="G53" t="s">
        <v>334</v>
      </c>
      <c r="H53" t="s">
        <v>335</v>
      </c>
      <c r="I53" t="s">
        <v>336</v>
      </c>
      <c r="J53" t="s">
        <v>337</v>
      </c>
    </row>
    <row r="54" spans="1:10">
      <c r="A54" t="s">
        <v>339</v>
      </c>
      <c r="B54" t="s">
        <v>340</v>
      </c>
      <c r="E54" t="s">
        <v>341</v>
      </c>
      <c r="F54" t="s">
        <v>342</v>
      </c>
      <c r="G54" t="s">
        <v>343</v>
      </c>
      <c r="H54" t="s">
        <v>344</v>
      </c>
      <c r="I54" t="s">
        <v>345</v>
      </c>
      <c r="J54" t="s">
        <v>346</v>
      </c>
    </row>
    <row r="55" spans="1:10">
      <c r="A55" t="s">
        <v>348</v>
      </c>
      <c r="B55" t="s">
        <v>349</v>
      </c>
      <c r="E55" t="s">
        <v>350</v>
      </c>
      <c r="F55" t="s">
        <v>351</v>
      </c>
      <c r="G55" t="s">
        <v>352</v>
      </c>
      <c r="H55" t="s">
        <v>353</v>
      </c>
      <c r="I55" t="s">
        <v>354</v>
      </c>
      <c r="J55" t="s">
        <v>355</v>
      </c>
    </row>
    <row r="56" spans="1:10">
      <c r="A56" t="s">
        <v>357</v>
      </c>
      <c r="B56" t="s">
        <v>358</v>
      </c>
      <c r="E56" t="s">
        <v>359</v>
      </c>
      <c r="F56" t="s">
        <v>360</v>
      </c>
      <c r="G56" t="s">
        <v>361</v>
      </c>
      <c r="H56" t="s">
        <v>362</v>
      </c>
      <c r="I56" t="s">
        <v>363</v>
      </c>
      <c r="J56" t="s">
        <v>364</v>
      </c>
    </row>
    <row r="57" spans="1:10">
      <c r="A57" t="s">
        <v>366</v>
      </c>
      <c r="B57" t="s">
        <v>367</v>
      </c>
      <c r="E57" t="s">
        <v>368</v>
      </c>
      <c r="F57" t="s">
        <v>369</v>
      </c>
      <c r="G57" t="s">
        <v>370</v>
      </c>
      <c r="H57" t="s">
        <v>371</v>
      </c>
    </row>
    <row r="58" spans="1:10">
      <c r="A58" t="s">
        <v>373</v>
      </c>
      <c r="B58" t="s">
        <v>374</v>
      </c>
      <c r="E58" t="s">
        <v>375</v>
      </c>
    </row>
    <row r="59" spans="1:10">
      <c r="A59" t="s">
        <v>377</v>
      </c>
      <c r="B59" t="s">
        <v>378</v>
      </c>
      <c r="C59" t="s">
        <v>137</v>
      </c>
      <c r="E59" t="s">
        <v>90</v>
      </c>
      <c r="F59" t="s">
        <v>138</v>
      </c>
      <c r="G59" t="s">
        <v>137</v>
      </c>
      <c r="H59" t="s">
        <v>24</v>
      </c>
    </row>
    <row r="60" spans="1:10">
      <c r="A60" t="s">
        <v>380</v>
      </c>
      <c r="B60" t="s">
        <v>381</v>
      </c>
      <c r="C60" t="s">
        <v>278</v>
      </c>
      <c r="E60" t="s">
        <v>137</v>
      </c>
      <c r="F60" t="s">
        <v>278</v>
      </c>
      <c r="G60" t="s">
        <v>122</v>
      </c>
      <c r="H60" t="s">
        <v>128</v>
      </c>
    </row>
    <row r="61" spans="1:10">
      <c r="A61" t="s">
        <v>383</v>
      </c>
      <c r="B61" t="s">
        <v>384</v>
      </c>
      <c r="C61" t="s">
        <v>128</v>
      </c>
      <c r="E61" t="s">
        <v>127</v>
      </c>
      <c r="F61" t="s">
        <v>24</v>
      </c>
      <c r="G61" t="s">
        <v>122</v>
      </c>
      <c r="H61" t="s">
        <v>128</v>
      </c>
    </row>
    <row r="62" spans="1:10">
      <c r="A62" t="s">
        <v>386</v>
      </c>
      <c r="B62" t="s">
        <v>387</v>
      </c>
      <c r="C62" t="s">
        <v>317</v>
      </c>
      <c r="E62" t="s">
        <v>227</v>
      </c>
      <c r="F62" t="s">
        <v>30</v>
      </c>
      <c r="G62" t="s">
        <v>229</v>
      </c>
      <c r="H62" t="s">
        <v>317</v>
      </c>
    </row>
    <row r="63" spans="1:10">
      <c r="A63" t="s">
        <v>389</v>
      </c>
      <c r="B63" t="s">
        <v>390</v>
      </c>
      <c r="C63" t="s">
        <v>121</v>
      </c>
      <c r="E63" t="s">
        <v>317</v>
      </c>
      <c r="F63" t="s">
        <v>127</v>
      </c>
      <c r="G63" t="s">
        <v>27</v>
      </c>
      <c r="H63" t="s">
        <v>121</v>
      </c>
    </row>
    <row r="64" spans="1:10">
      <c r="A64" t="s">
        <v>392</v>
      </c>
      <c r="B64" t="s">
        <v>393</v>
      </c>
      <c r="C64" t="s">
        <v>138</v>
      </c>
      <c r="E64" t="s">
        <v>30</v>
      </c>
      <c r="F64" t="s">
        <v>229</v>
      </c>
      <c r="G64" t="s">
        <v>122</v>
      </c>
      <c r="H64" t="s">
        <v>138</v>
      </c>
    </row>
    <row r="65" spans="1:20">
      <c r="A65" t="s">
        <v>395</v>
      </c>
      <c r="B65" t="s">
        <v>396</v>
      </c>
      <c r="C65" t="s">
        <v>90</v>
      </c>
      <c r="E65" t="s">
        <v>278</v>
      </c>
      <c r="F65" t="s">
        <v>127</v>
      </c>
      <c r="G65" t="s">
        <v>128</v>
      </c>
      <c r="H65" t="s">
        <v>90</v>
      </c>
    </row>
    <row r="66" spans="1:20">
      <c r="A66" t="s">
        <v>400</v>
      </c>
      <c r="B66" t="s">
        <v>378</v>
      </c>
      <c r="E66" t="s">
        <v>401</v>
      </c>
    </row>
    <row r="67" spans="1:20">
      <c r="A67" t="s">
        <v>402</v>
      </c>
      <c r="B67" t="s">
        <v>381</v>
      </c>
      <c r="E67" t="s">
        <v>403</v>
      </c>
      <c r="F67" t="s">
        <v>404</v>
      </c>
      <c r="G67" t="s">
        <v>405</v>
      </c>
      <c r="H67" t="s">
        <v>406</v>
      </c>
    </row>
    <row r="68" spans="1:20">
      <c r="A68" t="s">
        <v>407</v>
      </c>
      <c r="B68" t="s">
        <v>384</v>
      </c>
      <c r="E68" t="s">
        <v>408</v>
      </c>
      <c r="F68" t="s">
        <v>409</v>
      </c>
      <c r="G68" t="s">
        <v>410</v>
      </c>
      <c r="H68" t="s">
        <v>411</v>
      </c>
    </row>
    <row r="69" spans="1:20">
      <c r="A69" t="s">
        <v>412</v>
      </c>
      <c r="B69" t="s">
        <v>387</v>
      </c>
      <c r="E69" t="s">
        <v>413</v>
      </c>
      <c r="F69" t="s">
        <v>414</v>
      </c>
    </row>
    <row r="70" spans="1:20">
      <c r="A70" t="s">
        <v>415</v>
      </c>
      <c r="B70" t="s">
        <v>390</v>
      </c>
      <c r="E70" t="s">
        <v>416</v>
      </c>
      <c r="F70" t="s">
        <v>417</v>
      </c>
      <c r="G70" t="s">
        <v>418</v>
      </c>
      <c r="H70" t="s">
        <v>419</v>
      </c>
      <c r="I70" t="s">
        <v>420</v>
      </c>
      <c r="J70" t="s">
        <v>421</v>
      </c>
      <c r="K70" t="s">
        <v>422</v>
      </c>
      <c r="L70" t="s">
        <v>423</v>
      </c>
      <c r="M70" t="s">
        <v>424</v>
      </c>
      <c r="N70" t="s">
        <v>425</v>
      </c>
      <c r="O70" t="s">
        <v>426</v>
      </c>
      <c r="P70" t="s">
        <v>427</v>
      </c>
      <c r="Q70" t="s">
        <v>428</v>
      </c>
      <c r="R70" t="s">
        <v>429</v>
      </c>
      <c r="S70" t="s">
        <v>430</v>
      </c>
      <c r="T70" t="s">
        <v>431</v>
      </c>
    </row>
    <row r="71" spans="1:20">
      <c r="A71" t="s">
        <v>432</v>
      </c>
      <c r="B71" t="s">
        <v>393</v>
      </c>
      <c r="E71" t="s">
        <v>433</v>
      </c>
      <c r="F71" t="s">
        <v>434</v>
      </c>
      <c r="G71" t="s">
        <v>435</v>
      </c>
      <c r="H71" t="s">
        <v>436</v>
      </c>
      <c r="I71" t="s">
        <v>437</v>
      </c>
      <c r="J71" t="s">
        <v>438</v>
      </c>
      <c r="K71" t="s">
        <v>439</v>
      </c>
      <c r="L71" t="s">
        <v>440</v>
      </c>
      <c r="M71" t="s">
        <v>441</v>
      </c>
      <c r="N71" t="s">
        <v>442</v>
      </c>
      <c r="O71" t="s">
        <v>443</v>
      </c>
      <c r="P71" t="s">
        <v>444</v>
      </c>
      <c r="Q71" t="s">
        <v>445</v>
      </c>
      <c r="R71" t="s">
        <v>446</v>
      </c>
      <c r="S71" t="s">
        <v>447</v>
      </c>
      <c r="T71" t="s">
        <v>448</v>
      </c>
    </row>
    <row r="72" spans="1:20">
      <c r="A72" t="s">
        <v>449</v>
      </c>
      <c r="B72" t="s">
        <v>396</v>
      </c>
      <c r="E72" t="s">
        <v>450</v>
      </c>
      <c r="F72" t="s">
        <v>90</v>
      </c>
    </row>
    <row r="73" spans="1:20">
      <c r="A73" t="s">
        <v>451</v>
      </c>
      <c r="B73" t="s">
        <v>452</v>
      </c>
    </row>
    <row r="74" spans="1:20">
      <c r="A74" t="s">
        <v>455</v>
      </c>
      <c r="B74" t="s">
        <v>456</v>
      </c>
    </row>
    <row r="75" spans="1:20">
      <c r="A75" t="s">
        <v>459</v>
      </c>
      <c r="B75" t="s">
        <v>460</v>
      </c>
    </row>
    <row r="76" spans="1:20">
      <c r="A76" t="s">
        <v>463</v>
      </c>
      <c r="B76" t="s">
        <v>464</v>
      </c>
      <c r="E76" t="s">
        <v>297</v>
      </c>
    </row>
    <row r="77" spans="1:20">
      <c r="A77" t="s">
        <v>489</v>
      </c>
      <c r="B77" t="s">
        <v>378</v>
      </c>
      <c r="E77" t="s">
        <v>401</v>
      </c>
    </row>
    <row r="78" spans="1:20">
      <c r="A78" t="s">
        <v>491</v>
      </c>
      <c r="B78" t="s">
        <v>381</v>
      </c>
      <c r="E78" t="s">
        <v>403</v>
      </c>
      <c r="F78" t="s">
        <v>404</v>
      </c>
      <c r="G78" t="s">
        <v>405</v>
      </c>
      <c r="H78" t="s">
        <v>406</v>
      </c>
    </row>
    <row r="79" spans="1:20">
      <c r="A79" t="s">
        <v>492</v>
      </c>
      <c r="B79" t="s">
        <v>384</v>
      </c>
      <c r="E79" t="s">
        <v>408</v>
      </c>
      <c r="F79" t="s">
        <v>409</v>
      </c>
      <c r="G79" t="s">
        <v>410</v>
      </c>
      <c r="H79" t="s">
        <v>411</v>
      </c>
    </row>
    <row r="80" spans="1:20">
      <c r="A80" t="s">
        <v>494</v>
      </c>
      <c r="B80" t="s">
        <v>387</v>
      </c>
      <c r="E80" t="s">
        <v>413</v>
      </c>
      <c r="F80" t="s">
        <v>414</v>
      </c>
    </row>
    <row r="81" spans="1:20">
      <c r="A81" t="s">
        <v>495</v>
      </c>
      <c r="B81" t="s">
        <v>390</v>
      </c>
      <c r="E81" t="s">
        <v>416</v>
      </c>
      <c r="F81" t="s">
        <v>417</v>
      </c>
      <c r="G81" t="s">
        <v>418</v>
      </c>
      <c r="H81" t="s">
        <v>419</v>
      </c>
      <c r="I81" t="s">
        <v>420</v>
      </c>
      <c r="J81" t="s">
        <v>421</v>
      </c>
      <c r="K81" t="s">
        <v>422</v>
      </c>
      <c r="L81" t="s">
        <v>423</v>
      </c>
      <c r="M81" t="s">
        <v>424</v>
      </c>
      <c r="N81" t="s">
        <v>425</v>
      </c>
      <c r="O81" t="s">
        <v>426</v>
      </c>
      <c r="P81" t="s">
        <v>427</v>
      </c>
      <c r="Q81" t="s">
        <v>428</v>
      </c>
      <c r="R81" t="s">
        <v>429</v>
      </c>
      <c r="S81" t="s">
        <v>430</v>
      </c>
      <c r="T81" t="s">
        <v>431</v>
      </c>
    </row>
    <row r="82" spans="1:20">
      <c r="A82" t="s">
        <v>497</v>
      </c>
      <c r="B82" t="s">
        <v>393</v>
      </c>
      <c r="E82" t="s">
        <v>433</v>
      </c>
      <c r="F82" t="s">
        <v>434</v>
      </c>
      <c r="G82" t="s">
        <v>435</v>
      </c>
      <c r="H82" t="s">
        <v>436</v>
      </c>
      <c r="I82" t="s">
        <v>437</v>
      </c>
      <c r="J82" t="s">
        <v>438</v>
      </c>
      <c r="K82" t="s">
        <v>439</v>
      </c>
      <c r="L82" t="s">
        <v>440</v>
      </c>
      <c r="M82" t="s">
        <v>441</v>
      </c>
      <c r="N82" t="s">
        <v>442</v>
      </c>
      <c r="O82" t="s">
        <v>443</v>
      </c>
      <c r="P82" t="s">
        <v>444</v>
      </c>
      <c r="Q82" t="s">
        <v>445</v>
      </c>
      <c r="R82" t="s">
        <v>446</v>
      </c>
      <c r="S82" t="s">
        <v>447</v>
      </c>
      <c r="T82" t="s">
        <v>448</v>
      </c>
    </row>
    <row r="83" spans="1:20">
      <c r="A83" t="s">
        <v>499</v>
      </c>
      <c r="B83" t="s">
        <v>396</v>
      </c>
      <c r="E83" t="s">
        <v>450</v>
      </c>
      <c r="F83" t="s">
        <v>90</v>
      </c>
    </row>
    <row r="84" spans="1:20">
      <c r="A84" t="s">
        <v>501</v>
      </c>
      <c r="B84" t="s">
        <v>120</v>
      </c>
      <c r="E84" t="s">
        <v>152</v>
      </c>
      <c r="F84" t="s">
        <v>153</v>
      </c>
      <c r="G84" t="s">
        <v>154</v>
      </c>
      <c r="H84" t="s">
        <v>155</v>
      </c>
    </row>
    <row r="85" spans="1:20">
      <c r="A85" t="s">
        <v>505</v>
      </c>
      <c r="B85" t="s">
        <v>188</v>
      </c>
    </row>
    <row r="86" spans="1:20">
      <c r="A86" t="s">
        <v>508</v>
      </c>
      <c r="B86" t="s">
        <v>193</v>
      </c>
    </row>
    <row r="87" spans="1:20">
      <c r="A87" t="s">
        <v>511</v>
      </c>
      <c r="B87" t="s">
        <v>203</v>
      </c>
    </row>
    <row r="88" spans="1:20">
      <c r="A88" t="s">
        <v>514</v>
      </c>
      <c r="B88" t="s">
        <v>208</v>
      </c>
    </row>
    <row r="89" spans="1:20">
      <c r="A89" t="s">
        <v>517</v>
      </c>
      <c r="B89" t="s">
        <v>518</v>
      </c>
    </row>
    <row r="90" spans="1:20">
      <c r="A90" t="s">
        <v>521</v>
      </c>
      <c r="B90" t="s">
        <v>522</v>
      </c>
    </row>
    <row r="91" spans="1:20">
      <c r="A91" t="s">
        <v>525</v>
      </c>
      <c r="B91" t="s">
        <v>526</v>
      </c>
    </row>
    <row r="92" spans="1:20">
      <c r="A92" t="s">
        <v>529</v>
      </c>
      <c r="B92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Start</vt:lpstr>
      <vt:lpstr>S3-1 Number Skins</vt:lpstr>
      <vt:lpstr>S3-1 Arena</vt:lpstr>
      <vt:lpstr>S3-2 Text Style</vt:lpstr>
      <vt:lpstr>S3-2 Arena</vt:lpstr>
      <vt:lpstr>S3-3 Format Power</vt:lpstr>
      <vt:lpstr>S3-3 Arena</vt:lpstr>
      <vt:lpstr>Boss</vt:lpstr>
      <vt:lpstr>Boss Arena</vt:lpstr>
      <vt:lpstr>Cheat Codes</vt:lpstr>
      <vt:lpstr>Boss!Print_Titles</vt:lpstr>
      <vt:lpstr>'Cheat Codes'!Print_Titles</vt:lpstr>
      <vt:lpstr>'S3-1 Number Skins'!Print_Titles</vt:lpstr>
      <vt:lpstr>'S3-2 Text Style'!Print_Titles</vt:lpstr>
      <vt:lpstr>'S3-3 Format Power'!Print_Titles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Shortcuts 3 · Format</dc:title>
  <dc:subject>Excel practice: Dress numbers, text and cells from the keyboard.</dc:subject>
  <dc:creator>excel-drills</dc:creator>
  <cp:keywords>Excel, practice, shortcuts, Format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