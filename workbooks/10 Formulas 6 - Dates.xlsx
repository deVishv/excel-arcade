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6-1 Calendar" sheetId="2" r:id="rId2"/>
    <sheet name="F6-1 Arena" sheetId="3" r:id="rId3"/>
    <sheet name="F6-2 Date Math" sheetId="4" r:id="rId4"/>
    <sheet name="F6-2 Arena" sheetId="5" r:id="rId5"/>
    <sheet name="F6-3 Deadlines" sheetId="6" r:id="rId6"/>
    <sheet name="F6-3 Arena" sheetId="7" r:id="rId7"/>
    <sheet name="Boss" sheetId="8" r:id="rId8"/>
    <sheet name="Boss Arena" sheetId="9" r:id="rId9"/>
    <sheet name="Cheat Codes" sheetId="10" r:id="rId10"/>
    <sheet name="Key" sheetId="11" state="veryHidden" r:id="rId11"/>
  </sheets>
  <definedNames>
    <definedName name="_xlnm.Print_Titles" localSheetId="7">Boss!$1:$4</definedName>
    <definedName name="_xlnm.Print_Titles" localSheetId="9">'Cheat Codes'!$4:$4</definedName>
    <definedName name="_xlnm.Print_Titles" localSheetId="1">'F6-1 Calendar'!$1:$4</definedName>
    <definedName name="_xlnm.Print_Titles" localSheetId="3">'F6-2 Date Math'!$1:$4</definedName>
    <definedName name="_xlnm.Print_Titles" localSheetId="5">'F6-3 Deadlines'!$1:$4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<sst xmlns="http://schemas.openxmlformats.org/spreadsheetml/2006/main" count="1025" uniqueCount="635">
  <si>
    <t>Challenge</t>
  </si>
  <si>
    <t>Hint</t>
  </si>
  <si>
    <t>Expected</t>
  </si>
  <si>
    <t>Lists / per-cell expectations →</t>
  </si>
  <si>
    <t>ARENA ▸ F6-1 CALENDAR</t>
  </si>
  <si>
    <t>Practice area · everything here is editable. Missions and their checks are on the stage sheet.</t>
  </si>
  <si>
    <t>PASS CODE</t>
  </si>
  <si>
    <t>CALENDAR</t>
  </si>
  <si>
    <t>◀ Back to F6-1 Calendar</t>
  </si>
  <si>
    <t>Date</t>
  </si>
  <si>
    <t>Task</t>
  </si>
  <si>
    <t>Today</t>
  </si>
  <si>
    <t>Build 4 July 2026</t>
  </si>
  <si>
    <t>Year of B6</t>
  </si>
  <si>
    <t>Month of B6</t>
  </si>
  <si>
    <t>Day of B6</t>
  </si>
  <si>
    <t>Weekday of B6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</si>
  <si>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</si>
  <si>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</si>
  <si>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</si>
  <si>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</si>
  <si>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</si>
  <si>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=TODAY() is today's date; it updates every day.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Use Ctrl+; instead when the date must never change.</t>
    </r>
  </si>
  <si>
    <t>TODAY</t>
  </si>
  <si>
    <t>2</t>
  </si>
  <si>
    <r>
      <rPr>
        <b/>
        <sz val="12"/>
        <color rgb="FF1F2328"/>
        <rFont val="Calibri"/>
        <family val="2"/>
        <scheme val="minor"/>
      </rPr>
      <t>=NOW() is today's date AND the current time.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It updates on every recalc.</t>
    </r>
  </si>
  <si>
    <t>NOW</t>
  </si>
  <si>
    <t>3</t>
  </si>
  <si>
    <r>
      <rPr>
        <b/>
        <sz val="12"/>
        <color rgb="FF1F2328"/>
        <rFont val="Calibri"/>
        <family val="2"/>
        <scheme val="minor"/>
      </rPr>
      <t>DATE(year, month, day) builds a real date.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=DATE(2026,7,4) is 4 July 2026.</t>
    </r>
  </si>
  <si>
    <t>DATE</t>
  </si>
  <si>
    <t>4</t>
  </si>
  <si>
    <r>
      <rPr>
        <b/>
        <sz val="12"/>
        <color rgb="FF1F2328"/>
        <rFont val="Calibri"/>
        <family val="2"/>
        <scheme val="minor"/>
      </rPr>
      <t>YEAR(date) returns the year number.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=YEAR(B6) gives 2026.</t>
    </r>
  </si>
  <si>
    <t>YEAR</t>
  </si>
  <si>
    <t>5</t>
  </si>
  <si>
    <r>
      <rPr>
        <b/>
        <sz val="12"/>
        <color rgb="FF1F2328"/>
        <rFont val="Calibri"/>
        <family val="2"/>
        <scheme val="minor"/>
      </rPr>
      <t>MONTH(date) returns 1 to 12.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=MONTH(B6) gives 3 for March.</t>
    </r>
  </si>
  <si>
    <t>MONTH</t>
  </si>
  <si>
    <t>6</t>
  </si>
  <si>
    <r>
      <rPr>
        <b/>
        <sz val="12"/>
        <color rgb="FF1F2328"/>
        <rFont val="Calibri"/>
        <family val="2"/>
        <scheme val="minor"/>
      </rPr>
      <t>DAY(date) returns the day of the month, 1 to 31.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=DAY(B6) gives 15.</t>
    </r>
  </si>
  <si>
    <t>DAY</t>
  </si>
  <si>
    <t>7</t>
  </si>
  <si>
    <r>
      <rPr>
        <b/>
        <sz val="12"/>
        <color rgb="FF1F2328"/>
        <rFont val="Calibri"/>
        <family val="2"/>
        <scheme val="minor"/>
      </rPr>
      <t>WEEKDAY(date) returns 1 (Sunday) to 7 (Saturday).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WEEKDAY(date,2) counts Monday as 1 instead.</t>
    </r>
  </si>
  <si>
    <t>WEEKDAY</t>
  </si>
  <si>
    <t>WARM-UP · flashback to earlier stages</t>
  </si>
  <si>
    <t>Mission</t>
  </si>
  <si>
    <t>Your answer</t>
  </si>
  <si>
    <t>Result</t>
  </si>
  <si>
    <t>Hint?</t>
  </si>
  <si>
    <t>XP</t>
  </si>
  <si>
    <t>F6-1 Calendar W1</t>
  </si>
  <si>
    <t>Trims the edges.</t>
  </si>
  <si>
    <t>=TRIM</t>
  </si>
  <si>
    <t>=TRIM(</t>
  </si>
  <si>
    <t>=TRIM()</t>
  </si>
  <si>
    <t>TRIM</t>
  </si>
  <si>
    <t>TRIM(</t>
  </si>
  <si>
    <t>TRIM()</t>
  </si>
  <si>
    <t>W1</t>
  </si>
  <si>
    <t>Which function removes extra spaces from text?  (from F5-2 Clean Up)</t>
  </si>
  <si>
    <t>F6-1 Calendar W2</t>
  </si>
  <si>
    <t>Upper case.</t>
  </si>
  <si>
    <t>=UPPER</t>
  </si>
  <si>
    <t>=UPPER(</t>
  </si>
  <si>
    <t>=UPPER()</t>
  </si>
  <si>
    <t>UPPER</t>
  </si>
  <si>
    <t>UPPER(</t>
  </si>
  <si>
    <t>UPPER()</t>
  </si>
  <si>
    <t>W2</t>
  </si>
  <si>
    <t>Which function converts text to all capitals?  (from F5-2 Clean Up)</t>
  </si>
  <si>
    <t>F6-1 Calendar W3</t>
  </si>
  <si>
    <t>Lower case.</t>
  </si>
  <si>
    <t>=LOWER</t>
  </si>
  <si>
    <t>=LOWER(</t>
  </si>
  <si>
    <t>=LOWER()</t>
  </si>
  <si>
    <t>LOWER</t>
  </si>
  <si>
    <t>LOWER(</t>
  </si>
  <si>
    <t>LOWER()</t>
  </si>
  <si>
    <t>W3</t>
  </si>
  <si>
    <t>Which function converts text to all lowercase?  (from F5-2 Clean Up)</t>
  </si>
  <si>
    <t>F6-1 Calendar W4</t>
  </si>
  <si>
    <t>Proper names.</t>
  </si>
  <si>
    <t>=PROPER</t>
  </si>
  <si>
    <t>=PROPER(</t>
  </si>
  <si>
    <t>=PROPER()</t>
  </si>
  <si>
    <t>PROPER</t>
  </si>
  <si>
    <t>PROPER(</t>
  </si>
  <si>
    <t>PROPER()</t>
  </si>
  <si>
    <t>W4</t>
  </si>
  <si>
    <t>Which function capitalizes the first letter of each word?  (from F5-2 Clean Up)</t>
  </si>
  <si>
    <t>F6-1 Calendar W5</t>
  </si>
  <si>
    <t>Swap one thing for another.</t>
  </si>
  <si>
    <t>=SUBSTITUTE</t>
  </si>
  <si>
    <t>=SUBSTITUTE(</t>
  </si>
  <si>
    <t>=SUBSTITUTE()</t>
  </si>
  <si>
    <t>SUBSTITUTE</t>
  </si>
  <si>
    <t>SUBSTITUTE(</t>
  </si>
  <si>
    <t>SUBSTITUTE()</t>
  </si>
  <si>
    <t>W5</t>
  </si>
  <si>
    <t>Which function replaces every occurrence of some text with other text?  (from F5-2 Clean Up)</t>
  </si>
  <si>
    <t>F6-1 Calendar W6</t>
  </si>
  <si>
    <t>The letter after G.</t>
  </si>
  <si>
    <t>CTRL+H</t>
  </si>
  <si>
    <t>W6</t>
  </si>
  <si>
    <t>Which keys open Find and Replace on the Replace tab?  (from S4-3 Detective)</t>
  </si>
  <si>
    <t>F6-1 Calendar W7</t>
  </si>
  <si>
    <t>Ctrl+Shift plus L.</t>
  </si>
  <si>
    <t>CTRL+SHIFT+L</t>
  </si>
  <si>
    <t>SHIFT+CTRL+L</t>
  </si>
  <si>
    <t>W7</t>
  </si>
  <si>
    <t>Which keys turn filter buttons on and off?  (from S4-4 Data Wrangler)</t>
  </si>
  <si>
    <t>F6-1 Calendar W8</t>
  </si>
  <si>
    <t>The same keys that open a dropdown.</t>
  </si>
  <si>
    <t>ALT+DOWN</t>
  </si>
  <si>
    <t>W8</t>
  </si>
  <si>
    <t>Which keys open the filter menu of a header cell?  (from S4-4 Data Wrangler)</t>
  </si>
  <si>
    <t>F6-1 Calendar W9</t>
  </si>
  <si>
    <t>T for Table.</t>
  </si>
  <si>
    <t>CTRL+L</t>
  </si>
  <si>
    <t>CTRL+T</t>
  </si>
  <si>
    <t>W9</t>
  </si>
  <si>
    <t>Which keys turn a range into a Table?  (from S4-4 Data Wrangler)</t>
  </si>
  <si>
    <t>F6-1 Calendar W10</t>
  </si>
  <si>
    <t>Alt, A, S, then A for ascending.</t>
  </si>
  <si>
    <t>ALT+A+S+A</t>
  </si>
  <si>
    <t>ALT+A,S,A</t>
  </si>
  <si>
    <t>ALT+A&gt;S&gt;A</t>
  </si>
  <si>
    <t>ALT+ASA</t>
  </si>
  <si>
    <t>ALT,A+S+A</t>
  </si>
  <si>
    <t>ALT,A,S,A</t>
  </si>
  <si>
    <t>ALT,A&gt;S&gt;A</t>
  </si>
  <si>
    <t>ALT,ASA</t>
  </si>
  <si>
    <t>ALT&gt;A+S+A</t>
  </si>
  <si>
    <t>ALT&gt;A,S,A</t>
  </si>
  <si>
    <t>ALT&gt;A&gt;S&gt;A</t>
  </si>
  <si>
    <t>ALT&gt;ASA</t>
  </si>
  <si>
    <t>ALTA+S+A</t>
  </si>
  <si>
    <t>ALTA,S,A</t>
  </si>
  <si>
    <t>ALTA&gt;S&gt;A</t>
  </si>
  <si>
    <t>ALTASA</t>
  </si>
  <si>
    <t>W10</t>
  </si>
  <si>
    <t>Which KeyTips sort A to Z?  (from S4-4 Data Wrangler)</t>
  </si>
  <si>
    <t>TRAINING · recognize the move (pick from the list)</t>
  </si>
  <si>
    <t>F6-1 Calendar T1</t>
  </si>
  <si>
    <t>Five letters.</t>
  </si>
  <si>
    <t>EOMONTH</t>
  </si>
  <si>
    <t>T1</t>
  </si>
  <si>
    <t>Which function returns today's date?</t>
  </si>
  <si>
    <t>F6-1 Calendar T2</t>
  </si>
  <si>
    <t>Three letters.</t>
  </si>
  <si>
    <t>DATEDIF</t>
  </si>
  <si>
    <t>T2</t>
  </si>
  <si>
    <t>Which function returns the current date and time?</t>
  </si>
  <si>
    <t>F6-1 Calendar T3</t>
  </si>
  <si>
    <t>Four letters.</t>
  </si>
  <si>
    <t>T3</t>
  </si>
  <si>
    <t>Which function builds a date from a year, month and day?</t>
  </si>
  <si>
    <t>F6-1 Calendar T4</t>
  </si>
  <si>
    <t>WORKDAY</t>
  </si>
  <si>
    <t>EDATE</t>
  </si>
  <si>
    <t>T4</t>
  </si>
  <si>
    <t>Which function returns the year of a date?</t>
  </si>
  <si>
    <t>F6-1 Calendar T5</t>
  </si>
  <si>
    <t>T5</t>
  </si>
  <si>
    <t>Which function returns the month number of a date?</t>
  </si>
  <si>
    <t>F6-1 Calendar T6</t>
  </si>
  <si>
    <t>T6</t>
  </si>
  <si>
    <t>Which function returns the day of the month?</t>
  </si>
  <si>
    <t>F6-1 Calendar T7</t>
  </si>
  <si>
    <t>WEEK plus DAY.</t>
  </si>
  <si>
    <t>T7</t>
  </si>
  <si>
    <t>Which function returns the day of the week as a number?</t>
  </si>
  <si>
    <t>CHALLENGES · recall it, then do it</t>
  </si>
  <si>
    <t>▶ Open F6-1 Arena (or press Ctrl+PgDn)</t>
  </si>
  <si>
    <t>F6-1 Calendar C1</t>
  </si>
  <si>
    <t>=TODAY</t>
  </si>
  <si>
    <t>=TODAY(</t>
  </si>
  <si>
    <t>=TODAY()</t>
  </si>
  <si>
    <t>TODAY(</t>
  </si>
  <si>
    <t>TODAY()</t>
  </si>
  <si>
    <t>C1</t>
  </si>
  <si>
    <t>F6-1 Calendar C2</t>
  </si>
  <si>
    <t>=NOW</t>
  </si>
  <si>
    <t>=NOW(</t>
  </si>
  <si>
    <t>=NOW()</t>
  </si>
  <si>
    <t>NOW(</t>
  </si>
  <si>
    <t>NOW()</t>
  </si>
  <si>
    <t>C2</t>
  </si>
  <si>
    <t>F6-1 Calendar C3</t>
  </si>
  <si>
    <t>=DATE</t>
  </si>
  <si>
    <t>=DATE(</t>
  </si>
  <si>
    <t>=DATE()</t>
  </si>
  <si>
    <t>DATE(</t>
  </si>
  <si>
    <t>DATE()</t>
  </si>
  <si>
    <t>C3</t>
  </si>
  <si>
    <t>F6-1 Calendar C4</t>
  </si>
  <si>
    <t>=YEAR</t>
  </si>
  <si>
    <t>=YEAR(</t>
  </si>
  <si>
    <t>=YEAR()</t>
  </si>
  <si>
    <t>YEAR(</t>
  </si>
  <si>
    <t>YEAR()</t>
  </si>
  <si>
    <t>C4</t>
  </si>
  <si>
    <t>F6-1 Calendar C5</t>
  </si>
  <si>
    <t>=MONTH</t>
  </si>
  <si>
    <t>=MONTH(</t>
  </si>
  <si>
    <t>=MONTH()</t>
  </si>
  <si>
    <t>MONTH(</t>
  </si>
  <si>
    <t>MONTH()</t>
  </si>
  <si>
    <t>C5</t>
  </si>
  <si>
    <t>F6-1 Calendar C6</t>
  </si>
  <si>
    <t>=DAY</t>
  </si>
  <si>
    <t>=DAY(</t>
  </si>
  <si>
    <t>=DAY()</t>
  </si>
  <si>
    <t>DAY(</t>
  </si>
  <si>
    <t>DAY()</t>
  </si>
  <si>
    <t>C6</t>
  </si>
  <si>
    <t>F6-1 Calendar C7</t>
  </si>
  <si>
    <t>=WEEKDAY</t>
  </si>
  <si>
    <t>=WEEKDAY(</t>
  </si>
  <si>
    <t>=WEEKDAY()</t>
  </si>
  <si>
    <t>WEEKDAY(</t>
  </si>
  <si>
    <t>WEEKDAY()</t>
  </si>
  <si>
    <t>C7</t>
  </si>
  <si>
    <t>F6-1 Calendar C8</t>
  </si>
  <si>
    <t>No arguments: =TODAY()</t>
  </si>
  <si>
    <t>C8</t>
  </si>
  <si>
    <t>In D6 return today's date with a formula.</t>
  </si>
  <si>
    <t>▶ ARENA C8 (cell D6)</t>
  </si>
  <si>
    <t>F6-1 Calendar C9</t>
  </si>
  <si>
    <t>=DATE(2026,7,4)</t>
  </si>
  <si>
    <t>C9</t>
  </si>
  <si>
    <t>In D7 build the date 4 July 2026 with DATE.</t>
  </si>
  <si>
    <t>▶ ARENA C9 (cell D7)</t>
  </si>
  <si>
    <t>F6-1 Calendar C10</t>
  </si>
  <si>
    <t>=YEAR(B6)</t>
  </si>
  <si>
    <t>C10</t>
  </si>
  <si>
    <t>In D8 return the year of the date in B6.</t>
  </si>
  <si>
    <t>▶ ARENA C10 (cell D8)</t>
  </si>
  <si>
    <t>F6-1 Calendar C11</t>
  </si>
  <si>
    <t>=MONTH(B6)</t>
  </si>
  <si>
    <t>C11</t>
  </si>
  <si>
    <t>In D9 return the month number of B6.</t>
  </si>
  <si>
    <t>▶ ARENA C11 (cell D9)</t>
  </si>
  <si>
    <t>F6-1 Calendar C12</t>
  </si>
  <si>
    <t>=DAY(B6)</t>
  </si>
  <si>
    <t>C12</t>
  </si>
  <si>
    <t>In D10 return the day of the month of B6.</t>
  </si>
  <si>
    <t>▶ ARENA C12 (cell D10)</t>
  </si>
  <si>
    <t>F6-1 Calendar C13</t>
  </si>
  <si>
    <t>=WEEKDAY(B6)</t>
  </si>
  <si>
    <t>C13</t>
  </si>
  <si>
    <t>In D11 return the weekday number of B6 (Sunday = 1).</t>
  </si>
  <si>
    <t>▶ ARENA C13 (cell D11)</t>
  </si>
  <si>
    <t>STAGE F6-1 ▸ CALENDAR</t>
  </si>
  <si>
    <t>Goal: build dates and take them apart</t>
  </si>
  <si>
    <t>ARENA ▸ F6-2 DATE MATH</t>
  </si>
  <si>
    <t>DATEMATH</t>
  </si>
  <si>
    <t>◀ Back to F6-2 Date Math</t>
  </si>
  <si>
    <t>Dates</t>
  </si>
  <si>
    <t>Start</t>
  </si>
  <si>
    <t>End</t>
  </si>
  <si>
    <t>Birthday</t>
  </si>
  <si>
    <t>On</t>
  </si>
  <si>
    <t>Days from B6 to B7</t>
  </si>
  <si>
    <t>30 days after B6</t>
  </si>
  <si>
    <t>Age in full years (B9 → B10)</t>
  </si>
  <si>
    <t>Full months B6 → B7</t>
  </si>
  <si>
    <r>
      <rPr>
        <b/>
        <sz val="12"/>
        <color rgb="FF1F2328"/>
        <rFont val="Calibri"/>
        <family val="2"/>
        <scheme val="minor"/>
      </rPr>
      <t>Subtract two dates to get the days between them.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Dates are numbers underneath, so plain minus works.</t>
    </r>
  </si>
  <si>
    <t>=end-start</t>
  </si>
  <si>
    <r>
      <rPr>
        <b/>
        <sz val="12"/>
        <color rgb="FF1F2328"/>
        <rFont val="Calibri"/>
        <family val="2"/>
        <scheme val="minor"/>
      </rPr>
      <t>Add a number to a date to move forward that many days.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=B6+30 is 30 days after B6.</t>
    </r>
  </si>
  <si>
    <t>=date+30</t>
  </si>
  <si>
    <r>
      <rPr>
        <b/>
        <sz val="12"/>
        <color rgb="FF1F2328"/>
        <rFont val="Calibri"/>
        <family val="2"/>
        <scheme val="minor"/>
      </rPr>
      <t>DATEDIF(start, end, "Y"/"M"/"D") counts full years, months or days.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Perfect for ages: =DATEDIF(birthday,TODAY(),"Y").</t>
    </r>
  </si>
  <si>
    <t>F6-2 Date Math W1</t>
  </si>
  <si>
    <t>Which function returns today's date?  (from F6-1 Calendar)</t>
  </si>
  <si>
    <t>F6-2 Date Math W2</t>
  </si>
  <si>
    <t>Which function returns the current date and time?  (from F6-1 Calendar)</t>
  </si>
  <si>
    <t>F6-2 Date Math W3</t>
  </si>
  <si>
    <t>Which function builds a date from a year, month and day?  (from F6-1 Calendar)</t>
  </si>
  <si>
    <t>F6-2 Date Math W4</t>
  </si>
  <si>
    <t>Which function returns the year of a date?  (from F6-1 Calendar)</t>
  </si>
  <si>
    <t>F6-2 Date Math W5</t>
  </si>
  <si>
    <t>Which function returns the month number of a date?  (from F6-1 Calendar)</t>
  </si>
  <si>
    <t>F6-2 Date Math W6</t>
  </si>
  <si>
    <t>Which function returns the day of the month?  (from F6-1 Calendar)</t>
  </si>
  <si>
    <t>F6-2 Date Math W7</t>
  </si>
  <si>
    <t>Which function returns the day of the week as a number?  (from F6-1 Calendar)</t>
  </si>
  <si>
    <t>F6-2 Date Math W8</t>
  </si>
  <si>
    <t>It finds things.</t>
  </si>
  <si>
    <t>=FIND</t>
  </si>
  <si>
    <t>=FIND(</t>
  </si>
  <si>
    <t>=FIND()</t>
  </si>
  <si>
    <t>FIND</t>
  </si>
  <si>
    <t>FIND(</t>
  </si>
  <si>
    <t>FIND()</t>
  </si>
  <si>
    <t>Which function returns the position of text, matching case?  (from F5-3 Find the Gem)</t>
  </si>
  <si>
    <t>F6-2 Date Math W9</t>
  </si>
  <si>
    <t>Like FIND, but case-blind.</t>
  </si>
  <si>
    <t>=SEARCH</t>
  </si>
  <si>
    <t>=SEARCH(</t>
  </si>
  <si>
    <t>=SEARCH()</t>
  </si>
  <si>
    <t>SEARCH</t>
  </si>
  <si>
    <t>SEARCH(</t>
  </si>
  <si>
    <t>SEARCH()</t>
  </si>
  <si>
    <t>Which function returns a position while ignoring case?  (from F5-3 Find the Gem)</t>
  </si>
  <si>
    <t>F6-2 Date Math W10</t>
  </si>
  <si>
    <t>The position finder.</t>
  </si>
  <si>
    <t>Which function supplies the cut position inside =LEFT(A2, ____("@",A2)-1)?  (from F5-3 Find the Gem)</t>
  </si>
  <si>
    <t>F6-2 Date Math T1</t>
  </si>
  <si>
    <t>Not hours.</t>
  </si>
  <si>
    <t>return 2+ columns</t>
  </si>
  <si>
    <t>=B2*C2</t>
  </si>
  <si>
    <t>What do you get when you subtract an earlier date from a later one (one word)?</t>
  </si>
  <si>
    <t>F6-2 Date Math T2</t>
  </si>
  <si>
    <t>Plain plus.</t>
  </si>
  <si>
    <t>* and ?</t>
  </si>
  <si>
    <t>Type the formula for the date 30 days after the date in B6.</t>
  </si>
  <si>
    <t>F6-2 Date Math T3</t>
  </si>
  <si>
    <t>DATE plus DIF.</t>
  </si>
  <si>
    <t>Which function counts full years or months between two dates?</t>
  </si>
  <si>
    <t>▶ Open F6-2 Arena (or press Ctrl+PgDn)</t>
  </si>
  <si>
    <t>F6-2 Date Math C1</t>
  </si>
  <si>
    <t>DAYS</t>
  </si>
  <si>
    <t>NUMBEROFDAYS</t>
  </si>
  <si>
    <t>F6-2 Date Math C2</t>
  </si>
  <si>
    <t>30+B6</t>
  </si>
  <si>
    <t>=30+B6</t>
  </si>
  <si>
    <t>=B6+30</t>
  </si>
  <si>
    <t>B6+30</t>
  </si>
  <si>
    <t>F6-2 Date Math C3</t>
  </si>
  <si>
    <t>=DATEDIF</t>
  </si>
  <si>
    <t>=DATEDIF(</t>
  </si>
  <si>
    <t>=DATEDIF()</t>
  </si>
  <si>
    <t>DATEDIF(</t>
  </si>
  <si>
    <t>DATEDIF()</t>
  </si>
  <si>
    <t>F6-2 Date Math C4</t>
  </si>
  <si>
    <t>=B7-B6</t>
  </si>
  <si>
    <t>In D6 count the days from B6 to B7 by subtracting the dates.</t>
  </si>
  <si>
    <t>▶ ARENA C4 (cell D6)</t>
  </si>
  <si>
    <t>F6-2 Date Math C5</t>
  </si>
  <si>
    <t>In D7 return the date 30 days after B6.</t>
  </si>
  <si>
    <t>▶ ARENA C5 (cell D7)</t>
  </si>
  <si>
    <t>F6-2 Date Math C6</t>
  </si>
  <si>
    <t>"Y" = full years.</t>
  </si>
  <si>
    <t>In D8 return the age in full years from the birthday in B9 to the date in B10: =DATEDIF(B9,B10,"Y").</t>
  </si>
  <si>
    <t>▶ ARENA C6 (cell D8)</t>
  </si>
  <si>
    <t>F6-2 Date Math C7</t>
  </si>
  <si>
    <t>"M" = full months.</t>
  </si>
  <si>
    <t>In D9 count the full months from B6 to B7 with DATEDIF and "M".</t>
  </si>
  <si>
    <t>▶ ARENA C7 (cell D9)</t>
  </si>
  <si>
    <t>STAGE F6-2 ▸ DATE MATH</t>
  </si>
  <si>
    <t>Goal: add, subtract and measure dates</t>
  </si>
  <si>
    <t>ARENA ▸ F6-3 DEADLINES</t>
  </si>
  <si>
    <t>DEADLINE</t>
  </si>
  <si>
    <t>◀ Back to F6-3 Deadlines</t>
  </si>
  <si>
    <t>3 months after B6</t>
  </si>
  <si>
    <t>End of B6's month</t>
  </si>
  <si>
    <t>Workdays B6 → B7</t>
  </si>
  <si>
    <t>10 workdays after B6</t>
  </si>
  <si>
    <r>
      <rPr>
        <b/>
        <sz val="12"/>
        <color rgb="FF1F2328"/>
        <rFont val="Calibri"/>
        <family val="2"/>
        <scheme val="minor"/>
      </rPr>
      <t>EDATE(date, months) moves by whole months.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=EDATE(B6,3) is 3 months on.</t>
    </r>
  </si>
  <si>
    <r>
      <rPr>
        <b/>
        <sz val="12"/>
        <color rgb="FF1F2328"/>
        <rFont val="Calibri"/>
        <family val="2"/>
        <scheme val="minor"/>
      </rPr>
      <t>EOMONTH(date, months) returns a month's last day.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=EOMONTH(B6,0) is the end of B6's month.</t>
    </r>
  </si>
  <si>
    <r>
      <rPr>
        <b/>
        <sz val="12"/>
        <color rgb="FF1F2328"/>
        <rFont val="Calibri"/>
        <family val="2"/>
        <scheme val="minor"/>
      </rPr>
      <t>Count the Monday–Friday days between two dates (both included).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Add a holiday list as a third argument.</t>
    </r>
  </si>
  <si>
    <t>NETWORKDAYS</t>
  </si>
  <si>
    <r>
      <rPr>
        <b/>
        <sz val="12"/>
        <color rgb="FF1F2328"/>
        <rFont val="Calibri"/>
        <family val="2"/>
        <scheme val="minor"/>
      </rPr>
      <t>WORKDAY(start, n): the date n working days later.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Skips weekends automatically.</t>
    </r>
  </si>
  <si>
    <t>F6-3 Deadlines W1</t>
  </si>
  <si>
    <t>What do you get when you subtract an earlier date from a later one (one word)?  (from F6-2 Date Math)</t>
  </si>
  <si>
    <t>F6-3 Deadlines W2</t>
  </si>
  <si>
    <t>Type the formula for the date 30 days after the date in B6.  (from F6-2 Date Math)</t>
  </si>
  <si>
    <t>F6-3 Deadlines W3</t>
  </si>
  <si>
    <t>Which function counts full years or months between two dates?  (from F6-2 Date Math)</t>
  </si>
  <si>
    <t>F6-3 Deadlines W4</t>
  </si>
  <si>
    <t>TEXT plus JOIN.</t>
  </si>
  <si>
    <t>=TEXTJOIN</t>
  </si>
  <si>
    <t>=TEXTJOIN(</t>
  </si>
  <si>
    <t>=TEXTJOIN()</t>
  </si>
  <si>
    <t>TEXTJOIN</t>
  </si>
  <si>
    <t>TEXTJOIN(</t>
  </si>
  <si>
    <t>TEXTJOIN()</t>
  </si>
  <si>
    <t>Which function joins a range of text with a delimiter?  (from F5-4 Assemble)</t>
  </si>
  <si>
    <t>F6-3 Deadlines W5</t>
  </si>
  <si>
    <t>=TEXT</t>
  </si>
  <si>
    <t>=TEXT(</t>
  </si>
  <si>
    <t>=TEXT()</t>
  </si>
  <si>
    <t>TEXT</t>
  </si>
  <si>
    <t>TEXT(</t>
  </si>
  <si>
    <t>TEXT()</t>
  </si>
  <si>
    <t>Which function turns a number or date into formatted text?  (from F5-4 Assemble)</t>
  </si>
  <si>
    <t>F6-3 Deadlines W6</t>
  </si>
  <si>
    <t>The opposite of TEXT.</t>
  </si>
  <si>
    <t>=VALUE</t>
  </si>
  <si>
    <t>=VALUE(</t>
  </si>
  <si>
    <t>=VALUE()</t>
  </si>
  <si>
    <t>VALUE</t>
  </si>
  <si>
    <t>VALUE(</t>
  </si>
  <si>
    <t>VALUE()</t>
  </si>
  <si>
    <t>Which function turns text that looks like a number into a number?  (from F5-4 Assemble)</t>
  </si>
  <si>
    <t>F6-3 Deadlines W7</t>
  </si>
  <si>
    <t>Alt, A, S, then D for descending.</t>
  </si>
  <si>
    <t>ALT+A+S+D</t>
  </si>
  <si>
    <t>ALT+A,S,D</t>
  </si>
  <si>
    <t>ALT+A&gt;S&gt;D</t>
  </si>
  <si>
    <t>ALT+ASD</t>
  </si>
  <si>
    <t>ALT,A+S+D</t>
  </si>
  <si>
    <t>ALT,A,S,D</t>
  </si>
  <si>
    <t>ALT,A&gt;S&gt;D</t>
  </si>
  <si>
    <t>ALT,ASD</t>
  </si>
  <si>
    <t>ALT&gt;A+S+D</t>
  </si>
  <si>
    <t>ALT&gt;A,S,D</t>
  </si>
  <si>
    <t>ALT&gt;A&gt;S&gt;D</t>
  </si>
  <si>
    <t>ALT&gt;ASD</t>
  </si>
  <si>
    <t>ALTA+S+D</t>
  </si>
  <si>
    <t>ALTA,S,D</t>
  </si>
  <si>
    <t>ALTA&gt;S&gt;D</t>
  </si>
  <si>
    <t>ALTASD</t>
  </si>
  <si>
    <t>Which KeyTips sort Z to A?  (from S4-4 Data Wrangler)</t>
  </si>
  <si>
    <t>F6-3 Deadlines W8</t>
  </si>
  <si>
    <t>Alt plus F1.</t>
  </si>
  <si>
    <t>ALT+F1</t>
  </si>
  <si>
    <t>Which keys insert an instant chart on the sheet?  (from S4-4 Data Wrangler)</t>
  </si>
  <si>
    <t>F6-3 Deadlines W9</t>
  </si>
  <si>
    <t>X plus LOOKUP.</t>
  </si>
  <si>
    <t>=XLOOKUP</t>
  </si>
  <si>
    <t>=XLOOKUP(</t>
  </si>
  <si>
    <t>=XLOOKUP()</t>
  </si>
  <si>
    <t>XLOOKUP</t>
  </si>
  <si>
    <t>XLOOKUP(</t>
  </si>
  <si>
    <t>XLOOKUP()</t>
  </si>
  <si>
    <t>Which modern function finds a value and returns the matching item from another column?  (from F4-1 Seeker)</t>
  </si>
  <si>
    <t>F6-3 Deadlines W10</t>
  </si>
  <si>
    <t>The F4 symbol.</t>
  </si>
  <si>
    <t>$</t>
  </si>
  <si>
    <t>DOLLAR</t>
  </si>
  <si>
    <t>DOLLARSIGN</t>
  </si>
  <si>
    <t>Which symbol locks a range so it doesn't shift when you fill down?  (from F4-1 Seeker)</t>
  </si>
  <si>
    <t>F6-3 Deadlines T1</t>
  </si>
  <si>
    <t>E plus DATE.</t>
  </si>
  <si>
    <t>Which function moves a date forward or back by whole months?</t>
  </si>
  <si>
    <t>F6-3 Deadlines T2</t>
  </si>
  <si>
    <t>End Of MONTH.</t>
  </si>
  <si>
    <t>Which function returns the last day of a month?</t>
  </si>
  <si>
    <t>F6-3 Deadlines T3</t>
  </si>
  <si>
    <t>NET WORK DAYS.</t>
  </si>
  <si>
    <t>Which function counts the working days between two dates?</t>
  </si>
  <si>
    <t>F6-3 Deadlines T4</t>
  </si>
  <si>
    <t>WORK plus DAY.</t>
  </si>
  <si>
    <t>Which function returns the date a number of working days later?</t>
  </si>
  <si>
    <t>▶ Open F6-3 Arena (or press Ctrl+PgDn)</t>
  </si>
  <si>
    <t>F6-3 Deadlines C1</t>
  </si>
  <si>
    <t>=EDATE</t>
  </si>
  <si>
    <t>=EDATE(</t>
  </si>
  <si>
    <t>=EDATE()</t>
  </si>
  <si>
    <t>EDATE(</t>
  </si>
  <si>
    <t>EDATE()</t>
  </si>
  <si>
    <t>F6-3 Deadlines C2</t>
  </si>
  <si>
    <t>=EOMONTH</t>
  </si>
  <si>
    <t>=EOMONTH(</t>
  </si>
  <si>
    <t>=EOMONTH()</t>
  </si>
  <si>
    <t>EOMONTH(</t>
  </si>
  <si>
    <t>EOMONTH()</t>
  </si>
  <si>
    <t>F6-3 Deadlines C3</t>
  </si>
  <si>
    <t>=NETWORKDAYS</t>
  </si>
  <si>
    <t>=NETWORKDAYS(</t>
  </si>
  <si>
    <t>=NETWORKDAYS()</t>
  </si>
  <si>
    <t>NETWORKDAYS(</t>
  </si>
  <si>
    <t>NETWORKDAYS()</t>
  </si>
  <si>
    <t>F6-3 Deadlines C4</t>
  </si>
  <si>
    <t>=WORKDAY</t>
  </si>
  <si>
    <t>=WORKDAY(</t>
  </si>
  <si>
    <t>=WORKDAY()</t>
  </si>
  <si>
    <t>WORKDAY(</t>
  </si>
  <si>
    <t>WORKDAY()</t>
  </si>
  <si>
    <t>F6-3 Deadlines C5</t>
  </si>
  <si>
    <t>=EDATE(B6,3)</t>
  </si>
  <si>
    <t>In D6 return the date 3 months after B6 with EDATE.</t>
  </si>
  <si>
    <t>▶ ARENA C5 (cell D6)</t>
  </si>
  <si>
    <t>F6-3 Deadlines C6</t>
  </si>
  <si>
    <t>=EOMONTH(B6,0)</t>
  </si>
  <si>
    <t>In D7 return the last day of B6's month with EOMONTH.</t>
  </si>
  <si>
    <t>▶ ARENA C6 (cell D7)</t>
  </si>
  <si>
    <t>F6-3 Deadlines C7</t>
  </si>
  <si>
    <t>=NETWORKDAYS(B6,B7)</t>
  </si>
  <si>
    <t>In D8 count the working days from B6 to B7 with NETWORKDAYS.</t>
  </si>
  <si>
    <t>▶ ARENA C7 (cell D8)</t>
  </si>
  <si>
    <t>F6-3 Deadlines C8</t>
  </si>
  <si>
    <t>=WORKDAY(B6,10)</t>
  </si>
  <si>
    <t>In D9 return the date 10 working days after B6 with WORKDAY.</t>
  </si>
  <si>
    <t>▶ ARENA C8 (cell D9)</t>
  </si>
  <si>
    <t>STAGE F6-3 ▸ DEADLINES</t>
  </si>
  <si>
    <t>Goal: plan with months, month-ends and workdays</t>
  </si>
  <si>
    <t>BOSS ARENA ▸ DATES</t>
  </si>
  <si>
    <t>TIMEKEEPER</t>
  </si>
  <si>
    <t>◀ Back to Boss</t>
  </si>
  <si>
    <t>Hired</t>
  </si>
  <si>
    <t>Days B6 → B7</t>
  </si>
  <si>
    <t>Full years hired (B8 → B6)</t>
  </si>
  <si>
    <t>2 months after B6</t>
  </si>
  <si>
    <t>End of B7's month</t>
  </si>
  <si>
    <t>15 workdays after B6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</si>
  <si>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</si>
  <si>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</si>
  <si>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</si>
  <si>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</si>
  <si>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</si>
  <si>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</si>
  <si>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</si>
  <si>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</si>
  <si>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</si>
  <si>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</si>
  <si>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</si>
  <si>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</si>
  <si>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</si>
  <si>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</si>
  <si>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</si>
  <si>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</si>
  <si>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After lookup, lookup array, return array.</t>
  </si>
  <si>
    <t>4TH</t>
  </si>
  <si>
    <t>FOURTH</t>
  </si>
  <si>
    <t>IF_NOT_FOUND</t>
  </si>
  <si>
    <t>F5</t>
  </si>
  <si>
    <t>Boss F6</t>
  </si>
  <si>
    <t>Count E and F.</t>
  </si>
  <si>
    <t>TWO</t>
  </si>
  <si>
    <t>F6</t>
  </si>
  <si>
    <t>Boss F7</t>
  </si>
  <si>
    <t>V for vertical.</t>
  </si>
  <si>
    <t>=VLOOKUP</t>
  </si>
  <si>
    <t>=VLOOKUP(</t>
  </si>
  <si>
    <t>=VLOOKUP()</t>
  </si>
  <si>
    <t>VLOOKUP</t>
  </si>
  <si>
    <t>VLOOKUP(</t>
  </si>
  <si>
    <t>VLOOKUP()</t>
  </si>
  <si>
    <t>F7</t>
  </si>
  <si>
    <t>Boss F8</t>
  </si>
  <si>
    <t>The opposite of TRUE.</t>
  </si>
  <si>
    <t>0</t>
  </si>
  <si>
    <t>FALSE</t>
  </si>
  <si>
    <t>F8</t>
  </si>
  <si>
    <t>BOSS MISSIONS</t>
  </si>
  <si>
    <t>▶ Open Boss Arena (or press Ctrl+PgDn)</t>
  </si>
  <si>
    <t>Boss B1</t>
  </si>
  <si>
    <t>YEAR.</t>
  </si>
  <si>
    <t>B1</t>
  </si>
  <si>
    <t>▶ ARENA B1 (cell D6)</t>
  </si>
  <si>
    <t>Boss B2</t>
  </si>
  <si>
    <t>WEEKDAY.</t>
  </si>
  <si>
    <t>B2</t>
  </si>
  <si>
    <t>▶ ARENA B2 (cell D7)</t>
  </si>
  <si>
    <t>Boss B3</t>
  </si>
  <si>
    <t>Subtract.</t>
  </si>
  <si>
    <t>B3</t>
  </si>
  <si>
    <t>▶ ARENA B3 (cell D8)</t>
  </si>
  <si>
    <t>Boss B4</t>
  </si>
  <si>
    <t>"Y".</t>
  </si>
  <si>
    <t>B4</t>
  </si>
  <si>
    <t>▶ ARENA B4 (cell D9)</t>
  </si>
  <si>
    <t>Boss B5</t>
  </si>
  <si>
    <t>EDATE.</t>
  </si>
  <si>
    <t>B5</t>
  </si>
  <si>
    <t>▶ ARENA B5 (cell D10)</t>
  </si>
  <si>
    <t>Boss B6</t>
  </si>
  <si>
    <t>EOMONTH.</t>
  </si>
  <si>
    <t>B6</t>
  </si>
  <si>
    <t>▶ ARENA B6 (cell D11)</t>
  </si>
  <si>
    <t>Boss B7</t>
  </si>
  <si>
    <t>NETWORKDAYS.</t>
  </si>
  <si>
    <t>B7</t>
  </si>
  <si>
    <t>▶ ARENA B7 (cell D12)</t>
  </si>
  <si>
    <t>Boss B8</t>
  </si>
  <si>
    <t>WORKDAY.</t>
  </si>
  <si>
    <t>B8</t>
  </si>
  <si>
    <t>▶ ARENA B8 (cell D13)</t>
  </si>
  <si>
    <t>BOSS ▸ DATES</t>
  </si>
  <si>
    <t>Every move from this world in one gauntlet. Clear it under par for rank S.</t>
  </si>
  <si>
    <t>FORMULAS 6 ▸ DATES</t>
  </si>
  <si>
    <t>Build, split and shift dates; count days and workdays.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</si>
  <si>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</si>
  <si>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</si>
  <si>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</si>
  <si>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</si>
  <si>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</si>
  <si>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</si>
  <si>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</si>
  <si>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</si>
  <si>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</si>
  <si>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</si>
  <si>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</si>
  <si>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</si>
  <si>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</si>
  <si>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F6-1</t>
  </si>
  <si>
    <t>Calendar</t>
  </si>
  <si>
    <t>Go to F6-1 Calendar</t>
  </si>
  <si>
    <t>F6-2</t>
  </si>
  <si>
    <t>Date Math</t>
  </si>
  <si>
    <t>Go to F6-2 Date Math</t>
  </si>
  <si>
    <t>F6-3</t>
  </si>
  <si>
    <t>Deadlines</t>
  </si>
  <si>
    <t>Go to F6-3 Deadlines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</si>
  <si>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</si>
  <si>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</si>
  <si>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</si>
  <si>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</si>
  <si>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</si>
  <si>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</si>
  <si>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</si>
  <si>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</si>
  <si>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</si>
  <si>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DATES</t>
  </si>
  <si>
    <t>Every move from this world on one page. Keep it open while you play, or print it (Ctrl+P).</t>
  </si>
  <si>
    <t>What it does</t>
  </si>
  <si>
    <t>Pro tip</t>
  </si>
  <si>
    <t>=TODAY() is today's date; it updates every day.</t>
  </si>
  <si>
    <t>Use Ctrl+; instead when the date must never change.</t>
  </si>
  <si>
    <t>=NOW() is today's date AND the current time.</t>
  </si>
  <si>
    <t>It updates on every recalc.</t>
  </si>
  <si>
    <t>DATE(year, month, day) builds a real date.</t>
  </si>
  <si>
    <t>=DATE(2026,7,4) is 4 July 2026.</t>
  </si>
  <si>
    <t>YEAR(date) returns the year number.</t>
  </si>
  <si>
    <t>=YEAR(B6) gives 2026.</t>
  </si>
  <si>
    <t>MONTH(date) returns 1 to 12.</t>
  </si>
  <si>
    <t>=MONTH(B6) gives 3 for March.</t>
  </si>
  <si>
    <t>DAY(date) returns the day of the month, 1 to 31.</t>
  </si>
  <si>
    <t>=DAY(B6) gives 15.</t>
  </si>
  <si>
    <t>WEEKDAY(date) returns 1 (Sunday) to 7 (Saturday).</t>
  </si>
  <si>
    <t>WEEKDAY(date,2) counts Monday as 1 instead.</t>
  </si>
  <si>
    <t>Subtract two dates to get the days between them.</t>
  </si>
  <si>
    <t>Dates are numbers underneath, so plain minus works.</t>
  </si>
  <si>
    <t>Add a number to a date to move forward that many days.</t>
  </si>
  <si>
    <t>=B6+30 is 30 days after B6.</t>
  </si>
  <si>
    <t>DATEDIF(start, end, "Y"/"M"/"D") counts full years, months or days.</t>
  </si>
  <si>
    <t>Perfect for ages: =DATEDIF(birthday,TODAY(),"Y").</t>
  </si>
  <si>
    <t>EDATE(date, months) moves by whole months.</t>
  </si>
  <si>
    <t>=EDATE(B6,3) is 3 months on.</t>
  </si>
  <si>
    <t>EOMONTH(date, months) returns a month's last day.</t>
  </si>
  <si>
    <t>=EOMONTH(B6,0) is the end of B6's month.</t>
  </si>
  <si>
    <t>Count the Monday–Friday days between two dates (both included).</t>
  </si>
  <si>
    <t>Add a holiday list as a third argument.</t>
  </si>
  <si>
    <t>WORKDAY(start, n): the date n working days later.</t>
  </si>
  <si>
    <t>Skips weekends automatically.</t>
  </si>
</sst>
</file>

<file path=xl/styles.xml><?xml version="1.0" encoding="utf-8"?>
<styleSheet xmlns="http://schemas.openxmlformats.org/spreadsheetml/2006/main">
  <numFmts count="4">
    <numFmt numFmtId="164" formatCode="@"/>
    <numFmt numFmtId="165" formatCode="d-mmm-yyyy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5" fillId="0" borderId="0" xfId="0" applyNumberFormat="1" applyFont="1" applyAlignment="1">
      <alignment vertical="top"/>
    </xf>
    <xf numFmtId="165" fontId="16" fillId="5" borderId="1" xfId="0" applyNumberFormat="1" applyFont="1" applyFill="1" applyBorder="1" applyAlignment="1" applyProtection="1">
      <alignment vertical="top"/>
      <protection locked="0"/>
    </xf>
    <xf numFmtId="0" fontId="16" fillId="5" borderId="1" xfId="0" applyFont="1" applyFill="1" applyBorder="1" applyAlignment="1" applyProtection="1">
      <alignment vertical="top"/>
      <protection locked="0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3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570</v>
      </c>
      <c r="B1" s="2"/>
      <c r="C1" s="2"/>
      <c r="D1" s="2"/>
      <c r="E1" s="2"/>
      <c r="F1" s="2"/>
    </row>
    <row r="2" spans="1:6">
      <c r="A2" s="3" t="s">
        <v>571</v>
      </c>
    </row>
    <row r="4" spans="1:6">
      <c r="A4" s="4" t="s">
        <v>572</v>
      </c>
      <c r="B4" s="4"/>
      <c r="C4" s="4"/>
      <c r="D4" s="4"/>
      <c r="E4" s="4"/>
      <c r="F4" s="4"/>
    </row>
    <row r="5" spans="1:6">
      <c r="A5" s="5" t="s">
        <v>573</v>
      </c>
    </row>
    <row r="6" spans="1:6">
      <c r="A6" s="5" t="s">
        <v>574</v>
      </c>
    </row>
    <row r="7" spans="1:6">
      <c r="A7" s="5" t="s">
        <v>575</v>
      </c>
    </row>
    <row r="8" spans="1:6">
      <c r="A8" s="5" t="s">
        <v>576</v>
      </c>
    </row>
    <row r="9" spans="1:6">
      <c r="A9" s="5" t="s">
        <v>577</v>
      </c>
    </row>
    <row r="11" spans="1:6">
      <c r="A11" s="4" t="s">
        <v>578</v>
      </c>
      <c r="B11" s="4"/>
      <c r="C11" s="4"/>
      <c r="D11" s="4"/>
      <c r="E11" s="4"/>
      <c r="F11" s="4"/>
    </row>
    <row r="12" spans="1:6">
      <c r="A12" s="6" t="s">
        <v>579</v>
      </c>
      <c r="B12" s="6" t="s">
        <v>580</v>
      </c>
      <c r="C12" s="6" t="s">
        <v>581</v>
      </c>
      <c r="D12" s="6" t="s">
        <v>582</v>
      </c>
      <c r="E12" s="6" t="s">
        <v>583</v>
      </c>
      <c r="F12" s="6" t="s">
        <v>584</v>
      </c>
    </row>
    <row r="13" spans="1:6">
      <c r="A13" s="7" t="s">
        <v>585</v>
      </c>
      <c r="B13" s="8" t="s">
        <v>586</v>
      </c>
      <c r="C13" s="9" cm="1" t="str">
        <f t="array" ref="C13">SUM('F6-1 Calendar'!$G$17:$G$53)&amp;" / 300"</f>
        <v>0 / 300</v>
      </c>
      <c r="D13" s="10" cm="1" t="str">
        <f t="array" ref="D13">IF(SUM('F6-1 Calendar'!$G$17:$G$53)&gt;=300,"★★★",IF(SUM('F6-1 Calendar'!$G$17:$G$53)&gt;=300*0.8,"★★☆",IF(SUM('F6-1 Calendar'!$G$17:$G$53)&gt;=300*0.5,"★☆☆","☆☆☆")))</f>
        <v>☆☆☆</v>
      </c>
      <c r="E13" s="9" cm="1" t="str">
        <f t="array" ref="E13">IF(SUM('F6-1 Calendar'!$G$17:$G$53)&gt;=300,"PERFECT",IF(SUM('F6-1 Calendar'!$G$17:$G$53)&gt;=300*0.5,"CLEARED",IF(SUM('F6-1 Calendar'!$G$17:$G$53)&gt;0,"IN PROGRESS","NEW")))</f>
        <v>NEW</v>
      </c>
      <c r="F13" s="11" t="s">
        <v>587</v>
      </c>
    </row>
    <row r="14" spans="1:6">
      <c r="A14" s="7" t="s">
        <v>588</v>
      </c>
      <c r="B14" s="8" t="s">
        <v>589</v>
      </c>
      <c r="C14" s="9" cm="1" t="str">
        <f t="array" ref="C14">SUM('F6-2 Date Math'!$G$13:$G$39)&amp;" / 200"</f>
        <v>0 / 200</v>
      </c>
      <c r="D14" s="10" cm="1" t="str">
        <f t="array" ref="D14">IF(SUM('F6-2 Date Math'!$G$13:$G$39)&gt;=200,"★★★",IF(SUM('F6-2 Date Math'!$G$13:$G$39)&gt;=200*0.8,"★★☆",IF(SUM('F6-2 Date Math'!$G$13:$G$39)&gt;=200*0.5,"★☆☆","☆☆☆")))</f>
        <v>☆☆☆</v>
      </c>
      <c r="E14" s="9" cm="1" t="str">
        <f t="array" ref="E14">IF(SUM('F6-2 Date Math'!$G$13:$G$39)&gt;=200,"PERFECT",IF(SUM('F6-2 Date Math'!$G$13:$G$39)&gt;=200*0.5,"CLEARED",IF(SUM('F6-2 Date Math'!$G$13:$G$39)&gt;0,"IN PROGRESS","NEW")))</f>
        <v>NEW</v>
      </c>
      <c r="F14" s="11" t="s">
        <v>590</v>
      </c>
    </row>
    <row r="15" spans="1:6">
      <c r="A15" s="7" t="s">
        <v>591</v>
      </c>
      <c r="B15" s="8" t="s">
        <v>592</v>
      </c>
      <c r="C15" s="9" cm="1" t="str">
        <f t="array" ref="C15">SUM('F6-3 Deadlines'!$G$14:$G$42)&amp;" / 220"</f>
        <v>0 / 220</v>
      </c>
      <c r="D15" s="10" cm="1" t="str">
        <f t="array" ref="D15">IF(SUM('F6-3 Deadlines'!$G$14:$G$42)&gt;=220,"★★★",IF(SUM('F6-3 Deadlines'!$G$14:$G$42)&gt;=220*0.8,"★★☆",IF(SUM('F6-3 Deadlines'!$G$14:$G$42)&gt;=220*0.5,"★☆☆","☆☆☆")))</f>
        <v>☆☆☆</v>
      </c>
      <c r="E15" s="9" cm="1" t="str">
        <f t="array" ref="E15">IF(SUM('F6-3 Deadlines'!$G$14:$G$42)&gt;=220,"PERFECT",IF(SUM('F6-3 Deadlines'!$G$14:$G$42)&gt;=220*0.5,"CLEARED",IF(SUM('F6-3 Deadlines'!$G$14:$G$42)&gt;0,"IN PROGRESS","NEW")))</f>
        <v>NEW</v>
      </c>
      <c r="F15" s="11" t="s">
        <v>593</v>
      </c>
    </row>
    <row r="16" spans="1:6">
      <c r="A16" s="7" t="s">
        <v>594</v>
      </c>
      <c r="B16" s="8" t="s">
        <v>595</v>
      </c>
      <c r="C16" s="9" cm="1" t="str">
        <f t="array" ref="C16">SUM(Boss!$G$14:$G$33)&amp;" / 160"</f>
        <v>0 / 160</v>
      </c>
      <c r="D16" s="10" cm="1" t="str">
        <f t="array" ref="D16">IF(SUM(Boss!$G$14:$G$33)&gt;=160,"★★★",IF(SUM(Boss!$G$14:$G$33)&gt;=160*0.8,"★★☆",IF(SUM(Boss!$G$14:$G$33)&gt;=160*0.5,"★☆☆","☆☆☆")))</f>
        <v>☆☆☆</v>
      </c>
      <c r="E16" s="9" cm="1" t="str">
        <f t="array" ref="E16">IF(Boss!$C$10="OPEN",IF(SUM(Boss!$G$14:$G$33)&gt;=160*0.5,"DEFEATED","OPEN"),"LOCKED")</f>
        <v>LOCKED</v>
      </c>
      <c r="F16" s="11" t="s">
        <v>596</v>
      </c>
    </row>
    <row r="18" spans="1:3">
      <c r="A18" s="7" t="s">
        <v>597</v>
      </c>
      <c r="B18" s="12" cm="1" t="str">
        <f t="array" ref="B18">(SUM('F6-1 Calendar'!$G$17:$G$53)+SUM('F6-2 Date Math'!$G$13:$G$39)+SUM('F6-3 Deadlines'!$G$14:$G$42)+SUM(Boss!$G$14:$G$33))&amp;" / 880"</f>
        <v>0 / 880</v>
      </c>
    </row>
    <row r="19" spans="1:3">
      <c r="A19" s="7" t="s">
        <v>598</v>
      </c>
      <c r="B19" s="12" cm="1" t="str">
        <f t="array" ref="B19">_xlfn.LET(_xlpm.p,(SUM('F6-1 Calendar'!$G$17:$G$53)+SUM('F6-2 Date Math'!$G$13:$G$39)+SUM('F6-3 Deadlines'!$G$14:$G$42)+SUM(Boss!$G$14:$G$33))/880,IF(AND(_xlpm.p&gt;=1,ISNUMBER(Boss!$C$8),Boss!$C$8&lt;=12),"S",IF(_xlpm.p&gt;=0.9,"A",IF(_xlpm.p&gt;=0.75,"B",IF(_xlpm.p&gt;=0.5,"C","D")))))</f>
        <v>D</v>
      </c>
      <c r="C19" s="13" t="s">
        <v>599</v>
      </c>
    </row>
    <row r="20" spans="1:3">
      <c r="A20" s="7" t="s">
        <v>600</v>
      </c>
      <c r="B20" s="12" cm="1" t="str">
        <f t="array" ref="B20">IF(ISNUMBER(Boss!$C$8),Boss!$C$8&amp;" min (par 12)","—")</f>
        <v>—</v>
      </c>
    </row>
    <row r="21" spans="1:3">
      <c r="A21" s="7" t="s">
        <v>601</v>
      </c>
      <c r="B21" s="12" cm="1" t="str">
        <f t="array" ref="B21">IFERROR(INDEX($A$13:$A$15,MATCH("☆☆☆",$D$13:$D$15,0))&amp;" "&amp;INDEX($B$13:$B$15,MATCH("☆☆☆",$D$13:$D$15,0)),IF(Boss!$C$10="OPEN","the Boss","All clear! Aim for rank S"))</f>
        <v>F6-1 Calendar</v>
      </c>
    </row>
    <row r="23" spans="1:3">
      <c r="A23" s="13" t="s">
        <v>602</v>
      </c>
    </row>
  </sheetData>
  <sheetProtection sheet="1" objects="1" scenarios="1" formatColumns="0" formatRows="0"/>
  <hyperlinks>
    <hyperlink ref="F13" location="'F6-1 Calendar'!A1" display="Go to F6-1 Calendar"/>
    <hyperlink ref="F14" location="'F6-2 Date Math'!A1" display="Go to F6-2 Date Math"/>
    <hyperlink ref="F15" location="'F6-3 Deadlines'!A1" display="Go to F6-3 Deadlines"/>
    <hyperlink ref="F16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5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251</v>
      </c>
      <c r="B1" s="2"/>
      <c r="C1" s="2"/>
      <c r="D1" s="2"/>
      <c r="E1" s="2"/>
      <c r="F1" s="2"/>
      <c r="G1" s="2"/>
    </row>
    <row r="2" spans="1:7">
      <c r="A2" s="3" t="s">
        <v>252</v>
      </c>
    </row>
    <row r="3" spans="1:7" ht="26" customHeight="1">
      <c r="A3" s="14" cm="1" t="str">
        <f t="array" ref="A3">"SCORE "&amp;TEXT(SUM($G$17:$G$53),"0000")&amp;" / 0300"</f>
        <v>SCORE 0000 / 0300</v>
      </c>
      <c r="C3" s="15" cm="1" t="str">
        <f t="array" ref="C3">IF(SUM($G$17:$G$53)&gt;=300,"★★★",IF(SUM($G$17:$G$53)&gt;=300*0.8,"★★☆",IF(SUM($G$17:$G$53)&gt;=300*0.5,"★☆☆","☆☆☆")))</f>
        <v>☆☆☆</v>
      </c>
      <c r="D3" s="16" cm="1" t="str">
        <f t="array" ref="D3">REPT("█",ROUND(10*SUM($G$17:$G$53)/300,0))&amp;REPT("░",10-ROUND(10*SUM($G$17:$G$53)/300,0))&amp;"  "&amp;TEXT(SUM($G$17:$G$53)/300,"0%")</f>
        <v>░░░░░░░░░░  0%</v>
      </c>
      <c r="F3" s="17" cm="1" t="str">
        <f t="array" ref="F3">IF(SUM($G$17:$G$53)&gt;=300*0.5,"STAGE CLEAR! ▶ Next: F6-2 Date Math","")</f>
        <v/>
      </c>
    </row>
    <row r="5" spans="1:7" ht="22" customHeight="1">
      <c r="A5" s="4" t="s">
        <v>17</v>
      </c>
      <c r="B5" s="4"/>
      <c r="C5" s="4"/>
      <c r="D5" s="4"/>
      <c r="E5" s="4"/>
      <c r="F5" s="4"/>
      <c r="G5" s="4"/>
    </row>
    <row r="6" spans="1:7">
      <c r="A6" s="6" t="s">
        <v>18</v>
      </c>
      <c r="B6" s="6" t="s">
        <v>19</v>
      </c>
      <c r="C6" s="6" t="s">
        <v>20</v>
      </c>
      <c r="D6" s="6"/>
      <c r="E6" s="6"/>
      <c r="F6" s="6"/>
      <c r="G6" s="6"/>
    </row>
    <row r="7" spans="1:7" ht="51.25" customHeight="1">
      <c r="A7" s="18" t="s">
        <v>21</v>
      </c>
      <c r="B7" s="8" t="s">
        <v>22</v>
      </c>
      <c r="C7" s="19" t="s">
        <v>23</v>
      </c>
    </row>
    <row r="8" spans="1:7" ht="35.5" customHeight="1">
      <c r="A8" s="18" t="s">
        <v>24</v>
      </c>
      <c r="B8" s="8" t="s">
        <v>25</v>
      </c>
      <c r="C8" s="19" t="s">
        <v>26</v>
      </c>
    </row>
    <row r="9" spans="1:7" ht="35.5" customHeight="1">
      <c r="A9" s="18" t="s">
        <v>27</v>
      </c>
      <c r="B9" s="8" t="s">
        <v>28</v>
      </c>
      <c r="C9" s="19" t="s">
        <v>29</v>
      </c>
    </row>
    <row r="10" spans="1:7" ht="35.5" customHeight="1">
      <c r="A10" s="18" t="s">
        <v>30</v>
      </c>
      <c r="B10" s="8" t="s">
        <v>31</v>
      </c>
      <c r="C10" s="19" t="s">
        <v>32</v>
      </c>
    </row>
    <row r="11" spans="1:7" ht="35.5" customHeight="1">
      <c r="A11" s="18" t="s">
        <v>33</v>
      </c>
      <c r="B11" s="8" t="s">
        <v>34</v>
      </c>
      <c r="C11" s="19" t="s">
        <v>35</v>
      </c>
    </row>
    <row r="12" spans="1:7" ht="51.25" customHeight="1">
      <c r="A12" s="18" t="s">
        <v>36</v>
      </c>
      <c r="B12" s="8" t="s">
        <v>37</v>
      </c>
      <c r="C12" s="19" t="s">
        <v>38</v>
      </c>
    </row>
    <row r="13" spans="1:7" ht="67" customHeight="1">
      <c r="A13" s="18" t="s">
        <v>39</v>
      </c>
      <c r="B13" s="8" t="s">
        <v>40</v>
      </c>
      <c r="C13" s="19" t="s">
        <v>41</v>
      </c>
    </row>
    <row r="15" spans="1:7" ht="22" customHeight="1">
      <c r="A15" s="4" t="s">
        <v>42</v>
      </c>
      <c r="B15" s="4"/>
      <c r="C15" s="4"/>
      <c r="D15" s="4"/>
      <c r="E15" s="4"/>
      <c r="F15" s="4"/>
      <c r="G15" s="4"/>
    </row>
    <row r="16" spans="1:7">
      <c r="A16" s="6" t="s">
        <v>18</v>
      </c>
      <c r="B16" s="6" t="s">
        <v>43</v>
      </c>
      <c r="C16" s="6" t="s">
        <v>44</v>
      </c>
      <c r="D16" s="6" t="s">
        <v>45</v>
      </c>
      <c r="E16" s="6" t="s">
        <v>46</v>
      </c>
      <c r="F16" s="6" t="s">
        <v>1</v>
      </c>
      <c r="G16" s="6" t="s">
        <v>47</v>
      </c>
    </row>
    <row r="17" spans="1:7" ht="35.5" customHeight="1">
      <c r="A17" s="18" t="s">
        <v>56</v>
      </c>
      <c r="B17" s="8" t="s">
        <v>57</v>
      </c>
      <c r="C17" s="20"/>
      <c r="D17" s="21" cm="1" t="str">
        <f t="array" ref="D17">IFERROR(_xlfn.LET(_xlpm.a,'F6-1 Calenda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7" s="22"/>
      <c r="F17" s="23" cm="1" t="str">
        <f t="array" ref="F17">IF(E17="Show hint",Key!$B$2,"")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66</v>
      </c>
      <c r="B18" s="8" t="s">
        <v>67</v>
      </c>
      <c r="C18" s="20"/>
      <c r="D18" s="21" cm="1" t="str">
        <f t="array" ref="D18">IFERROR(_xlfn.LET(_xlpm.a,'F6-1 Calenda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J$3),"✔ CLEAR","✘ TRY AGAIN"))),"✘ TRY AGAIN")</f>
        <v/>
      </c>
      <c r="E18" s="22"/>
      <c r="F18" s="23" cm="1" t="str">
        <f t="array" ref="F18">IF(E18="Show hint",Key!$B$3,"")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76</v>
      </c>
      <c r="B19" s="8" t="s">
        <v>77</v>
      </c>
      <c r="C19" s="20"/>
      <c r="D19" s="21" cm="1" t="str">
        <f t="array" ref="D19">IFERROR(_xlfn.LET(_xlpm.a,'F6-1 Calenda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J$4),"✔ CLEAR","✘ TRY AGAIN"))),"✘ TRY AGAIN")</f>
        <v/>
      </c>
      <c r="E19" s="22"/>
      <c r="F19" s="23" cm="1" t="str">
        <f t="array" ref="F19">IF(E19="Show hint",Key!$B$4,"")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86</v>
      </c>
      <c r="B20" s="8" t="s">
        <v>87</v>
      </c>
      <c r="C20" s="20"/>
      <c r="D20" s="21" cm="1" t="str">
        <f t="array" ref="D20">IFERROR(_xlfn.LET(_xlpm.a,'F6-1 Calenda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J$5),"✔ CLEAR","✘ TRY AGAIN"))),"✘ TRY AGAIN")</f>
        <v/>
      </c>
      <c r="E20" s="22"/>
      <c r="F20" s="23" cm="1" t="str">
        <f t="array" ref="F20">IF(E20="Show hint",Key!$B$5,"")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96</v>
      </c>
      <c r="B21" s="8" t="s">
        <v>97</v>
      </c>
      <c r="C21" s="20"/>
      <c r="D21" s="21" cm="1" t="str">
        <f t="array" ref="D21">IFERROR(_xlfn.LET(_xlpm.a,'F6-1 Calenda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J$6),"✔ CLEAR","✘ TRY AGAIN"))),"✘ TRY AGAIN")</f>
        <v/>
      </c>
      <c r="E21" s="22"/>
      <c r="F21" s="23" cm="1" t="str">
        <f t="array" ref="F21">IF(E21="Show hint",Key!$B$6,"")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101</v>
      </c>
      <c r="B22" s="8" t="s">
        <v>102</v>
      </c>
      <c r="C22" s="20"/>
      <c r="D22" s="21" cm="1" t="str">
        <f t="array" ref="D22">IFERROR(_xlfn.LET(_xlpm.a,'F6-1 Calenda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22" s="22"/>
      <c r="F22" s="23" cm="1" t="str">
        <f t="array" ref="F22">IF(E22="Show hint",Key!$B$7,"")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107</v>
      </c>
      <c r="B23" s="8" t="s">
        <v>108</v>
      </c>
      <c r="C23" s="20"/>
      <c r="D23" s="21" cm="1" t="str">
        <f t="array" ref="D23">IFERROR(_xlfn.LET(_xlpm.a,'F6-1 Calendar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F$8),"✔ CLEAR","✘ TRY AGAIN"))),"✘ TRY AGAIN")</f>
        <v/>
      </c>
      <c r="E23" s="22"/>
      <c r="F23" s="23" cm="1" t="str">
        <f t="array" ref="F23">IF(E23="Show hint",Key!$B$8,"")</f>
        <v/>
      </c>
      <c r="G23" s="24" cm="1">
        <f t="array" ref="G23">IF(LEFT(D23,1)="✔",IF(E23="Show hint",5,10),0)</f>
        <v>0</v>
      </c>
    </row>
    <row r="24" spans="1:7" ht="35.5" customHeight="1">
      <c r="A24" s="18" t="s">
        <v>112</v>
      </c>
      <c r="B24" s="8" t="s">
        <v>113</v>
      </c>
      <c r="C24" s="20"/>
      <c r="D24" s="21" cm="1" t="str">
        <f t="array" ref="D24">IFERROR(_xlfn.LET(_xlpm.a,'F6-1 Calendar'!$C$24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4" s="22"/>
      <c r="F24" s="23" cm="1" t="str">
        <f t="array" ref="F24">IF(E24="Show hint",Key!$B$9,"")</f>
        <v/>
      </c>
      <c r="G24" s="24" cm="1">
        <f t="array" ref="G24">IF(LEFT(D24,1)="✔",IF(E24="Show hint",5,10),0)</f>
        <v>0</v>
      </c>
    </row>
    <row r="25" spans="1:7" ht="35.5" customHeight="1">
      <c r="A25" s="18" t="s">
        <v>118</v>
      </c>
      <c r="B25" s="8" t="s">
        <v>119</v>
      </c>
      <c r="C25" s="20"/>
      <c r="D25" s="21" cm="1" t="str">
        <f t="array" ref="D25">IFERROR(_xlfn.LET(_xlpm.a,'F6-1 Calendar'!$C$25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F$10),"✔ CLEAR","✘ TRY AGAIN"))),"✘ TRY AGAIN")</f>
        <v/>
      </c>
      <c r="E25" s="22"/>
      <c r="F25" s="23" cm="1" t="str">
        <f t="array" ref="F25">IF(E25="Show hint",Key!$B$10,"")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138</v>
      </c>
      <c r="B26" s="8" t="s">
        <v>139</v>
      </c>
      <c r="C26" s="20"/>
      <c r="D26" s="21" cm="1" t="str">
        <f t="array" ref="D26">IFERROR(_xlfn.LET(_xlpm.a,'F6-1 Calendar'!$C$26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T$11),"✔ CLEAR","✘ TRY AGAIN"))),"✘ TRY AGAIN")</f>
        <v/>
      </c>
      <c r="E26" s="22"/>
      <c r="F26" s="23" cm="1" t="str">
        <f t="array" ref="F26">IF(E26="Show hint",Key!$B$11,"")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140</v>
      </c>
      <c r="B28" s="4"/>
      <c r="C28" s="4"/>
      <c r="D28" s="4"/>
      <c r="E28" s="4"/>
      <c r="F28" s="4"/>
      <c r="G28" s="4"/>
    </row>
    <row r="29" spans="1:7">
      <c r="A29" s="6" t="s">
        <v>18</v>
      </c>
      <c r="B29" s="6" t="s">
        <v>43</v>
      </c>
      <c r="C29" s="6" t="s">
        <v>44</v>
      </c>
      <c r="D29" s="6" t="s">
        <v>45</v>
      </c>
      <c r="E29" s="6" t="s">
        <v>46</v>
      </c>
      <c r="F29" s="6" t="s">
        <v>1</v>
      </c>
      <c r="G29" s="6" t="s">
        <v>47</v>
      </c>
    </row>
    <row r="30" spans="1:7" ht="19.75" customHeight="1">
      <c r="A30" s="18" t="s">
        <v>144</v>
      </c>
      <c r="B30" s="8" t="s">
        <v>145</v>
      </c>
      <c r="C30" s="20"/>
      <c r="D30" s="21" cm="1" t="str">
        <f t="array" ref="D30">IFERROR(IF('F6-1 Calendar'!$C$30&amp;""="","",IF('F6-1 Calendar'!$C$30&amp;""=Key!$C$12&amp;"","✔ CLEAR","✘ TRY AGAIN")),"✘ TRY AGAIN")</f>
        <v/>
      </c>
      <c r="E30" s="22"/>
      <c r="F30" s="23" cm="1" t="str">
        <f t="array" ref="F30">IF(E30="Show hint",Key!$B$12,"")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149</v>
      </c>
      <c r="B31" s="8" t="s">
        <v>150</v>
      </c>
      <c r="C31" s="20"/>
      <c r="D31" s="21" cm="1" t="str">
        <f t="array" ref="D31">IFERROR(IF('F6-1 Calendar'!$C$31&amp;""="","",IF('F6-1 Calendar'!$C$31&amp;""=Key!$C$13&amp;"","✔ CLEAR","✘ TRY AGAIN")),"✘ TRY AGAIN")</f>
        <v/>
      </c>
      <c r="E31" s="22"/>
      <c r="F31" s="23" cm="1" t="str">
        <f t="array" ref="F31">IF(E31="Show hint",Key!$B$13,"")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153</v>
      </c>
      <c r="B32" s="8" t="s">
        <v>154</v>
      </c>
      <c r="C32" s="20"/>
      <c r="D32" s="21" cm="1" t="str">
        <f t="array" ref="D32">IFERROR(IF('F6-1 Calendar'!$C$32&amp;""="","",IF('F6-1 Calendar'!$C$32&amp;""=Key!$C$14&amp;"","✔ CLEAR","✘ TRY AGAIN")),"✘ TRY AGAIN")</f>
        <v/>
      </c>
      <c r="E32" s="22"/>
      <c r="F32" s="23" cm="1" t="str">
        <f t="array" ref="F32">IF(E32="Show hint",Key!$B$14,"")</f>
        <v/>
      </c>
      <c r="G32" s="24" cm="1">
        <f t="array" ref="G32">IF(LEFT(D32,1)="✔",IF(E32="Show hint",5,10),0)</f>
        <v>0</v>
      </c>
    </row>
    <row r="33" spans="1:7" ht="19.75" customHeight="1">
      <c r="A33" s="18" t="s">
        <v>158</v>
      </c>
      <c r="B33" s="8" t="s">
        <v>159</v>
      </c>
      <c r="C33" s="20"/>
      <c r="D33" s="21" cm="1" t="str">
        <f t="array" ref="D33">IFERROR(IF('F6-1 Calendar'!$C$33&amp;""="","",IF('F6-1 Calendar'!$C$33&amp;""=Key!$C$15&amp;"","✔ CLEAR","✘ TRY AGAIN")),"✘ TRY AGAIN")</f>
        <v/>
      </c>
      <c r="E33" s="22"/>
      <c r="F33" s="23" cm="1" t="str">
        <f t="array" ref="F33">IF(E33="Show hint",Key!$B$15,"")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161</v>
      </c>
      <c r="B34" s="8" t="s">
        <v>162</v>
      </c>
      <c r="C34" s="20"/>
      <c r="D34" s="21" cm="1" t="str">
        <f t="array" ref="D34">IFERROR(IF('F6-1 Calendar'!$C$34&amp;""="","",IF('F6-1 Calendar'!$C$34&amp;""=Key!$C$16&amp;"","✔ CLEAR","✘ TRY AGAIN")),"✘ TRY AGAIN")</f>
        <v/>
      </c>
      <c r="E34" s="22"/>
      <c r="F34" s="23" cm="1" t="str">
        <f t="array" ref="F34">IF(E34="Show hint",Key!$B$16,"")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164</v>
      </c>
      <c r="B35" s="8" t="s">
        <v>165</v>
      </c>
      <c r="C35" s="20"/>
      <c r="D35" s="21" cm="1" t="str">
        <f t="array" ref="D35">IFERROR(IF('F6-1 Calendar'!$C$35&amp;""="","",IF('F6-1 Calendar'!$C$35&amp;""=Key!$C$17&amp;"","✔ CLEAR","✘ TRY AGAIN")),"✘ TRY AGAIN")</f>
        <v/>
      </c>
      <c r="E35" s="22"/>
      <c r="F35" s="23" cm="1" t="str">
        <f t="array" ref="F35">IF(E35="Show hint",Key!$B$17,"")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168</v>
      </c>
      <c r="B36" s="8" t="s">
        <v>169</v>
      </c>
      <c r="C36" s="20"/>
      <c r="D36" s="21" cm="1" t="str">
        <f t="array" ref="D36">IFERROR(IF('F6-1 Calendar'!$C$36&amp;""="","",IF('F6-1 Calendar'!$C$36&amp;""=Key!$C$18&amp;"","✔ CLEAR","✘ TRY AGAIN")),"✘ TRY AGAIN")</f>
        <v/>
      </c>
      <c r="E36" s="22"/>
      <c r="F36" s="23" cm="1" t="str">
        <f t="array" ref="F36">IF(E36="Show hint",Key!$B$18,"")</f>
        <v/>
      </c>
      <c r="G36" s="24" cm="1">
        <f t="array" ref="G36">IF(LEFT(D36,1)="✔",IF(E36="Show hint",5,10),0)</f>
        <v>0</v>
      </c>
    </row>
    <row r="38" spans="1:7" ht="22" customHeight="1">
      <c r="A38" s="4" t="s">
        <v>170</v>
      </c>
      <c r="B38" s="4"/>
      <c r="C38" s="4"/>
      <c r="D38" s="4"/>
      <c r="E38" s="4"/>
      <c r="F38" s="4"/>
      <c r="G38" s="4"/>
    </row>
    <row r="39" spans="1:7">
      <c r="B39" s="11" t="s">
        <v>171</v>
      </c>
    </row>
    <row r="40" spans="1:7">
      <c r="A40" s="6" t="s">
        <v>18</v>
      </c>
      <c r="B40" s="6" t="s">
        <v>43</v>
      </c>
      <c r="C40" s="6" t="s">
        <v>44</v>
      </c>
      <c r="D40" s="6" t="s">
        <v>45</v>
      </c>
      <c r="E40" s="6" t="s">
        <v>46</v>
      </c>
      <c r="F40" s="6" t="s">
        <v>1</v>
      </c>
      <c r="G40" s="6" t="s">
        <v>47</v>
      </c>
    </row>
    <row r="41" spans="1:7" ht="19.75" customHeight="1">
      <c r="A41" s="18" t="s">
        <v>178</v>
      </c>
      <c r="B41" s="8" t="s">
        <v>145</v>
      </c>
      <c r="C41" s="20"/>
      <c r="D41" s="21" cm="1" t="str">
        <f t="array" ref="D41">IFERROR(_xlfn.LET(_xlpm.a,'F6-1 Calendar'!$C$41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J$19),"✔ CLEAR","✘ TRY AGAIN"))),"✘ TRY AGAIN")</f>
        <v/>
      </c>
      <c r="E41" s="22"/>
      <c r="F41" s="23" cm="1" t="str">
        <f t="array" ref="F41">IF(E41="Show hint",Key!$B$19,"")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185</v>
      </c>
      <c r="B42" s="8" t="s">
        <v>150</v>
      </c>
      <c r="C42" s="20"/>
      <c r="D42" s="21" cm="1" t="str">
        <f t="array" ref="D42">IFERROR(_xlfn.LET(_xlpm.a,'F6-1 Calendar'!$C$42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$20:$J$20),"✔ CLEAR","✘ TRY AGAIN"))),"✘ TRY AGAIN")</f>
        <v/>
      </c>
      <c r="E42" s="22"/>
      <c r="F42" s="23" cm="1" t="str">
        <f t="array" ref="F42">IF(E42="Show hint",Key!$B$20,"")</f>
        <v/>
      </c>
      <c r="G42" s="24" cm="1">
        <f t="array" ref="G42">IF(LEFT(D42,1)="✔",IF(E42="Show hint",5,10),0)</f>
        <v>0</v>
      </c>
    </row>
    <row r="43" spans="1:7" ht="35.5" customHeight="1">
      <c r="A43" s="18" t="s">
        <v>192</v>
      </c>
      <c r="B43" s="8" t="s">
        <v>154</v>
      </c>
      <c r="C43" s="20"/>
      <c r="D43" s="21" cm="1" t="str">
        <f t="array" ref="D43">IFERROR(_xlfn.LET(_xlpm.a,'F6-1 Calendar'!$C$43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J$21),"✔ CLEAR","✘ TRY AGAIN"))),"✘ TRY AGAIN")</f>
        <v/>
      </c>
      <c r="E43" s="22"/>
      <c r="F43" s="23" cm="1" t="str">
        <f t="array" ref="F43">IF(E43="Show hint",Key!$B$21,"")</f>
        <v/>
      </c>
      <c r="G43" s="24" cm="1">
        <f t="array" ref="G43">IF(LEFT(D43,1)="✔",IF(E43="Show hint",5,10),0)</f>
        <v>0</v>
      </c>
    </row>
    <row r="44" spans="1:7" ht="19.75" customHeight="1">
      <c r="A44" s="18" t="s">
        <v>199</v>
      </c>
      <c r="B44" s="8" t="s">
        <v>159</v>
      </c>
      <c r="C44" s="20"/>
      <c r="D44" s="21" cm="1" t="str">
        <f t="array" ref="D44">IFERROR(_xlfn.LET(_xlpm.a,'F6-1 Calendar'!$C$44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J$22),"✔ CLEAR","✘ TRY AGAIN"))),"✘ TRY AGAIN")</f>
        <v/>
      </c>
      <c r="E44" s="22"/>
      <c r="F44" s="23" cm="1" t="str">
        <f t="array" ref="F44">IF(E44="Show hint",Key!$B$22,"")</f>
        <v/>
      </c>
      <c r="G44" s="24" cm="1">
        <f t="array" ref="G44">IF(LEFT(D44,1)="✔",IF(E44="Show hint",5,10),0)</f>
        <v>0</v>
      </c>
    </row>
    <row r="45" spans="1:7" ht="35.5" customHeight="1">
      <c r="A45" s="18" t="s">
        <v>206</v>
      </c>
      <c r="B45" s="8" t="s">
        <v>162</v>
      </c>
      <c r="C45" s="20"/>
      <c r="D45" s="21" cm="1" t="str">
        <f t="array" ref="D45">IFERROR(_xlfn.LET(_xlpm.a,'F6-1 Calendar'!$C$45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J$23),"✔ CLEAR","✘ TRY AGAIN"))),"✘ TRY AGAIN")</f>
        <v/>
      </c>
      <c r="E45" s="22"/>
      <c r="F45" s="23" cm="1" t="str">
        <f t="array" ref="F45">IF(E45="Show hint",Key!$B$23,"")</f>
        <v/>
      </c>
      <c r="G45" s="24" cm="1">
        <f t="array" ref="G45">IF(LEFT(D45,1)="✔",IF(E45="Show hint",5,10),0)</f>
        <v>0</v>
      </c>
    </row>
    <row r="46" spans="1:7" ht="19.75" customHeight="1">
      <c r="A46" s="18" t="s">
        <v>213</v>
      </c>
      <c r="B46" s="8" t="s">
        <v>165</v>
      </c>
      <c r="C46" s="20"/>
      <c r="D46" s="21" cm="1" t="str">
        <f t="array" ref="D46">IFERROR(_xlfn.LET(_xlpm.a,'F6-1 Calendar'!$C$46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J$24),"✔ CLEAR","✘ TRY AGAIN"))),"✘ TRY AGAIN")</f>
        <v/>
      </c>
      <c r="E46" s="22"/>
      <c r="F46" s="23" cm="1" t="str">
        <f t="array" ref="F46">IF(E46="Show hint",Key!$B$24,"")</f>
        <v/>
      </c>
      <c r="G46" s="24" cm="1">
        <f t="array" ref="G46">IF(LEFT(D46,1)="✔",IF(E46="Show hint",5,10),0)</f>
        <v>0</v>
      </c>
    </row>
    <row r="47" spans="1:7" ht="35.5" customHeight="1">
      <c r="A47" s="18" t="s">
        <v>220</v>
      </c>
      <c r="B47" s="8" t="s">
        <v>169</v>
      </c>
      <c r="C47" s="20"/>
      <c r="D47" s="21" cm="1" t="str">
        <f t="array" ref="D47">IFERROR(_xlfn.LET(_xlpm.a,'F6-1 Calendar'!$C$47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J$25),"✔ CLEAR","✘ TRY AGAIN"))),"✘ TRY AGAIN")</f>
        <v/>
      </c>
      <c r="E47" s="22"/>
      <c r="F47" s="23" cm="1" t="str">
        <f t="array" ref="F47">IF(E47="Show hint",Key!$B$25,"")</f>
        <v/>
      </c>
      <c r="G47" s="24" cm="1">
        <f t="array" ref="G47">IF(LEFT(D47,1)="✔",IF(E47="Show hint",5,10),0)</f>
        <v>0</v>
      </c>
    </row>
    <row r="48" spans="1:7" ht="19.75" customHeight="1">
      <c r="A48" s="18" t="s">
        <v>223</v>
      </c>
      <c r="B48" s="8" t="s">
        <v>224</v>
      </c>
      <c r="C48" s="11" t="s">
        <v>225</v>
      </c>
      <c r="D48" s="21" cm="1" t="str">
        <f t="array" ref="D48">IF(ISBLANK('F6-1 Arena'!$D$6),"",IF(NOT(_xlfn.ISFORMULA('F6-1 Arena'!$D$6)),"✘ That's a typed value · enter a formula",IF(ISERROR('F6-1 Arena'!$D$6),"✘ Your formula returns "&amp;IFERROR(CHOOSE(ERROR.TYPE('F6-1 Arena'!$D$6),"#NULL!","#DIV/0!","#VALUE!","#REF!","#NAME?","#NUM!","#N/A","#GETTING_DATA","#SPILL!","#CONNECT!","#BLOCKED!","#UNKNOWN!","#FIELD!","#CALC!"),"an error"),IF(NOT(AND(IFERROR(AND(ISNUMBER('F6-1 Arena'!$D$6),ABS('F6-1 Arena'!$D$6-Key!$C$26)&lt;=1E-9*MAX(1,ABS(Key!$C$26))),FALSE))),"✘ TRY AGAIN",IF(AND(OR(ISNUMBER(FIND({"=","(",",","+","-","*","/","&amp;"," ","&lt;","&gt;",":","@","^"}&amp;"TODAY"&amp;"(",UPPER(_xlfn.FORMULATEXT('F6-1 Arena'!$D$6)))))),"✔ CLEAR","✘ CLOSE · right value, but use TODAY")))))</f>
        <v/>
      </c>
      <c r="E48" s="22"/>
      <c r="F48" s="23" cm="1" t="str">
        <f t="array" ref="F48">IF(E48="Show hint",Key!$B$26,"")</f>
        <v/>
      </c>
      <c r="G48" s="24" cm="1">
        <f t="array" ref="G48">IF(LEFT(D48,1)="✔",IF(E48="Show hint",5,10),0)</f>
        <v>0</v>
      </c>
    </row>
    <row r="49" spans="1:7" ht="19.75" customHeight="1">
      <c r="A49" s="18" t="s">
        <v>228</v>
      </c>
      <c r="B49" s="8" t="s">
        <v>229</v>
      </c>
      <c r="C49" s="11" t="s">
        <v>230</v>
      </c>
      <c r="D49" s="21" cm="1" t="str">
        <f t="array" ref="D49">IF(ISBLANK('F6-1 Arena'!$D$7),"",IF(NOT(_xlfn.ISFORMULA('F6-1 Arena'!$D$7)),"✘ That's a typed value · enter a formula",IF(ISERROR('F6-1 Arena'!$D$7),"✘ Your formula returns "&amp;IFERROR(CHOOSE(ERROR.TYPE('F6-1 Arena'!$D$7),"#NULL!","#DIV/0!","#VALUE!","#REF!","#NAME?","#NUM!","#N/A","#GETTING_DATA","#SPILL!","#CONNECT!","#BLOCKED!","#UNKNOWN!","#FIELD!","#CALC!"),"an error"),IF(NOT(AND(IFERROR(AND(ISNUMBER('F6-1 Arena'!$D$7),ABS('F6-1 Arena'!$D$7-Key!$C$27)&lt;=1E-9*MAX(1,ABS(Key!$C$27))),FALSE))),"✘ TRY AGAIN",IF(AND(OR(ISNUMBER(FIND({"=","(",",","+","-","*","/","&amp;"," ","&lt;","&gt;",":","@","^"}&amp;"DATE"&amp;"(",UPPER(_xlfn.FORMULATEXT('F6-1 Arena'!$D$7)))))),"✔ CLEAR","✘ CLOSE · right value, but use DATE")))))</f>
        <v/>
      </c>
      <c r="E49" s="22"/>
      <c r="F49" s="23" cm="1" t="str">
        <f t="array" ref="F49">IF(E49="Show hint",Key!$B$27,"")</f>
        <v/>
      </c>
      <c r="G49" s="24" cm="1">
        <f t="array" ref="G49">IF(LEFT(D49,1)="✔",IF(E49="Show hint",5,10),0)</f>
        <v>0</v>
      </c>
    </row>
    <row r="50" spans="1:7" ht="19.75" customHeight="1">
      <c r="A50" s="18" t="s">
        <v>233</v>
      </c>
      <c r="B50" s="8" t="s">
        <v>234</v>
      </c>
      <c r="C50" s="11" t="s">
        <v>235</v>
      </c>
      <c r="D50" s="21" cm="1" t="str">
        <f t="array" ref="D50">IF(ISBLANK('F6-1 Arena'!$D$8),"",IF(NOT(_xlfn.ISFORMULA('F6-1 Arena'!$D$8)),"✘ That's a typed value · enter a formula",IF(ISERROR('F6-1 Arena'!$D$8),"✘ Your formula returns "&amp;IFERROR(CHOOSE(ERROR.TYPE('F6-1 Arena'!$D$8),"#NULL!","#DIV/0!","#VALUE!","#REF!","#NAME?","#NUM!","#N/A","#GETTING_DATA","#SPILL!","#CONNECT!","#BLOCKED!","#UNKNOWN!","#FIELD!","#CALC!"),"an error"),IF(NOT(AND(IFERROR(AND(ISNUMBER('F6-1 Arena'!$D$8),ABS('F6-1 Arena'!$D$8-Key!$C$28)&lt;=1E-9*MAX(1,ABS(Key!$C$28))),FALSE))),"✘ TRY AGAIN",IF(AND(OR(ISNUMBER(FIND({"=","(",",","+","-","*","/","&amp;"," ","&lt;","&gt;",":","@","^"}&amp;"YEAR"&amp;"(",UPPER(_xlfn.FORMULATEXT('F6-1 Arena'!$D$8)))))),"✔ CLEAR","✘ CLOSE · right value, but use YEAR")))))</f>
        <v/>
      </c>
      <c r="E50" s="22"/>
      <c r="F50" s="23" cm="1" t="str">
        <f t="array" ref="F50">IF(E50="Show hint",Key!$B$28,"")</f>
        <v/>
      </c>
      <c r="G50" s="24" cm="1">
        <f t="array" ref="G50">IF(LEFT(D50,1)="✔",IF(E50="Show hint",5,10),0)</f>
        <v>0</v>
      </c>
    </row>
    <row r="51" spans="1:7" ht="19.75" customHeight="1">
      <c r="A51" s="18" t="s">
        <v>238</v>
      </c>
      <c r="B51" s="8" t="s">
        <v>239</v>
      </c>
      <c r="C51" s="11" t="s">
        <v>240</v>
      </c>
      <c r="D51" s="21" cm="1" t="str">
        <f t="array" ref="D51">IF(ISBLANK('F6-1 Arena'!$D$9),"",IF(NOT(_xlfn.ISFORMULA('F6-1 Arena'!$D$9)),"✘ That's a typed value · enter a formula",IF(ISERROR('F6-1 Arena'!$D$9),"✘ Your formula returns "&amp;IFERROR(CHOOSE(ERROR.TYPE('F6-1 Arena'!$D$9),"#NULL!","#DIV/0!","#VALUE!","#REF!","#NAME?","#NUM!","#N/A","#GETTING_DATA","#SPILL!","#CONNECT!","#BLOCKED!","#UNKNOWN!","#FIELD!","#CALC!"),"an error"),IF(NOT(AND(IFERROR(AND(ISNUMBER('F6-1 Arena'!$D$9),ABS('F6-1 Arena'!$D$9-Key!$C$29)&lt;=1E-9*MAX(1,ABS(Key!$C$29))),FALSE))),"✘ TRY AGAIN",IF(AND(OR(ISNUMBER(FIND({"=","(",",","+","-","*","/","&amp;"," ","&lt;","&gt;",":","@","^"}&amp;"MONTH"&amp;"(",UPPER(_xlfn.FORMULATEXT('F6-1 Arena'!$D$9)))))),"✔ CLEAR","✘ CLOSE · right value, but use MONTH")))))</f>
        <v/>
      </c>
      <c r="E51" s="22"/>
      <c r="F51" s="23" cm="1" t="str">
        <f t="array" ref="F51">IF(E51="Show hint",Key!$B$29,"")</f>
        <v/>
      </c>
      <c r="G51" s="24" cm="1">
        <f t="array" ref="G51">IF(LEFT(D51,1)="✔",IF(E51="Show hint",5,10),0)</f>
        <v>0</v>
      </c>
    </row>
    <row r="52" spans="1:7" ht="19.75" customHeight="1">
      <c r="A52" s="18" t="s">
        <v>243</v>
      </c>
      <c r="B52" s="8" t="s">
        <v>244</v>
      </c>
      <c r="C52" s="11" t="s">
        <v>245</v>
      </c>
      <c r="D52" s="21" cm="1" t="str">
        <f t="array" ref="D52">IF(ISBLANK('F6-1 Arena'!$D$10),"",IF(NOT(_xlfn.ISFORMULA('F6-1 Arena'!$D$10)),"✘ That's a typed value · enter a formula",IF(ISERROR('F6-1 Arena'!$D$10),"✘ Your formula returns "&amp;IFERROR(CHOOSE(ERROR.TYPE('F6-1 Arena'!$D$10),"#NULL!","#DIV/0!","#VALUE!","#REF!","#NAME?","#NUM!","#N/A","#GETTING_DATA","#SPILL!","#CONNECT!","#BLOCKED!","#UNKNOWN!","#FIELD!","#CALC!"),"an error"),IF(NOT(AND(IFERROR(AND(ISNUMBER('F6-1 Arena'!$D$10),ABS('F6-1 Arena'!$D$10-Key!$C$30)&lt;=1E-9*MAX(1,ABS(Key!$C$30))),FALSE))),"✘ TRY AGAIN",IF(AND(OR(ISNUMBER(FIND({"=","(",",","+","-","*","/","&amp;"," ","&lt;","&gt;",":","@","^"}&amp;"DAY"&amp;"(",UPPER(_xlfn.FORMULATEXT('F6-1 Arena'!$D$10)))))),"✔ CLEAR","✘ CLOSE · right value, but use DAY")))))</f>
        <v/>
      </c>
      <c r="E52" s="22"/>
      <c r="F52" s="23" cm="1" t="str">
        <f t="array" ref="F52">IF(E52="Show hint",Key!$B$30,"")</f>
        <v/>
      </c>
      <c r="G52" s="24" cm="1">
        <f t="array" ref="G52">IF(LEFT(D52,1)="✔",IF(E52="Show hint",5,10),0)</f>
        <v>0</v>
      </c>
    </row>
    <row r="53" spans="1:7" ht="35.5" customHeight="1">
      <c r="A53" s="18" t="s">
        <v>248</v>
      </c>
      <c r="B53" s="8" t="s">
        <v>249</v>
      </c>
      <c r="C53" s="11" t="s">
        <v>250</v>
      </c>
      <c r="D53" s="21" cm="1" t="str">
        <f t="array" ref="D53">IF(ISBLANK('F6-1 Arena'!$D$11),"",IF(NOT(_xlfn.ISFORMULA('F6-1 Arena'!$D$11)),"✘ That's a typed value · enter a formula",IF(ISERROR('F6-1 Arena'!$D$11),"✘ Your formula returns "&amp;IFERROR(CHOOSE(ERROR.TYPE('F6-1 Arena'!$D$11),"#NULL!","#DIV/0!","#VALUE!","#REF!","#NAME?","#NUM!","#N/A","#GETTING_DATA","#SPILL!","#CONNECT!","#BLOCKED!","#UNKNOWN!","#FIELD!","#CALC!"),"an error"),IF(NOT(AND(IFERROR(AND(ISNUMBER('F6-1 Arena'!$D$11),ABS('F6-1 Arena'!$D$11-Key!$C$31)&lt;=1E-9*MAX(1,ABS(Key!$C$31))),FALSE))),"✘ TRY AGAIN",IF(AND(OR(ISNUMBER(FIND({"=","(",",","+","-","*","/","&amp;"," ","&lt;","&gt;",":","@","^"}&amp;"WEEKDAY"&amp;"(",UPPER(_xlfn.FORMULATEXT('F6-1 Arena'!$D$11)))))),"✔ CLEAR","✘ CLOSE · right value, but use WEEKDAY")))))</f>
        <v/>
      </c>
      <c r="E53" s="22"/>
      <c r="F53" s="23" cm="1" t="str">
        <f t="array" ref="F53">IF(E53="Show hint",Key!$B$31,"")</f>
        <v/>
      </c>
      <c r="G53" s="24" cm="1">
        <f t="array" ref="G53">IF(LEFT(D53,1)="✔",IF(E53="Show hint",5,10),0)</f>
        <v>0</v>
      </c>
    </row>
  </sheetData>
  <sheetProtection sheet="1" objects="1" scenarios="1" formatColumns="0" formatRows="0"/>
  <conditionalFormatting sqref="D17:D53">
    <cfRule type="expression" dxfId="0" priority="1">
      <formula>LEFT($D17,1)="✔"</formula>
    </cfRule>
    <cfRule type="expression" dxfId="1" priority="2">
      <formula>LEFT($D17,1)="✘"</formula>
    </cfRule>
    <cfRule type="expression" dxfId="2" priority="3">
      <formula>$D17="LOCKED"</formula>
    </cfRule>
  </conditionalFormatting>
  <dataValidations count="54"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4"/>
    <dataValidation type="list" allowBlank="1" showInputMessage="1" showErrorMessage="1" promptTitle="Need a hint?" prompt="Pick 'Show hint' (Alt+Down). This question then gives 5 XP instead of 10." sqref="E2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5"/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6"/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Key!$E$12:$H$12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Pick an answer" prompt="Press Alt+Down to open the list, choose with the arrow keys, then press Enter." sqref="C31">
      <formula1>Key!$E$13:$H$13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Pick an answer" prompt="Press Alt+Down to open the list, choose with the arrow keys, then press Enter." sqref="C32">
      <formula1>Key!$E$14:$H$14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Pick an answer" prompt="Press Alt+Down to open the list, choose with the arrow keys, then press Enter." sqref="C33">
      <formula1>Key!$E$15:$H$15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Pick an answer" prompt="Press Alt+Down to open the list, choose with the arrow keys, then press Enter." sqref="C34">
      <formula1>Key!$E$16:$H$16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Pick an answer" prompt="Press Alt+Down to open the list, choose with the arrow keys, then press Enter." sqref="C35">
      <formula1>Key!$E$17:$H$17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Pick an answer" prompt="Press Alt+Down to open the list, choose with the arrow keys, then press Enter." sqref="C36">
      <formula1>Key!$E$18:$H$18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1"/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2"/>
    <dataValidation type="list" allowBlank="1" showInputMessage="1" showErrorMessage="1" promptTitle="Need a hint?" prompt="Pick 'Show hint' (Alt+Down). This question then gives 5 XP instead of 10." sqref="E4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3"/>
    <dataValidation type="list" allowBlank="1" showInputMessage="1" showErrorMessage="1" promptTitle="Need a hint?" prompt="Pick 'Show hint' (Alt+Down). This question then gives 5 XP instead of 10." sqref="E4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4"/>
    <dataValidation type="list" allowBlank="1" showInputMessage="1" showErrorMessage="1" promptTitle="Need a hint?" prompt="Pick 'Show hint' (Alt+Down). This question then gives 5 XP instead of 10." sqref="E4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5"/>
    <dataValidation type="list" allowBlank="1" showInputMessage="1" showErrorMessage="1" promptTitle="Need a hint?" prompt="Pick 'Show hint' (Alt+Down). This question then gives 5 XP instead of 10." sqref="E4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6"/>
    <dataValidation type="list" allowBlank="1" showInputMessage="1" showErrorMessage="1" promptTitle="Need a hint?" prompt="Pick 'Show hint' (Alt+Down). This question then gives 5 XP instead of 10." sqref="E4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47"/>
    <dataValidation type="list" allowBlank="1" showInputMessage="1" showErrorMessage="1" promptTitle="Need a hint?" prompt="Pick 'Show hint' (Alt+Down). This question then gives 5 XP instead of 10." sqref="E47">
      <formula1>"Show hint"</formula1>
    </dataValidation>
    <dataValidation type="list" allowBlank="1" showInputMessage="1" showErrorMessage="1" promptTitle="Need a hint?" prompt="Pick 'Show hint' (Alt+Down). This question then gives 5 XP instead of 10." sqref="E48">
      <formula1>"Show hint"</formula1>
    </dataValidation>
    <dataValidation type="list" allowBlank="1" showInputMessage="1" showErrorMessage="1" promptTitle="Need a hint?" prompt="Pick 'Show hint' (Alt+Down). This question then gives 5 XP instead of 10." sqref="E49">
      <formula1>"Show hint"</formula1>
    </dataValidation>
    <dataValidation type="list" allowBlank="1" showInputMessage="1" showErrorMessage="1" promptTitle="Need a hint?" prompt="Pick 'Show hint' (Alt+Down). This question then gives 5 XP instead of 10." sqref="E50">
      <formula1>"Show hint"</formula1>
    </dataValidation>
    <dataValidation type="list" allowBlank="1" showInputMessage="1" showErrorMessage="1" promptTitle="Need a hint?" prompt="Pick 'Show hint' (Alt+Down). This question then gives 5 XP instead of 10." sqref="E51">
      <formula1>"Show hint"</formula1>
    </dataValidation>
    <dataValidation type="list" allowBlank="1" showInputMessage="1" showErrorMessage="1" promptTitle="Need a hint?" prompt="Pick 'Show hint' (Alt+Down). This question then gives 5 XP instead of 10." sqref="E52">
      <formula1>"Show hint"</formula1>
    </dataValidation>
    <dataValidation type="list" allowBlank="1" showInputMessage="1" showErrorMessage="1" promptTitle="Need a hint?" prompt="Pick 'Show hint' (Alt+Down). This question then gives 5 XP instead of 10." sqref="E53">
      <formula1>"Show hint"</formula1>
    </dataValidation>
  </dataValidations>
  <hyperlinks>
    <hyperlink ref="B39" location="'F6-1 Arena'!A1" display="▶ Open F6-1 Arena (or press Ctrl+PgDn)"/>
    <hyperlink ref="C48" location="'F6-1 Arena'!D6" tooltip="Go to F6-1 Arena, cell D6" display="▶ ARENA C8 (cell D6)"/>
    <hyperlink ref="C49" location="'F6-1 Arena'!D7" tooltip="Go to F6-1 Arena, cell D7" display="▶ ARENA C9 (cell D7)"/>
    <hyperlink ref="C50" location="'F6-1 Arena'!D8" tooltip="Go to F6-1 Arena, cell D8" display="▶ ARENA C10 (cell D8)"/>
    <hyperlink ref="C51" location="'F6-1 Arena'!D9" tooltip="Go to F6-1 Arena, cell D9" display="▶ ARENA C11 (cell D9)"/>
    <hyperlink ref="C52" location="'F6-1 Arena'!D10" tooltip="Go to F6-1 Arena, cell D10" display="▶ ARENA C12 (cell D10)"/>
    <hyperlink ref="C53" location="'F6-1 Arena'!D11" tooltip="Go to F6-1 Arena, cell D11" display="▶ ARENA C13 (cell D11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2" width="14.7109375" customWidth="1"/>
    <col min="3" max="3" width="20.7109375" customWidth="1"/>
    <col min="4" max="4" width="16.7109375" customWidth="1"/>
    <col min="5" max="26" width="13.7109375" customWidth="1"/>
  </cols>
  <sheetData>
    <row r="1" spans="1:4">
      <c r="A1" s="1" t="s">
        <v>4</v>
      </c>
    </row>
    <row r="2" spans="1:4">
      <c r="A2" s="3" t="s">
        <v>5</v>
      </c>
    </row>
    <row r="3" spans="1:4">
      <c r="A3" s="25" t="s">
        <v>6</v>
      </c>
      <c r="B3" s="26" t="s">
        <v>7</v>
      </c>
      <c r="D3" s="11" t="s">
        <v>8</v>
      </c>
    </row>
    <row r="5" spans="1:4">
      <c r="B5" s="27" t="s">
        <v>9</v>
      </c>
      <c r="C5" s="27" t="s">
        <v>10</v>
      </c>
    </row>
    <row r="6" spans="1:4">
      <c r="B6" s="28">
        <v>46096</v>
      </c>
      <c r="C6" s="5" t="s">
        <v>11</v>
      </c>
      <c r="D6" s="29"/>
    </row>
    <row r="7" spans="1:4">
      <c r="C7" s="5" t="s">
        <v>12</v>
      </c>
      <c r="D7" s="29"/>
    </row>
    <row r="8" spans="1:4">
      <c r="C8" s="5" t="s">
        <v>13</v>
      </c>
      <c r="D8" s="30"/>
    </row>
    <row r="9" spans="1:4">
      <c r="C9" s="5" t="s">
        <v>14</v>
      </c>
      <c r="D9" s="30"/>
    </row>
    <row r="10" spans="1:4">
      <c r="C10" s="5" t="s">
        <v>15</v>
      </c>
      <c r="D10" s="30"/>
    </row>
    <row r="11" spans="1:4">
      <c r="C11" s="5" t="s">
        <v>16</v>
      </c>
      <c r="D11" s="30"/>
    </row>
  </sheetData>
  <hyperlinks>
    <hyperlink ref="D3" location="'F6-1 Calendar'!A1" display="◀ Back to F6-1 Calenda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347</v>
      </c>
      <c r="B1" s="2"/>
      <c r="C1" s="2"/>
      <c r="D1" s="2"/>
      <c r="E1" s="2"/>
      <c r="F1" s="2"/>
      <c r="G1" s="2"/>
    </row>
    <row r="2" spans="1:7">
      <c r="A2" s="3" t="s">
        <v>348</v>
      </c>
    </row>
    <row r="3" spans="1:7" ht="26" customHeight="1">
      <c r="A3" s="14" cm="1" t="str">
        <f t="array" ref="A3">"SCORE "&amp;TEXT(SUM($G$13:$G$39),"0000")&amp;" / 0200"</f>
        <v>SCORE 0000 / 0200</v>
      </c>
      <c r="C3" s="15" cm="1" t="str">
        <f t="array" ref="C3">IF(SUM($G$13:$G$39)&gt;=200,"★★★",IF(SUM($G$13:$G$39)&gt;=200*0.8,"★★☆",IF(SUM($G$13:$G$39)&gt;=200*0.5,"★☆☆","☆☆☆")))</f>
        <v>☆☆☆</v>
      </c>
      <c r="D3" s="16" cm="1" t="str">
        <f t="array" ref="D3">REPT("█",ROUND(10*SUM($G$13:$G$39)/200,0))&amp;REPT("░",10-ROUND(10*SUM($G$13:$G$39)/200,0))&amp;"  "&amp;TEXT(SUM($G$13:$G$39)/200,"0%")</f>
        <v>░░░░░░░░░░  0%</v>
      </c>
      <c r="F3" s="17" cm="1" t="str">
        <f t="array" ref="F3">IF(SUM($G$13:$G$39)&gt;=200*0.5,"STAGE CLEAR! ▶ Next: F6-3 Deadlines","")</f>
        <v/>
      </c>
    </row>
    <row r="5" spans="1:7" ht="22" customHeight="1">
      <c r="A5" s="4" t="s">
        <v>17</v>
      </c>
      <c r="B5" s="4"/>
      <c r="C5" s="4"/>
      <c r="D5" s="4"/>
      <c r="E5" s="4"/>
      <c r="F5" s="4"/>
      <c r="G5" s="4"/>
    </row>
    <row r="6" spans="1:7">
      <c r="A6" s="6" t="s">
        <v>18</v>
      </c>
      <c r="B6" s="6" t="s">
        <v>19</v>
      </c>
      <c r="C6" s="6" t="s">
        <v>20</v>
      </c>
      <c r="D6" s="6"/>
      <c r="E6" s="6"/>
      <c r="F6" s="6"/>
      <c r="G6" s="6"/>
    </row>
    <row r="7" spans="1:7" ht="67" customHeight="1">
      <c r="A7" s="18" t="s">
        <v>21</v>
      </c>
      <c r="B7" s="8" t="s">
        <v>265</v>
      </c>
      <c r="C7" s="19" t="s">
        <v>266</v>
      </c>
    </row>
    <row r="8" spans="1:7" ht="51.25" customHeight="1">
      <c r="A8" s="18" t="s">
        <v>24</v>
      </c>
      <c r="B8" s="8" t="s">
        <v>267</v>
      </c>
      <c r="C8" s="19" t="s">
        <v>268</v>
      </c>
    </row>
    <row r="9" spans="1:7" ht="67" customHeight="1">
      <c r="A9" s="18" t="s">
        <v>27</v>
      </c>
      <c r="B9" s="8" t="s">
        <v>269</v>
      </c>
      <c r="C9" s="19" t="s">
        <v>148</v>
      </c>
    </row>
    <row r="11" spans="1:7" ht="22" customHeight="1">
      <c r="A11" s="4" t="s">
        <v>42</v>
      </c>
      <c r="B11" s="4"/>
      <c r="C11" s="4"/>
      <c r="D11" s="4"/>
      <c r="E11" s="4"/>
      <c r="F11" s="4"/>
      <c r="G11" s="4"/>
    </row>
    <row r="12" spans="1:7">
      <c r="A12" s="6" t="s">
        <v>18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1</v>
      </c>
      <c r="G12" s="6" t="s">
        <v>47</v>
      </c>
    </row>
    <row r="13" spans="1:7" ht="35.5" customHeight="1">
      <c r="A13" s="18" t="s">
        <v>56</v>
      </c>
      <c r="B13" s="8" t="s">
        <v>271</v>
      </c>
      <c r="C13" s="20"/>
      <c r="D13" s="21" cm="1" t="str">
        <f t="array" ref="D13">IFERROR(_xlfn.LET(_xlpm.a,'F6-2 Date Math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J$32),"✔ CLEAR","✘ TRY AGAIN"))),"✘ TRY AGAIN")</f>
        <v/>
      </c>
      <c r="E13" s="22"/>
      <c r="F13" s="23" cm="1" t="str">
        <f t="array" ref="F13">IF(E13="Show hint",Key!$B$32,"")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66</v>
      </c>
      <c r="B14" s="8" t="s">
        <v>273</v>
      </c>
      <c r="C14" s="20"/>
      <c r="D14" s="21" cm="1" t="str">
        <f t="array" ref="D14">IFERROR(_xlfn.LET(_xlpm.a,'F6-2 Date Math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$33:$J$33),"✔ CLEAR","✘ TRY AGAIN"))),"✘ TRY AGAIN")</f>
        <v/>
      </c>
      <c r="E14" s="22"/>
      <c r="F14" s="23" cm="1" t="str">
        <f t="array" ref="F14">IF(E14="Show hint",Key!$B$33,"")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76</v>
      </c>
      <c r="B15" s="8" t="s">
        <v>275</v>
      </c>
      <c r="C15" s="20"/>
      <c r="D15" s="21" cm="1" t="str">
        <f t="array" ref="D15">IFERROR(_xlfn.LET(_xlpm.a,'F6-2 Date Math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E15" s="22"/>
      <c r="F15" s="23" cm="1" t="str">
        <f t="array" ref="F15">IF(E15="Show hint",Key!$B$34,"")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86</v>
      </c>
      <c r="B16" s="8" t="s">
        <v>277</v>
      </c>
      <c r="C16" s="20"/>
      <c r="D16" s="21" cm="1" t="str">
        <f t="array" ref="D16">IFERROR(_xlfn.LET(_xlpm.a,'F6-2 Date Math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J$35),"✔ CLEAR","✘ TRY AGAIN"))),"✘ TRY AGAIN")</f>
        <v/>
      </c>
      <c r="E16" s="22"/>
      <c r="F16" s="23" cm="1" t="str">
        <f t="array" ref="F16">IF(E16="Show hint",Key!$B$35,"")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96</v>
      </c>
      <c r="B17" s="8" t="s">
        <v>279</v>
      </c>
      <c r="C17" s="20"/>
      <c r="D17" s="21" cm="1" t="str">
        <f t="array" ref="D17">IFERROR(_xlfn.LET(_xlpm.a,'F6-2 Date Math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J$36),"✔ CLEAR","✘ TRY AGAIN"))),"✘ TRY AGAIN")</f>
        <v/>
      </c>
      <c r="E17" s="22"/>
      <c r="F17" s="23" cm="1" t="str">
        <f t="array" ref="F17">IF(E17="Show hint",Key!$B$36,"")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101</v>
      </c>
      <c r="B18" s="8" t="s">
        <v>281</v>
      </c>
      <c r="C18" s="20"/>
      <c r="D18" s="21" cm="1" t="str">
        <f t="array" ref="D18">IFERROR(_xlfn.LET(_xlpm.a,'F6-2 Date Math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J$37),"✔ CLEAR","✘ TRY AGAIN"))),"✘ TRY AGAIN")</f>
        <v/>
      </c>
      <c r="E18" s="22"/>
      <c r="F18" s="23" cm="1" t="str">
        <f t="array" ref="F18">IF(E18="Show hint",Key!$B$37,"")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107</v>
      </c>
      <c r="B19" s="8" t="s">
        <v>283</v>
      </c>
      <c r="C19" s="20"/>
      <c r="D19" s="21" cm="1" t="str">
        <f t="array" ref="D19">IFERROR(_xlfn.LET(_xlpm.a,'F6-2 Date Math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J$38),"✔ CLEAR","✘ TRY AGAIN"))),"✘ TRY AGAIN")</f>
        <v/>
      </c>
      <c r="E19" s="22"/>
      <c r="F19" s="23" cm="1" t="str">
        <f t="array" ref="F19">IF(E19="Show hint",Key!$B$38,"")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112</v>
      </c>
      <c r="B20" s="8" t="s">
        <v>292</v>
      </c>
      <c r="C20" s="20"/>
      <c r="D20" s="21" cm="1" t="str">
        <f t="array" ref="D20">IFERROR(_xlfn.LET(_xlpm.a,'F6-2 Date Math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$39:$J$39),"✔ CLEAR","✘ TRY AGAIN"))),"✘ TRY AGAIN")</f>
        <v/>
      </c>
      <c r="E20" s="22"/>
      <c r="F20" s="23" cm="1" t="str">
        <f t="array" ref="F20">IF(E20="Show hint",Key!$B$39,"")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118</v>
      </c>
      <c r="B21" s="8" t="s">
        <v>301</v>
      </c>
      <c r="C21" s="20"/>
      <c r="D21" s="21" cm="1" t="str">
        <f t="array" ref="D21">IFERROR(_xlfn.LET(_xlpm.a,'F6-2 Date Math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J$40),"✔ CLEAR","✘ TRY AGAIN"))),"✘ TRY AGAIN")</f>
        <v/>
      </c>
      <c r="E21" s="22"/>
      <c r="F21" s="23" cm="1" t="str">
        <f t="array" ref="F21">IF(E21="Show hint",Key!$B$40,"")</f>
        <v/>
      </c>
      <c r="G21" s="24" cm="1">
        <f t="array" ref="G21">IF(LEFT(D21,1)="✔",IF(E21="Show hint",5,10),0)</f>
        <v>0</v>
      </c>
    </row>
    <row r="22" spans="1:7" ht="51.25" customHeight="1">
      <c r="A22" s="18" t="s">
        <v>138</v>
      </c>
      <c r="B22" s="8" t="s">
        <v>304</v>
      </c>
      <c r="C22" s="20"/>
      <c r="D22" s="21" cm="1" t="str">
        <f t="array" ref="D22">IFERROR(_xlfn.LET(_xlpm.a,'F6-2 Date Math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E$41),"✔ CLEAR","✘ TRY AGAIN"))),"✘ TRY AGAIN")</f>
        <v/>
      </c>
      <c r="E22" s="22"/>
      <c r="F22" s="23" cm="1" t="str">
        <f t="array" ref="F22">IF(E22="Show hint",Key!$B$41,"")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140</v>
      </c>
      <c r="B24" s="4"/>
      <c r="C24" s="4"/>
      <c r="D24" s="4"/>
      <c r="E24" s="4"/>
      <c r="F24" s="4"/>
      <c r="G24" s="4"/>
    </row>
    <row r="25" spans="1:7">
      <c r="A25" s="6" t="s">
        <v>18</v>
      </c>
      <c r="B25" s="6" t="s">
        <v>43</v>
      </c>
      <c r="C25" s="6" t="s">
        <v>44</v>
      </c>
      <c r="D25" s="6" t="s">
        <v>45</v>
      </c>
      <c r="E25" s="6" t="s">
        <v>46</v>
      </c>
      <c r="F25" s="6" t="s">
        <v>1</v>
      </c>
      <c r="G25" s="6" t="s">
        <v>47</v>
      </c>
    </row>
    <row r="26" spans="1:7" ht="35.5" customHeight="1">
      <c r="A26" s="18" t="s">
        <v>144</v>
      </c>
      <c r="B26" s="8" t="s">
        <v>309</v>
      </c>
      <c r="C26" s="20"/>
      <c r="D26" s="21" cm="1" t="str">
        <f t="array" ref="D26">IFERROR(IF('F6-2 Date Math'!$C$26&amp;""="","",IF('F6-2 Date Math'!$C$26&amp;""=Key!$C$42&amp;"","✔ CLEAR","✘ TRY AGAIN")),"✘ TRY AGAIN")</f>
        <v/>
      </c>
      <c r="E26" s="22"/>
      <c r="F26" s="23" cm="1" t="str">
        <f t="array" ref="F26">IF(E26="Show hint",Key!$B$42,"")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149</v>
      </c>
      <c r="B27" s="8" t="s">
        <v>313</v>
      </c>
      <c r="C27" s="20"/>
      <c r="D27" s="21" cm="1" t="str">
        <f t="array" ref="D27">IFERROR(IF('F6-2 Date Math'!$C$27&amp;""="","",IF('F6-2 Date Math'!$C$27&amp;""=Key!$C$43&amp;"","✔ CLEAR","✘ TRY AGAIN")),"✘ TRY AGAIN")</f>
        <v/>
      </c>
      <c r="E27" s="22"/>
      <c r="F27" s="23" cm="1" t="str">
        <f t="array" ref="F27">IF(E27="Show hint",Key!$B$43,"")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153</v>
      </c>
      <c r="B28" s="8" t="s">
        <v>316</v>
      </c>
      <c r="C28" s="20"/>
      <c r="D28" s="21" cm="1" t="str">
        <f t="array" ref="D28">IFERROR(IF('F6-2 Date Math'!$C$28&amp;""="","",IF('F6-2 Date Math'!$C$28&amp;""=Key!$C$44&amp;"","✔ CLEAR","✘ TRY AGAIN")),"✘ TRY AGAIN")</f>
        <v/>
      </c>
      <c r="E28" s="22"/>
      <c r="F28" s="23" cm="1" t="str">
        <f t="array" ref="F28">IF(E28="Show hint",Key!$B$44,"")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170</v>
      </c>
      <c r="B30" s="4"/>
      <c r="C30" s="4"/>
      <c r="D30" s="4"/>
      <c r="E30" s="4"/>
      <c r="F30" s="4"/>
      <c r="G30" s="4"/>
    </row>
    <row r="31" spans="1:7">
      <c r="B31" s="11" t="s">
        <v>317</v>
      </c>
    </row>
    <row r="32" spans="1:7">
      <c r="A32" s="6" t="s">
        <v>18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1</v>
      </c>
      <c r="G32" s="6" t="s">
        <v>47</v>
      </c>
    </row>
    <row r="33" spans="1:7" ht="35.5" customHeight="1">
      <c r="A33" s="18" t="s">
        <v>178</v>
      </c>
      <c r="B33" s="8" t="s">
        <v>309</v>
      </c>
      <c r="C33" s="20"/>
      <c r="D33" s="21" cm="1" t="str">
        <f t="array" ref="D33">IFERROR(_xlfn.LET(_xlpm.a,'F6-2 Date Math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F$45),"✔ CLEAR","✘ TRY AGAIN"))),"✘ TRY AGAIN")</f>
        <v/>
      </c>
      <c r="E33" s="22"/>
      <c r="F33" s="23" cm="1" t="str">
        <f t="array" ref="F33">IF(E33="Show hint",Key!$B$45,"")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185</v>
      </c>
      <c r="B34" s="8" t="s">
        <v>313</v>
      </c>
      <c r="C34" s="20"/>
      <c r="D34" s="21" cm="1" t="str">
        <f t="array" ref="D34">IFERROR(_xlfn.LET(_xlpm.a,'F6-2 Date Math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H$46),"✔ CLEAR","✘ TRY AGAIN"))),"✘ TRY AGAIN")</f>
        <v/>
      </c>
      <c r="E34" s="22"/>
      <c r="F34" s="23" cm="1" t="str">
        <f t="array" ref="F34">IF(E34="Show hint",Key!$B$46,"")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192</v>
      </c>
      <c r="B35" s="8" t="s">
        <v>316</v>
      </c>
      <c r="C35" s="20"/>
      <c r="D35" s="21" cm="1" t="str">
        <f t="array" ref="D35">IFERROR(_xlfn.LET(_xlpm.a,'F6-2 Date Math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J$47),"✔ CLEAR","✘ TRY AGAIN"))),"✘ TRY AGAIN")</f>
        <v/>
      </c>
      <c r="E35" s="22"/>
      <c r="F35" s="23" cm="1" t="str">
        <f t="array" ref="F35">IF(E35="Show hint",Key!$B$47,"")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199</v>
      </c>
      <c r="B36" s="8" t="s">
        <v>334</v>
      </c>
      <c r="C36" s="11" t="s">
        <v>335</v>
      </c>
      <c r="D36" s="21" cm="1" t="str">
        <f t="array" ref="D36">IF(ISBLANK('F6-2 Arena'!$D$6),"",IF(NOT(_xlfn.ISFORMULA('F6-2 Arena'!$D$6)),"✘ That's a typed value · enter a formula",IF(ISERROR('F6-2 Arena'!$D$6),"✘ Your formula returns "&amp;IFERROR(CHOOSE(ERROR.TYPE('F6-2 Arena'!$D$6),"#NULL!","#DIV/0!","#VALUE!","#REF!","#NAME?","#NUM!","#N/A","#GETTING_DATA","#SPILL!","#CONNECT!","#BLOCKED!","#UNKNOWN!","#FIELD!","#CALC!"),"an error"),IF(NOT(AND(IFERROR(AND(ISNUMBER('F6-2 Arena'!$D$6),ABS('F6-2 Arena'!$D$6-Key!$C$48)&lt;=1E-9*MAX(1,ABS(Key!$C$48))),FALSE))),"✘ TRY AGAIN","✔ CLEAR"))))</f>
        <v/>
      </c>
      <c r="E36" s="22"/>
      <c r="F36" s="23" cm="1" t="str">
        <f t="array" ref="F36">IF(E36="Show hint",Key!$B$48,"")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206</v>
      </c>
      <c r="B37" s="8" t="s">
        <v>337</v>
      </c>
      <c r="C37" s="11" t="s">
        <v>338</v>
      </c>
      <c r="D37" s="21" cm="1" t="str">
        <f t="array" ref="D37">IF(ISBLANK('F6-2 Arena'!$D$7),"",IF(NOT(_xlfn.ISFORMULA('F6-2 Arena'!$D$7)),"✘ That's a typed value · enter a formula",IF(ISERROR('F6-2 Arena'!$D$7),"✘ Your formula returns "&amp;IFERROR(CHOOSE(ERROR.TYPE('F6-2 Arena'!$D$7),"#NULL!","#DIV/0!","#VALUE!","#REF!","#NAME?","#NUM!","#N/A","#GETTING_DATA","#SPILL!","#CONNECT!","#BLOCKED!","#UNKNOWN!","#FIELD!","#CALC!"),"an error"),IF(NOT(AND(IFERROR(AND(ISNUMBER('F6-2 Arena'!$D$7),ABS('F6-2 Arena'!$D$7-Key!$C$49)&lt;=1E-9*MAX(1,ABS(Key!$C$49))),FALSE))),"✘ TRY AGAIN","✔ CLEAR"))))</f>
        <v/>
      </c>
      <c r="E37" s="22"/>
      <c r="F37" s="23" cm="1" t="str">
        <f t="array" ref="F37">IF(E37="Show hint",Key!$B$49,"")</f>
        <v/>
      </c>
      <c r="G37" s="24" cm="1">
        <f t="array" ref="G37">IF(LEFT(D37,1)="✔",IF(E37="Show hint",5,10),0)</f>
        <v>0</v>
      </c>
    </row>
    <row r="38" spans="1:7" ht="51.25" customHeight="1">
      <c r="A38" s="18" t="s">
        <v>213</v>
      </c>
      <c r="B38" s="8" t="s">
        <v>341</v>
      </c>
      <c r="C38" s="11" t="s">
        <v>342</v>
      </c>
      <c r="D38" s="21" cm="1" t="str">
        <f t="array" ref="D38">IF(ISBLANK('F6-2 Arena'!$D$8),"",IF(NOT(_xlfn.ISFORMULA('F6-2 Arena'!$D$8)),"✘ That's a typed value · enter a formula",IF(ISERROR('F6-2 Arena'!$D$8),"✘ Your formula returns "&amp;IFERROR(CHOOSE(ERROR.TYPE('F6-2 Arena'!$D$8),"#NULL!","#DIV/0!","#VALUE!","#REF!","#NAME?","#NUM!","#N/A","#GETTING_DATA","#SPILL!","#CONNECT!","#BLOCKED!","#UNKNOWN!","#FIELD!","#CALC!"),"an error"),IF(NOT(AND(IFERROR(AND(ISNUMBER('F6-2 Arena'!$D$8),ABS('F6-2 Arena'!$D$8-Key!$C$50)&lt;=1E-9*MAX(1,ABS(Key!$C$50))),FALSE))),"✘ TRY AGAIN",IF(AND(OR(ISNUMBER(FIND({"=","(",",","+","-","*","/","&amp;"," ","&lt;","&gt;",":","@","^"}&amp;"DATEDIF"&amp;"(",UPPER(_xlfn.FORMULATEXT('F6-2 Arena'!$D$8)))))),"✔ CLEAR","✘ CLOSE · right value, but use DATEDIF")))))</f>
        <v/>
      </c>
      <c r="E38" s="22"/>
      <c r="F38" s="23" cm="1" t="str">
        <f t="array" ref="F38">IF(E38="Show hint",Key!$B$50,"")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220</v>
      </c>
      <c r="B39" s="8" t="s">
        <v>345</v>
      </c>
      <c r="C39" s="11" t="s">
        <v>346</v>
      </c>
      <c r="D39" s="21" cm="1" t="str">
        <f t="array" ref="D39">IF(ISBLANK('F6-2 Arena'!$D$9),"",IF(NOT(_xlfn.ISFORMULA('F6-2 Arena'!$D$9)),"✘ That's a typed value · enter a formula",IF(ISERROR('F6-2 Arena'!$D$9),"✘ Your formula returns "&amp;IFERROR(CHOOSE(ERROR.TYPE('F6-2 Arena'!$D$9),"#NULL!","#DIV/0!","#VALUE!","#REF!","#NAME?","#NUM!","#N/A","#GETTING_DATA","#SPILL!","#CONNECT!","#BLOCKED!","#UNKNOWN!","#FIELD!","#CALC!"),"an error"),IF(NOT(AND(IFERROR(AND(ISNUMBER('F6-2 Arena'!$D$9),ABS('F6-2 Arena'!$D$9-Key!$C$51)&lt;=1E-9*MAX(1,ABS(Key!$C$51))),FALSE))),"✘ TRY AGAIN",IF(AND(OR(ISNUMBER(FIND({"=","(",",","+","-","*","/","&amp;"," ","&lt;","&gt;",":","@","^"}&amp;"DATEDIF"&amp;"(",UPPER(_xlfn.FORMULATEXT('F6-2 Arena'!$D$9)))))),"✔ CLEAR","✘ CLOSE · right value, but use DATEDIF")))))</f>
        <v/>
      </c>
      <c r="E39" s="22"/>
      <c r="F39" s="23" cm="1" t="str">
        <f t="array" ref="F39">IF(E39="Show hint",Key!$B$51,"")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3:D39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Key!$E$42:$H$42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Key!$E$43:$H$43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Key!$E$44:$H$44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1" location="'F6-2 Arena'!A1" display="▶ Open F6-2 Arena (or press Ctrl+PgDn)"/>
    <hyperlink ref="C36" location="'F6-2 Arena'!D6" tooltip="Go to F6-2 Arena, cell D6" display="▶ ARENA C4 (cell D6)"/>
    <hyperlink ref="C37" location="'F6-2 Arena'!D7" tooltip="Go to F6-2 Arena, cell D7" display="▶ ARENA C5 (cell D7)"/>
    <hyperlink ref="C38" location="'F6-2 Arena'!D8" tooltip="Go to F6-2 Arena, cell D8" display="▶ ARENA C6 (cell D8)"/>
    <hyperlink ref="C39" location="'F6-2 Arena'!D9" tooltip="Go to F6-2 Arena, cell D9" display="▶ ARENA C7 (cell D9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2" width="14.7109375" customWidth="1"/>
    <col min="3" max="3" width="30.7109375" customWidth="1"/>
    <col min="4" max="4" width="16.7109375" customWidth="1"/>
    <col min="5" max="26" width="13.7109375" customWidth="1"/>
  </cols>
  <sheetData>
    <row r="1" spans="1:4">
      <c r="A1" s="1" t="s">
        <v>253</v>
      </c>
    </row>
    <row r="2" spans="1:4">
      <c r="A2" s="3" t="s">
        <v>5</v>
      </c>
    </row>
    <row r="3" spans="1:4">
      <c r="A3" s="25" t="s">
        <v>6</v>
      </c>
      <c r="B3" s="26" t="s">
        <v>254</v>
      </c>
      <c r="D3" s="11" t="s">
        <v>255</v>
      </c>
    </row>
    <row r="5" spans="1:4">
      <c r="B5" s="27" t="s">
        <v>256</v>
      </c>
      <c r="C5" s="27" t="s">
        <v>10</v>
      </c>
    </row>
    <row r="6" spans="1:4">
      <c r="A6" s="7" t="s">
        <v>257</v>
      </c>
      <c r="B6" s="28">
        <v>46096</v>
      </c>
      <c r="C6" s="5" t="s">
        <v>261</v>
      </c>
      <c r="D6" s="30"/>
    </row>
    <row r="7" spans="1:4">
      <c r="A7" s="7" t="s">
        <v>258</v>
      </c>
      <c r="B7" s="28">
        <v>46143</v>
      </c>
      <c r="C7" s="5" t="s">
        <v>262</v>
      </c>
      <c r="D7" s="29"/>
    </row>
    <row r="8" spans="1:4">
      <c r="C8" s="5" t="s">
        <v>263</v>
      </c>
      <c r="D8" s="30"/>
    </row>
    <row r="9" spans="1:4">
      <c r="A9" s="7" t="s">
        <v>259</v>
      </c>
      <c r="B9" s="28">
        <v>33105</v>
      </c>
      <c r="C9" s="5" t="s">
        <v>264</v>
      </c>
      <c r="D9" s="30"/>
    </row>
    <row r="10" spans="1:4">
      <c r="A10" s="7" t="s">
        <v>260</v>
      </c>
      <c r="B10" s="28">
        <v>46096</v>
      </c>
    </row>
  </sheetData>
  <hyperlinks>
    <hyperlink ref="D3" location="'F6-2 Date Math'!A1" display="◀ Back to F6-2 Date Math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484</v>
      </c>
      <c r="B1" s="2"/>
      <c r="C1" s="2"/>
      <c r="D1" s="2"/>
      <c r="E1" s="2"/>
      <c r="F1" s="2"/>
      <c r="G1" s="2"/>
    </row>
    <row r="2" spans="1:7">
      <c r="A2" s="3" t="s">
        <v>485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Boss","")</f>
        <v/>
      </c>
    </row>
    <row r="5" spans="1:7" ht="22" customHeight="1">
      <c r="A5" s="4" t="s">
        <v>17</v>
      </c>
      <c r="B5" s="4"/>
      <c r="C5" s="4"/>
      <c r="D5" s="4"/>
      <c r="E5" s="4"/>
      <c r="F5" s="4"/>
      <c r="G5" s="4"/>
    </row>
    <row r="6" spans="1:7">
      <c r="A6" s="6" t="s">
        <v>18</v>
      </c>
      <c r="B6" s="6" t="s">
        <v>19</v>
      </c>
      <c r="C6" s="6" t="s">
        <v>20</v>
      </c>
      <c r="D6" s="6"/>
      <c r="E6" s="6"/>
      <c r="F6" s="6"/>
      <c r="G6" s="6"/>
    </row>
    <row r="7" spans="1:7" ht="35.5" customHeight="1">
      <c r="A7" s="18" t="s">
        <v>21</v>
      </c>
      <c r="B7" s="8" t="s">
        <v>356</v>
      </c>
      <c r="C7" s="19" t="s">
        <v>157</v>
      </c>
    </row>
    <row r="8" spans="1:7" ht="51.25" customHeight="1">
      <c r="A8" s="18" t="s">
        <v>24</v>
      </c>
      <c r="B8" s="8" t="s">
        <v>357</v>
      </c>
      <c r="C8" s="19" t="s">
        <v>143</v>
      </c>
    </row>
    <row r="9" spans="1:7" ht="51.25" customHeight="1">
      <c r="A9" s="18" t="s">
        <v>27</v>
      </c>
      <c r="B9" s="8" t="s">
        <v>358</v>
      </c>
      <c r="C9" s="19" t="s">
        <v>359</v>
      </c>
    </row>
    <row r="10" spans="1:7" ht="51.25" customHeight="1">
      <c r="A10" s="18" t="s">
        <v>30</v>
      </c>
      <c r="B10" s="8" t="s">
        <v>360</v>
      </c>
      <c r="C10" s="19" t="s">
        <v>156</v>
      </c>
    </row>
    <row r="12" spans="1:7" ht="22" customHeight="1">
      <c r="A12" s="4" t="s">
        <v>42</v>
      </c>
      <c r="B12" s="4"/>
      <c r="C12" s="4"/>
      <c r="D12" s="4"/>
      <c r="E12" s="4"/>
      <c r="F12" s="4"/>
      <c r="G12" s="4"/>
    </row>
    <row r="13" spans="1:7">
      <c r="A13" s="6" t="s">
        <v>18</v>
      </c>
      <c r="B13" s="6" t="s">
        <v>43</v>
      </c>
      <c r="C13" s="6" t="s">
        <v>44</v>
      </c>
      <c r="D13" s="6" t="s">
        <v>45</v>
      </c>
      <c r="E13" s="6" t="s">
        <v>46</v>
      </c>
      <c r="F13" s="6" t="s">
        <v>1</v>
      </c>
      <c r="G13" s="6" t="s">
        <v>47</v>
      </c>
    </row>
    <row r="14" spans="1:7" ht="51.25" customHeight="1">
      <c r="A14" s="18" t="s">
        <v>56</v>
      </c>
      <c r="B14" s="8" t="s">
        <v>362</v>
      </c>
      <c r="C14" s="20"/>
      <c r="D14" s="21" cm="1" t="str">
        <f t="array" ref="D14">IFERROR(_xlfn.LET(_xlpm.a,'F6-3 Deadline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$52:$F$52),"✔ CLEAR","✘ TRY AGAIN"))),"✘ TRY AGAIN")</f>
        <v/>
      </c>
      <c r="E14" s="22"/>
      <c r="F14" s="23" cm="1" t="str">
        <f t="array" ref="F14">IF(E14="Show hint",Key!$B$52,"")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66</v>
      </c>
      <c r="B15" s="8" t="s">
        <v>364</v>
      </c>
      <c r="C15" s="20"/>
      <c r="D15" s="21" cm="1" t="str">
        <f t="array" ref="D15">IFERROR(_xlfn.LET(_xlpm.a,'F6-3 Deadline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H$53),"✔ CLEAR","✘ TRY AGAIN"))),"✘ TRY AGAIN")</f>
        <v/>
      </c>
      <c r="E15" s="22"/>
      <c r="F15" s="23" cm="1" t="str">
        <f t="array" ref="F15">IF(E15="Show hint",Key!$B$53,"")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76</v>
      </c>
      <c r="B16" s="8" t="s">
        <v>366</v>
      </c>
      <c r="C16" s="20"/>
      <c r="D16" s="21" cm="1" t="str">
        <f t="array" ref="D16">IFERROR(_xlfn.LET(_xlpm.a,'F6-3 Deadline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J$54),"✔ CLEAR","✘ TRY AGAIN"))),"✘ TRY AGAIN")</f>
        <v/>
      </c>
      <c r="E16" s="22"/>
      <c r="F16" s="23" cm="1" t="str">
        <f t="array" ref="F16">IF(E16="Show hint",Key!$B$54,"")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86</v>
      </c>
      <c r="B17" s="8" t="s">
        <v>375</v>
      </c>
      <c r="C17" s="20"/>
      <c r="D17" s="21" cm="1" t="str">
        <f t="array" ref="D17">IFERROR(_xlfn.LET(_xlpm.a,'F6-3 Deadline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J$55),"✔ CLEAR","✘ TRY AGAIN"))),"✘ TRY AGAIN")</f>
        <v/>
      </c>
      <c r="E17" s="22"/>
      <c r="F17" s="23" cm="1" t="str">
        <f t="array" ref="F17">IF(E17="Show hint",Key!$B$55,"")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96</v>
      </c>
      <c r="B18" s="8" t="s">
        <v>383</v>
      </c>
      <c r="C18" s="20"/>
      <c r="D18" s="21" cm="1" t="str">
        <f t="array" ref="D18">IFERROR(_xlfn.LET(_xlpm.a,'F6-3 Deadline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J$56),"✔ CLEAR","✘ TRY AGAIN"))),"✘ TRY AGAIN")</f>
        <v/>
      </c>
      <c r="E18" s="22"/>
      <c r="F18" s="23" cm="1" t="str">
        <f t="array" ref="F18">IF(E18="Show hint",Key!$B$56,"")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101</v>
      </c>
      <c r="B19" s="8" t="s">
        <v>392</v>
      </c>
      <c r="C19" s="20"/>
      <c r="D19" s="21" cm="1" t="str">
        <f t="array" ref="D19">IFERROR(_xlfn.LET(_xlpm.a,'F6-3 Deadline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J$57),"✔ CLEAR","✘ TRY AGAIN"))),"✘ TRY AGAIN")</f>
        <v/>
      </c>
      <c r="E19" s="22"/>
      <c r="F19" s="23" cm="1" t="str">
        <f t="array" ref="F19">IF(E19="Show hint",Key!$B$57,"")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107</v>
      </c>
      <c r="B20" s="8" t="s">
        <v>411</v>
      </c>
      <c r="C20" s="20"/>
      <c r="D20" s="21" cm="1" t="str">
        <f t="array" ref="D20">IFERROR(_xlfn.LET(_xlpm.a,'F6-3 Deadline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$58:$T$58),"✔ CLEAR","✘ TRY AGAIN"))),"✘ TRY AGAIN")</f>
        <v/>
      </c>
      <c r="E20" s="22"/>
      <c r="F20" s="23" cm="1" t="str">
        <f t="array" ref="F20">IF(E20="Show hint",Key!$B$58,"")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112</v>
      </c>
      <c r="B21" s="8" t="s">
        <v>415</v>
      </c>
      <c r="C21" s="20"/>
      <c r="D21" s="21" cm="1" t="str">
        <f t="array" ref="D21">IFERROR(_xlfn.LET(_xlpm.a,'F6-3 Deadline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E$59),"✔ CLEAR","✘ TRY AGAIN"))),"✘ TRY AGAIN")</f>
        <v/>
      </c>
      <c r="E21" s="22"/>
      <c r="F21" s="23" cm="1" t="str">
        <f t="array" ref="F21">IF(E21="Show hint",Key!$B$59,"")</f>
        <v/>
      </c>
      <c r="G21" s="24" cm="1">
        <f t="array" ref="G21">IF(LEFT(D21,1)="✔",IF(E21="Show hint",5,10),0)</f>
        <v>0</v>
      </c>
    </row>
    <row r="22" spans="1:7" ht="51.25" customHeight="1">
      <c r="A22" s="18" t="s">
        <v>118</v>
      </c>
      <c r="B22" s="8" t="s">
        <v>424</v>
      </c>
      <c r="C22" s="20"/>
      <c r="D22" s="21" cm="1" t="str">
        <f t="array" ref="D22">IFERROR(_xlfn.LET(_xlpm.a,'F6-3 Deadline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J$60),"✔ CLEAR","✘ TRY AGAIN"))),"✘ TRY AGAIN")</f>
        <v/>
      </c>
      <c r="E22" s="22"/>
      <c r="F22" s="23" cm="1" t="str">
        <f t="array" ref="F22">IF(E22="Show hint",Key!$B$60,"")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138</v>
      </c>
      <c r="B23" s="8" t="s">
        <v>430</v>
      </c>
      <c r="C23" s="20"/>
      <c r="D23" s="21" cm="1" t="str">
        <f t="array" ref="D23">IFERROR(_xlfn.LET(_xlpm.a,'F6-3 Deadlines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G$61),"✔ CLEAR","✘ TRY AGAIN"))),"✘ TRY AGAIN")</f>
        <v/>
      </c>
      <c r="E23" s="22"/>
      <c r="F23" s="23" cm="1" t="str">
        <f t="array" ref="F23">IF(E23="Show hint",Key!$B$61,"")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140</v>
      </c>
      <c r="B25" s="4"/>
      <c r="C25" s="4"/>
      <c r="D25" s="4"/>
      <c r="E25" s="4"/>
      <c r="F25" s="4"/>
      <c r="G25" s="4"/>
    </row>
    <row r="26" spans="1:7">
      <c r="A26" s="6" t="s">
        <v>18</v>
      </c>
      <c r="B26" s="6" t="s">
        <v>43</v>
      </c>
      <c r="C26" s="6" t="s">
        <v>44</v>
      </c>
      <c r="D26" s="6" t="s">
        <v>45</v>
      </c>
      <c r="E26" s="6" t="s">
        <v>46</v>
      </c>
      <c r="F26" s="6" t="s">
        <v>1</v>
      </c>
      <c r="G26" s="6" t="s">
        <v>47</v>
      </c>
    </row>
    <row r="27" spans="1:7" ht="35.5" customHeight="1">
      <c r="A27" s="18" t="s">
        <v>144</v>
      </c>
      <c r="B27" s="8" t="s">
        <v>433</v>
      </c>
      <c r="C27" s="20"/>
      <c r="D27" s="21" cm="1" t="str">
        <f t="array" ref="D27">IFERROR(IF('F6-3 Deadlines'!$C$27&amp;""="","",IF('F6-3 Deadlines'!$C$27&amp;""=Key!$C$62&amp;"","✔ CLEAR","✘ TRY AGAIN")),"✘ TRY AGAIN")</f>
        <v/>
      </c>
      <c r="E27" s="22"/>
      <c r="F27" s="23" cm="1" t="str">
        <f t="array" ref="F27">IF(E27="Show hint",Key!$B$62,"")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149</v>
      </c>
      <c r="B28" s="8" t="s">
        <v>436</v>
      </c>
      <c r="C28" s="20"/>
      <c r="D28" s="21" cm="1" t="str">
        <f t="array" ref="D28">IFERROR(IF('F6-3 Deadlines'!$C$28&amp;""="","",IF('F6-3 Deadlines'!$C$28&amp;""=Key!$C$63&amp;"","✔ CLEAR","✘ TRY AGAIN")),"✘ TRY AGAIN")</f>
        <v/>
      </c>
      <c r="E28" s="22"/>
      <c r="F28" s="23" cm="1" t="str">
        <f t="array" ref="F28">IF(E28="Show hint",Key!$B$63,"")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153</v>
      </c>
      <c r="B29" s="8" t="s">
        <v>439</v>
      </c>
      <c r="C29" s="20"/>
      <c r="D29" s="21" cm="1" t="str">
        <f t="array" ref="D29">IFERROR(IF('F6-3 Deadlines'!$C$29&amp;""="","",IF('F6-3 Deadlines'!$C$29&amp;""=Key!$C$64&amp;"","✔ CLEAR","✘ TRY AGAIN")),"✘ TRY AGAIN")</f>
        <v/>
      </c>
      <c r="E29" s="22"/>
      <c r="F29" s="23" cm="1" t="str">
        <f t="array" ref="F29">IF(E29="Show hint",Key!$B$64,"")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158</v>
      </c>
      <c r="B30" s="8" t="s">
        <v>442</v>
      </c>
      <c r="C30" s="20"/>
      <c r="D30" s="21" cm="1" t="str">
        <f t="array" ref="D30">IFERROR(IF('F6-3 Deadlines'!$C$30&amp;""="","",IF('F6-3 Deadlines'!$C$30&amp;""=Key!$C$65&amp;"","✔ CLEAR","✘ TRY AGAIN")),"✘ TRY AGAIN")</f>
        <v/>
      </c>
      <c r="E30" s="22"/>
      <c r="F30" s="23" cm="1" t="str">
        <f t="array" ref="F30">IF(E30="Show hint",Key!$B$65,"")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170</v>
      </c>
      <c r="B32" s="4"/>
      <c r="C32" s="4"/>
      <c r="D32" s="4"/>
      <c r="E32" s="4"/>
      <c r="F32" s="4"/>
      <c r="G32" s="4"/>
    </row>
    <row r="33" spans="1:7">
      <c r="B33" s="11" t="s">
        <v>443</v>
      </c>
    </row>
    <row r="34" spans="1:7">
      <c r="A34" s="6" t="s">
        <v>18</v>
      </c>
      <c r="B34" s="6" t="s">
        <v>43</v>
      </c>
      <c r="C34" s="6" t="s">
        <v>44</v>
      </c>
      <c r="D34" s="6" t="s">
        <v>45</v>
      </c>
      <c r="E34" s="6" t="s">
        <v>46</v>
      </c>
      <c r="F34" s="6" t="s">
        <v>1</v>
      </c>
      <c r="G34" s="6" t="s">
        <v>47</v>
      </c>
    </row>
    <row r="35" spans="1:7" ht="35.5" customHeight="1">
      <c r="A35" s="18" t="s">
        <v>178</v>
      </c>
      <c r="B35" s="8" t="s">
        <v>433</v>
      </c>
      <c r="C35" s="20"/>
      <c r="D35" s="21" cm="1" t="str">
        <f t="array" ref="D35">IFERROR(_xlfn.LET(_xlpm.a,'F6-3 Deadlines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J$66),"✔ CLEAR","✘ TRY AGAIN"))),"✘ TRY AGAIN")</f>
        <v/>
      </c>
      <c r="E35" s="22"/>
      <c r="F35" s="23" cm="1" t="str">
        <f t="array" ref="F35">IF(E35="Show hint",Key!$B$66,"")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185</v>
      </c>
      <c r="B36" s="8" t="s">
        <v>436</v>
      </c>
      <c r="C36" s="20"/>
      <c r="D36" s="21" cm="1" t="str">
        <f t="array" ref="D36">IFERROR(_xlfn.LET(_xlpm.a,'F6-3 Deadlines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J$67),"✔ CLEAR","✘ TRY AGAIN"))),"✘ TRY AGAIN")</f>
        <v/>
      </c>
      <c r="E36" s="22"/>
      <c r="F36" s="23" cm="1" t="str">
        <f t="array" ref="F36">IF(E36="Show hint",Key!$B$67,"")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192</v>
      </c>
      <c r="B37" s="8" t="s">
        <v>439</v>
      </c>
      <c r="C37" s="20"/>
      <c r="D37" s="21" cm="1" t="str">
        <f t="array" ref="D37">IFERROR(_xlfn.LET(_xlpm.a,'F6-3 Deadlines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J$68),"✔ CLEAR","✘ TRY AGAIN"))),"✘ TRY AGAIN")</f>
        <v/>
      </c>
      <c r="E37" s="22"/>
      <c r="F37" s="23" cm="1" t="str">
        <f t="array" ref="F37">IF(E37="Show hint",Key!$B$68,"")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199</v>
      </c>
      <c r="B38" s="8" t="s">
        <v>442</v>
      </c>
      <c r="C38" s="20"/>
      <c r="D38" s="21" cm="1" t="str">
        <f t="array" ref="D38">IFERROR(_xlfn.LET(_xlpm.a,'F6-3 Deadlines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J$69),"✔ CLEAR","✘ TRY AGAIN"))),"✘ TRY AGAIN")</f>
        <v/>
      </c>
      <c r="E38" s="22"/>
      <c r="F38" s="23" cm="1" t="str">
        <f t="array" ref="F38">IF(E38="Show hint",Key!$B$69,"")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206</v>
      </c>
      <c r="B39" s="8" t="s">
        <v>470</v>
      </c>
      <c r="C39" s="11" t="s">
        <v>471</v>
      </c>
      <c r="D39" s="21" cm="1" t="str">
        <f t="array" ref="D39">IF(ISBLANK('F6-3 Arena'!$D$6),"",IF(NOT(_xlfn.ISFORMULA('F6-3 Arena'!$D$6)),"✘ That's a typed value · enter a formula",IF(ISERROR('F6-3 Arena'!$D$6),"✘ Your formula returns "&amp;IFERROR(CHOOSE(ERROR.TYPE('F6-3 Arena'!$D$6),"#NULL!","#DIV/0!","#VALUE!","#REF!","#NAME?","#NUM!","#N/A","#GETTING_DATA","#SPILL!","#CONNECT!","#BLOCKED!","#UNKNOWN!","#FIELD!","#CALC!"),"an error"),IF(NOT(AND(IFERROR(AND(ISNUMBER('F6-3 Arena'!$D$6),ABS('F6-3 Arena'!$D$6-Key!$C$70)&lt;=1E-9*MAX(1,ABS(Key!$C$70))),FALSE))),"✘ TRY AGAIN",IF(AND(OR(ISNUMBER(FIND({"=","(",",","+","-","*","/","&amp;"," ","&lt;","&gt;",":","@","^"}&amp;"EDATE"&amp;"(",UPPER(_xlfn.FORMULATEXT('F6-3 Arena'!$D$6)))))),"✔ CLEAR","✘ CLOSE · right value, but use EDATE")))))</f>
        <v/>
      </c>
      <c r="E39" s="22"/>
      <c r="F39" s="23" cm="1" t="str">
        <f t="array" ref="F39">IF(E39="Show hint",Key!$B$70,"")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213</v>
      </c>
      <c r="B40" s="8" t="s">
        <v>474</v>
      </c>
      <c r="C40" s="11" t="s">
        <v>475</v>
      </c>
      <c r="D40" s="21" cm="1" t="str">
        <f t="array" ref="D40">IF(ISBLANK('F6-3 Arena'!$D$7),"",IF(NOT(_xlfn.ISFORMULA('F6-3 Arena'!$D$7)),"✘ That's a typed value · enter a formula",IF(ISERROR('F6-3 Arena'!$D$7),"✘ Your formula returns "&amp;IFERROR(CHOOSE(ERROR.TYPE('F6-3 Arena'!$D$7),"#NULL!","#DIV/0!","#VALUE!","#REF!","#NAME?","#NUM!","#N/A","#GETTING_DATA","#SPILL!","#CONNECT!","#BLOCKED!","#UNKNOWN!","#FIELD!","#CALC!"),"an error"),IF(NOT(AND(IFERROR(AND(ISNUMBER('F6-3 Arena'!$D$7),ABS('F6-3 Arena'!$D$7-Key!$C$71)&lt;=1E-9*MAX(1,ABS(Key!$C$71))),FALSE))),"✘ TRY AGAIN",IF(AND(OR(ISNUMBER(FIND({"=","(",",","+","-","*","/","&amp;"," ","&lt;","&gt;",":","@","^"}&amp;"EOMONTH"&amp;"(",UPPER(_xlfn.FORMULATEXT('F6-3 Arena'!$D$7)))))),"✔ CLEAR","✘ CLOSE · right value, but use EOMONTH")))))</f>
        <v/>
      </c>
      <c r="E40" s="22"/>
      <c r="F40" s="23" cm="1" t="str">
        <f t="array" ref="F40">IF(E40="Show hint",Key!$B$71,"")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220</v>
      </c>
      <c r="B41" s="8" t="s">
        <v>478</v>
      </c>
      <c r="C41" s="11" t="s">
        <v>479</v>
      </c>
      <c r="D41" s="21" cm="1" t="str">
        <f t="array" ref="D41">IF(ISBLANK('F6-3 Arena'!$D$8),"",IF(NOT(_xlfn.ISFORMULA('F6-3 Arena'!$D$8)),"✘ That's a typed value · enter a formula",IF(ISERROR('F6-3 Arena'!$D$8),"✘ Your formula returns "&amp;IFERROR(CHOOSE(ERROR.TYPE('F6-3 Arena'!$D$8),"#NULL!","#DIV/0!","#VALUE!","#REF!","#NAME?","#NUM!","#N/A","#GETTING_DATA","#SPILL!","#CONNECT!","#BLOCKED!","#UNKNOWN!","#FIELD!","#CALC!"),"an error"),IF(NOT(AND(IFERROR(AND(ISNUMBER('F6-3 Arena'!$D$8),ABS('F6-3 Arena'!$D$8-Key!$C$72)&lt;=1E-9*MAX(1,ABS(Key!$C$72))),FALSE))),"✘ TRY AGAIN",IF(AND(OR(ISNUMBER(FIND({"=","(",",","+","-","*","/","&amp;"," ","&lt;","&gt;",":","@","^"}&amp;"NETWORKDAYS"&amp;"(",UPPER(_xlfn.FORMULATEXT('F6-3 Arena'!$D$8)))))),"✔ CLEAR","✘ CLOSE · right value, but use NETWORKDAYS")))))</f>
        <v/>
      </c>
      <c r="E41" s="22"/>
      <c r="F41" s="23" cm="1" t="str">
        <f t="array" ref="F41">IF(E41="Show hint",Key!$B$72,"")</f>
        <v/>
      </c>
      <c r="G41" s="24" cm="1">
        <f t="array" ref="G41">IF(LEFT(D41,1)="✔",IF(E41="Show hint",5,10),0)</f>
        <v>0</v>
      </c>
    </row>
    <row r="42" spans="1:7" ht="35.5" customHeight="1">
      <c r="A42" s="18" t="s">
        <v>223</v>
      </c>
      <c r="B42" s="8" t="s">
        <v>482</v>
      </c>
      <c r="C42" s="11" t="s">
        <v>483</v>
      </c>
      <c r="D42" s="21" cm="1" t="str">
        <f t="array" ref="D42">IF(ISBLANK('F6-3 Arena'!$D$9),"",IF(NOT(_xlfn.ISFORMULA('F6-3 Arena'!$D$9)),"✘ That's a typed value · enter a formula",IF(ISERROR('F6-3 Arena'!$D$9),"✘ Your formula returns "&amp;IFERROR(CHOOSE(ERROR.TYPE('F6-3 Arena'!$D$9),"#NULL!","#DIV/0!","#VALUE!","#REF!","#NAME?","#NUM!","#N/A","#GETTING_DATA","#SPILL!","#CONNECT!","#BLOCKED!","#UNKNOWN!","#FIELD!","#CALC!"),"an error"),IF(NOT(AND(IFERROR(AND(ISNUMBER('F6-3 Arena'!$D$9),ABS('F6-3 Arena'!$D$9-Key!$C$73)&lt;=1E-9*MAX(1,ABS(Key!$C$73))),FALSE))),"✘ TRY AGAIN",IF(AND(OR(ISNUMBER(FIND({"=","(",",","+","-","*","/","&amp;"," ","&lt;","&gt;",":","@","^"}&amp;"WORKDAY"&amp;"(",UPPER(_xlfn.FORMULATEXT('F6-3 Arena'!$D$9)))))),"✔ CLEAR","✘ CLOSE · right value, but use WORKDAY")))))</f>
        <v/>
      </c>
      <c r="E42" s="22"/>
      <c r="F42" s="23" cm="1" t="str">
        <f t="array" ref="F42">IF(E42="Show hint",Key!$B$73,"")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Key!$E$62:$H$62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Key!$E$63:$H$63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Key!$E$64:$H$64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Key!$E$65:$H$65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F6-3 Arena'!A1" display="▶ Open F6-3 Arena (or press Ctrl+PgDn)"/>
    <hyperlink ref="C39" location="'F6-3 Arena'!D6" tooltip="Go to F6-3 Arena, cell D6" display="▶ ARENA C5 (cell D6)"/>
    <hyperlink ref="C40" location="'F6-3 Arena'!D7" tooltip="Go to F6-3 Arena, cell D7" display="▶ ARENA C6 (cell D7)"/>
    <hyperlink ref="C41" location="'F6-3 Arena'!D8" tooltip="Go to F6-3 Arena, cell D8" display="▶ ARENA C7 (cell D8)"/>
    <hyperlink ref="C42" location="'F6-3 Arena'!D9" tooltip="Go to F6-3 Arena, cell D9" display="▶ ARENA C8 (cell D9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2" width="14.7109375" customWidth="1"/>
    <col min="3" max="3" width="24.7109375" customWidth="1"/>
    <col min="4" max="4" width="16.7109375" customWidth="1"/>
    <col min="5" max="26" width="13.7109375" customWidth="1"/>
  </cols>
  <sheetData>
    <row r="1" spans="1:4">
      <c r="A1" s="1" t="s">
        <v>349</v>
      </c>
    </row>
    <row r="2" spans="1:4">
      <c r="A2" s="3" t="s">
        <v>5</v>
      </c>
    </row>
    <row r="3" spans="1:4">
      <c r="A3" s="25" t="s">
        <v>6</v>
      </c>
      <c r="B3" s="26" t="s">
        <v>350</v>
      </c>
      <c r="D3" s="11" t="s">
        <v>351</v>
      </c>
    </row>
    <row r="5" spans="1:4">
      <c r="B5" s="27" t="s">
        <v>256</v>
      </c>
      <c r="C5" s="27" t="s">
        <v>10</v>
      </c>
    </row>
    <row r="6" spans="1:4">
      <c r="A6" s="7" t="s">
        <v>257</v>
      </c>
      <c r="B6" s="28">
        <v>46096</v>
      </c>
      <c r="C6" s="5" t="s">
        <v>352</v>
      </c>
      <c r="D6" s="29"/>
    </row>
    <row r="7" spans="1:4">
      <c r="A7" s="7" t="s">
        <v>258</v>
      </c>
      <c r="B7" s="28">
        <v>46143</v>
      </c>
      <c r="C7" s="5" t="s">
        <v>353</v>
      </c>
      <c r="D7" s="29"/>
    </row>
    <row r="8" spans="1:4">
      <c r="C8" s="5" t="s">
        <v>354</v>
      </c>
      <c r="D8" s="30"/>
    </row>
    <row r="9" spans="1:4">
      <c r="C9" s="5" t="s">
        <v>355</v>
      </c>
      <c r="D9" s="29"/>
    </row>
  </sheetData>
  <hyperlinks>
    <hyperlink ref="D3" location="'F6-3 Deadlines'!A1" display="◀ Back to F6-3 Deadline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568</v>
      </c>
      <c r="B1" s="2"/>
      <c r="C1" s="2"/>
      <c r="D1" s="2"/>
      <c r="E1" s="2"/>
      <c r="F1" s="2"/>
      <c r="G1" s="2"/>
    </row>
    <row r="2" spans="1:7">
      <c r="A2" s="3" t="s">
        <v>569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495</v>
      </c>
      <c r="B5" s="4"/>
      <c r="C5" s="4"/>
      <c r="D5" s="4"/>
      <c r="E5" s="4"/>
      <c r="F5" s="4"/>
      <c r="G5" s="4"/>
    </row>
    <row r="6" spans="1:7">
      <c r="B6" s="7" t="s">
        <v>496</v>
      </c>
      <c r="C6" s="31"/>
    </row>
    <row r="7" spans="1:7">
      <c r="B7" s="7" t="s">
        <v>497</v>
      </c>
      <c r="C7" s="31"/>
    </row>
    <row r="8" spans="1:7">
      <c r="B8" s="7" t="s">
        <v>498</v>
      </c>
      <c r="C8" s="32" cm="1" t="str">
        <f t="array" ref="C8">IF(OR(C6="",C7=""),"",ROUND(MOD(C7-C6,1)*1440,0))</f>
        <v/>
      </c>
    </row>
    <row r="9" spans="1:7">
      <c r="B9" s="7" t="s">
        <v>499</v>
      </c>
      <c r="C9" s="32">
        <v>12</v>
      </c>
    </row>
    <row r="10" spans="1:7">
      <c r="B10" s="7" t="s">
        <v>500</v>
      </c>
      <c r="C10" s="12" cm="1" t="str">
        <f t="array" ref="C10">IF(AND(SUM('F6-1 Calendar'!$G$17:$G$53)&gt;=300*0.5,SUM('F6-2 Date Math'!$G$13:$G$39)&gt;=200*0.5,SUM('F6-3 Deadlines'!$G$14:$G$42)&gt;=220*0.5),"OPEN","LOCKED")</f>
        <v>LOCKED</v>
      </c>
      <c r="D10" s="33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501</v>
      </c>
      <c r="B12" s="4"/>
      <c r="C12" s="4"/>
      <c r="D12" s="4"/>
      <c r="E12" s="4"/>
      <c r="F12" s="4"/>
      <c r="G12" s="4"/>
    </row>
    <row r="13" spans="1:7">
      <c r="A13" s="6" t="s">
        <v>18</v>
      </c>
      <c r="B13" s="6" t="s">
        <v>43</v>
      </c>
      <c r="C13" s="6" t="s">
        <v>44</v>
      </c>
      <c r="D13" s="6" t="s">
        <v>45</v>
      </c>
      <c r="E13" s="6" t="s">
        <v>46</v>
      </c>
      <c r="F13" s="6" t="s">
        <v>1</v>
      </c>
      <c r="G13" s="6" t="s">
        <v>47</v>
      </c>
    </row>
    <row r="14" spans="1:7" ht="35.5" customHeight="1">
      <c r="A14" s="18" t="s">
        <v>503</v>
      </c>
      <c r="B14" s="33" cm="1" t="str">
        <f t="array" ref="B14">IF($C$10="OPEN","Which function moves a date forward or back by whole months?  (from F6-3 Deadlines)","LOCKED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J$74),"✔ CLEAR","✘ TRY AGAIN"))),"✘ TRY AGAIN"),"LOCKED")</f>
        <v>LOCKED</v>
      </c>
      <c r="E14" s="22"/>
      <c r="F14" s="23" cm="1" t="str">
        <f t="array" ref="F14">IF(E14="Show hint",Key!$B$74,"")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505</v>
      </c>
      <c r="B15" s="33" cm="1" t="str">
        <f t="array" ref="B15">IF($C$10="OPEN","Which function returns the last day of a month?  (from F6-3 Deadlines)","LOCKED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J$75),"✔ CLEAR","✘ TRY AGAIN"))),"✘ TRY AGAIN"),"LOCKED")</f>
        <v>LOCKED</v>
      </c>
      <c r="E15" s="22"/>
      <c r="F15" s="23" cm="1" t="str">
        <f t="array" ref="F15">IF(E15="Show hint",Key!$B$75,"")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507</v>
      </c>
      <c r="B16" s="33" cm="1" t="str">
        <f t="array" ref="B16">IF($C$10="OPEN","Which function counts the working days between two dates?  (from F6-3 Deadlines)","LOCKED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$76:$J$76),"✔ CLEAR","✘ TRY AGAIN"))),"✘ TRY AGAIN"),"LOCKED")</f>
        <v>LOCKED</v>
      </c>
      <c r="E16" s="22"/>
      <c r="F16" s="23" cm="1" t="str">
        <f t="array" ref="F16">IF(E16="Show hint",Key!$B$76,"")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509</v>
      </c>
      <c r="B17" s="33" cm="1" t="str">
        <f t="array" ref="B17">IF($C$10="OPEN","Which function returns the date a number of working days later?  (from F6-3 Deadlines)","LOCKED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$77:$J$77),"✔ CLEAR","✘ TRY AGAIN"))),"✘ TRY AGAIN"),"LOCKED")</f>
        <v>LOCKED</v>
      </c>
      <c r="E17" s="22"/>
      <c r="F17" s="23" cm="1" t="str">
        <f t="array" ref="F17">IF(E17="Show hint",Key!$B$77,"")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515</v>
      </c>
      <c r="B18" s="33" cm="1" t="str">
        <f t="array" ref="B18">IF($C$10="OPEN","Which XLOOKUP argument number sets the result when no match is found?  (from F4-2 Safety Net)","LOCKED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H$78),"✔ CLEAR","✘ TRY AGAIN"))),"✘ TRY AGAIN"),"LOCKED")</f>
        <v>LOCKED</v>
      </c>
      <c r="E18" s="22"/>
      <c r="F18" s="23" cm="1" t="str">
        <f t="array" ref="F18">IF(E18="Show hint",Key!$B$78,"")</f>
        <v/>
      </c>
      <c r="G18" s="24" cm="1">
        <f t="array" ref="G18">IF(LEFT(D18,1)="✔",IF(E18="Show hint",5,10),0)</f>
        <v>0</v>
      </c>
    </row>
    <row r="19" spans="1:7" ht="51.25" customHeight="1">
      <c r="A19" s="18" t="s">
        <v>519</v>
      </c>
      <c r="B19" s="33" cm="1" t="str">
        <f t="array" ref="B19">IF($C$10="OPEN","If the return array is E6:F20, how many columns does the result spill into?  (from F4-2 Safety Net)","LOCKED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F$79),"✔ CLEAR","✘ TRY AGAIN"))),"✘ TRY AGAIN"),"LOCKED")</f>
        <v>LOCKED</v>
      </c>
      <c r="E19" s="22"/>
      <c r="F19" s="23" cm="1" t="str">
        <f t="array" ref="F19">IF(E19="Show hint",Key!$B$79,"")</f>
        <v/>
      </c>
      <c r="G19" s="24" cm="1">
        <f t="array" ref="G19">IF(LEFT(D19,1)="✔",IF(E19="Show hint",5,10),0)</f>
        <v>0</v>
      </c>
    </row>
    <row r="20" spans="1:7" ht="51.25" customHeight="1">
      <c r="A20" s="18" t="s">
        <v>528</v>
      </c>
      <c r="B20" s="33" cm="1" t="str">
        <f t="array" ref="B20">IF($C$10="OPEN","Which classic function searches the first column of a table and returns a column by number?  (from F4-3 Old School)","LOCKED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J$80),"✔ CLEAR","✘ TRY AGAIN"))),"✘ TRY AGAIN"),"LOCKED")</f>
        <v>LOCKED</v>
      </c>
      <c r="E20" s="22"/>
      <c r="F20" s="23" cm="1" t="str">
        <f t="array" ref="F20">IF(E20="Show hint",Key!$B$80,"")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533</v>
      </c>
      <c r="B21" s="33" cm="1" t="str">
        <f t="array" ref="B21">IF($C$10="OPEN","Which 4th argument makes VLOOKUP find an exact match?  (from F4-3 Old School)","LOCKED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F$81),"✔ CLEAR","✘ TRY AGAIN"))),"✘ TRY AGAIN"),"LOCKED")</f>
        <v>LOCKED</v>
      </c>
      <c r="E21" s="22"/>
      <c r="F21" s="23" cm="1" t="str">
        <f t="array" ref="F21">IF(E21="Show hint",Key!$B$81,"")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534</v>
      </c>
      <c r="B23" s="4"/>
      <c r="C23" s="4"/>
      <c r="D23" s="4"/>
      <c r="E23" s="4"/>
      <c r="F23" s="4"/>
      <c r="G23" s="4"/>
    </row>
    <row r="24" spans="1:7">
      <c r="B24" s="11" t="s">
        <v>535</v>
      </c>
    </row>
    <row r="25" spans="1:7">
      <c r="A25" s="6" t="s">
        <v>18</v>
      </c>
      <c r="B25" s="6" t="s">
        <v>43</v>
      </c>
      <c r="C25" s="6" t="s">
        <v>44</v>
      </c>
      <c r="D25" s="6" t="s">
        <v>45</v>
      </c>
      <c r="E25" s="6" t="s">
        <v>46</v>
      </c>
      <c r="F25" s="6" t="s">
        <v>1</v>
      </c>
      <c r="G25" s="6" t="s">
        <v>47</v>
      </c>
    </row>
    <row r="26" spans="1:7" ht="35.5" customHeight="1">
      <c r="A26" s="18" t="s">
        <v>538</v>
      </c>
      <c r="B26" s="33" cm="1" t="str">
        <f t="array" ref="B26">IF($C$10="OPEN","In D6 return the year of B6.","LOCKED · earn ★ on every stage to open the Boss gate")</f>
        <v>LOCKED · earn ★ on every stage to open the Boss gate</v>
      </c>
      <c r="C26" s="11" t="s">
        <v>539</v>
      </c>
      <c r="D26" s="21" cm="1" t="str">
        <f t="array" ref="D26">IF($C$10="OPEN",IF(ISBLANK('Boss Arena'!$D$6),"",IF(NOT(_xlfn.ISFORMULA('Boss Arena'!$D$6)),"✘ That's a typed value · enter a formula",IF(ISERROR('Boss Arena'!$D$6),"✘ Your formula returns "&amp;IFERROR(CHOOSE(ERROR.TYPE('Boss Arena'!$D$6),"#NULL!","#DIV/0!","#VALUE!","#REF!","#NAME?","#NUM!","#N/A","#GETTING_DATA","#SPILL!","#CONNECT!","#BLOCKED!","#UNKNOWN!","#FIELD!","#CALC!"),"an error"),IF(NOT(AND(IFERROR(AND(ISNUMBER('Boss Arena'!$D$6),ABS('Boss Arena'!$D$6-Key!$C$82)&lt;=1E-9*MAX(1,ABS(Key!$C$82))),FALSE))),"✘ TRY AGAIN",IF(AND(OR(ISNUMBER(FIND({"=","(",",","+","-","*","/","&amp;"," ","&lt;","&gt;",":","@","^"}&amp;"YEAR"&amp;"(",UPPER(_xlfn.FORMULATEXT('Boss Arena'!$D$6)))))),"✔ CLEAR","✘ CLOSE · right value, but use YEAR"))))),"LOCKED")</f>
        <v>LOCKED</v>
      </c>
      <c r="E26" s="22"/>
      <c r="F26" s="23" cm="1" t="str">
        <f t="array" ref="F26">IF(E26="Show hint",Key!$B$82,"")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542</v>
      </c>
      <c r="B27" s="33" cm="1" t="str">
        <f t="array" ref="B27">IF($C$10="OPEN","In D7 return the weekday number of B6 (Sunday = 1).","LOCKED · earn ★ on every stage to open the Boss gate")</f>
        <v>LOCKED · earn ★ on every stage to open the Boss gate</v>
      </c>
      <c r="C27" s="11" t="s">
        <v>543</v>
      </c>
      <c r="D27" s="21" cm="1" t="str">
        <f t="array" ref="D27">IF($C$10="OPEN",IF(ISBLANK('Boss Arena'!$D$7),"",IF(NOT(_xlfn.ISFORMULA('Boss Arena'!$D$7)),"✘ That's a typed value · enter a formula",IF(ISERROR('Boss Arena'!$D$7),"✘ Your formula returns "&amp;IFERROR(CHOOSE(ERROR.TYPE('Boss Arena'!$D$7),"#NULL!","#DIV/0!","#VALUE!","#REF!","#NAME?","#NUM!","#N/A","#GETTING_DATA","#SPILL!","#CONNECT!","#BLOCKED!","#UNKNOWN!","#FIELD!","#CALC!"),"an error"),IF(NOT(AND(IFERROR(AND(ISNUMBER('Boss Arena'!$D$7),ABS('Boss Arena'!$D$7-Key!$C$83)&lt;=1E-9*MAX(1,ABS(Key!$C$83))),FALSE))),"✘ TRY AGAIN",IF(AND(OR(ISNUMBER(FIND({"=","(",",","+","-","*","/","&amp;"," ","&lt;","&gt;",":","@","^"}&amp;"WEEKDAY"&amp;"(",UPPER(_xlfn.FORMULATEXT('Boss Arena'!$D$7)))))),"✔ CLEAR","✘ CLOSE · right value, but use WEEKDAY"))))),"LOCKED")</f>
        <v>LOCKED</v>
      </c>
      <c r="E27" s="22"/>
      <c r="F27" s="23" cm="1" t="str">
        <f t="array" ref="F27">IF(E27="Show hint",Key!$B$83,"")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546</v>
      </c>
      <c r="B28" s="33" cm="1" t="str">
        <f t="array" ref="B28">IF($C$10="OPEN","In D8 count the days from B6 to B7.","LOCKED · earn ★ on every stage to open the Boss gate")</f>
        <v>LOCKED · earn ★ on every stage to open the Boss gate</v>
      </c>
      <c r="C28" s="11" t="s">
        <v>547</v>
      </c>
      <c r="D28" s="21" cm="1" t="str">
        <f t="array" ref="D28">IF($C$10="OPEN",IF(ISBLANK('Boss Arena'!$D$8),"",IF(NOT(_xlfn.ISFORMULA('Boss Arena'!$D$8)),"✘ That's a typed value · enter a formula",IF(ISERROR('Boss Arena'!$D$8),"✘ Your formula returns "&amp;IFERROR(CHOOSE(ERROR.TYPE('Boss Arena'!$D$8),"#NULL!","#DIV/0!","#VALUE!","#REF!","#NAME?","#NUM!","#N/A","#GETTING_DATA","#SPILL!","#CONNECT!","#BLOCKED!","#UNKNOWN!","#FIELD!","#CALC!"),"an error"),IF(NOT(AND(IFERROR(AND(ISNUMBER('Boss Arena'!$D$8),ABS('Boss Arena'!$D$8-Key!$C$84)&lt;=1E-9*MAX(1,ABS(Key!$C$84))),FALSE))),"✘ TRY AGAIN","✔ CLEAR")))),"LOCKED")</f>
        <v>LOCKED</v>
      </c>
      <c r="E28" s="22"/>
      <c r="F28" s="23" cm="1" t="str">
        <f t="array" ref="F28">IF(E28="Show hint",Key!$B$84,"")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550</v>
      </c>
      <c r="B29" s="33" cm="1" t="str">
        <f t="array" ref="B29">IF($C$10="OPEN","In D9 count the full years from B8 to B6 with DATEDIF.","LOCKED · earn ★ on every stage to open the Boss gate")</f>
        <v>LOCKED · earn ★ on every stage to open the Boss gate</v>
      </c>
      <c r="C29" s="11" t="s">
        <v>551</v>
      </c>
      <c r="D29" s="21" cm="1" t="str">
        <f t="array" ref="D29">IF($C$10="OPEN",IF(ISBLANK('Boss Arena'!$D$9),"",IF(NOT(_xlfn.ISFORMULA('Boss Arena'!$D$9)),"✘ That's a typed value · enter a formula",IF(ISERROR('Boss Arena'!$D$9),"✘ Your formula returns "&amp;IFERROR(CHOOSE(ERROR.TYPE('Boss Arena'!$D$9),"#NULL!","#DIV/0!","#VALUE!","#REF!","#NAME?","#NUM!","#N/A","#GETTING_DATA","#SPILL!","#CONNECT!","#BLOCKED!","#UNKNOWN!","#FIELD!","#CALC!"),"an error"),IF(NOT(AND(IFERROR(AND(ISNUMBER('Boss Arena'!$D$9),ABS('Boss Arena'!$D$9-Key!$C$85)&lt;=1E-9*MAX(1,ABS(Key!$C$85))),FALSE))),"✘ TRY AGAIN",IF(AND(OR(ISNUMBER(FIND({"=","(",",","+","-","*","/","&amp;"," ","&lt;","&gt;",":","@","^"}&amp;"DATEDIF"&amp;"(",UPPER(_xlfn.FORMULATEXT('Boss Arena'!$D$9)))))),"✔ CLEAR","✘ CLOSE · right value, but use DATEDIF"))))),"LOCKED")</f>
        <v>LOCKED</v>
      </c>
      <c r="E29" s="22"/>
      <c r="F29" s="23" cm="1" t="str">
        <f t="array" ref="F29">IF(E29="Show hint",Key!$B$85,"")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554</v>
      </c>
      <c r="B30" s="33" cm="1" t="str">
        <f t="array" ref="B30">IF($C$10="OPEN","In D10 return the date 2 months after B6.","LOCKED · earn ★ on every stage to open the Boss gate")</f>
        <v>LOCKED · earn ★ on every stage to open the Boss gate</v>
      </c>
      <c r="C30" s="11" t="s">
        <v>555</v>
      </c>
      <c r="D30" s="21" cm="1" t="str">
        <f t="array" ref="D30">IF($C$10="OPEN",IF(ISBLANK('Boss Arena'!$D$10),"",IF(NOT(_xlfn.ISFORMULA('Boss Arena'!$D$10)),"✘ That's a typed value · enter a formula",IF(ISERROR('Boss Arena'!$D$10),"✘ Your formula returns "&amp;IFERROR(CHOOSE(ERROR.TYPE('Boss Arena'!$D$10),"#NULL!","#DIV/0!","#VALUE!","#REF!","#NAME?","#NUM!","#N/A","#GETTING_DATA","#SPILL!","#CONNECT!","#BLOCKED!","#UNKNOWN!","#FIELD!","#CALC!"),"an error"),IF(NOT(AND(IFERROR(AND(ISNUMBER('Boss Arena'!$D$10),ABS('Boss Arena'!$D$10-Key!$C$86)&lt;=1E-9*MAX(1,ABS(Key!$C$86))),FALSE))),"✘ TRY AGAIN",IF(AND(OR(ISNUMBER(FIND({"=","(",",","+","-","*","/","&amp;"," ","&lt;","&gt;",":","@","^"}&amp;"EDATE"&amp;"(",UPPER(_xlfn.FORMULATEXT('Boss Arena'!$D$10)))))),"✔ CLEAR","✘ CLOSE · right value, but use EDATE"))))),"LOCKED")</f>
        <v>LOCKED</v>
      </c>
      <c r="E30" s="22"/>
      <c r="F30" s="23" cm="1" t="str">
        <f t="array" ref="F30">IF(E30="Show hint",Key!$B$86,"")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558</v>
      </c>
      <c r="B31" s="33" cm="1" t="str">
        <f t="array" ref="B31">IF($C$10="OPEN","In D11 return the last day of B7's month.","LOCKED · earn ★ on every stage to open the Boss gate")</f>
        <v>LOCKED · earn ★ on every stage to open the Boss gate</v>
      </c>
      <c r="C31" s="11" t="s">
        <v>559</v>
      </c>
      <c r="D31" s="21" cm="1" t="str">
        <f t="array" ref="D31">IF($C$10="OPEN",IF(ISBLANK('Boss Arena'!$D$11),"",IF(NOT(_xlfn.ISFORMULA('Boss Arena'!$D$11)),"✘ That's a typed value · enter a formula",IF(ISERROR('Boss Arena'!$D$11),"✘ Your formula returns "&amp;IFERROR(CHOOSE(ERROR.TYPE('Boss Arena'!$D$11),"#NULL!","#DIV/0!","#VALUE!","#REF!","#NAME?","#NUM!","#N/A","#GETTING_DATA","#SPILL!","#CONNECT!","#BLOCKED!","#UNKNOWN!","#FIELD!","#CALC!"),"an error"),IF(NOT(AND(IFERROR(AND(ISNUMBER('Boss Arena'!$D$11),ABS('Boss Arena'!$D$11-Key!$C$87)&lt;=1E-9*MAX(1,ABS(Key!$C$87))),FALSE))),"✘ TRY AGAIN",IF(AND(OR(ISNUMBER(FIND({"=","(",",","+","-","*","/","&amp;"," ","&lt;","&gt;",":","@","^"}&amp;"EOMONTH"&amp;"(",UPPER(_xlfn.FORMULATEXT('Boss Arena'!$D$11)))))),"✔ CLEAR","✘ CLOSE · right value, but use EOMONTH"))))),"LOCKED")</f>
        <v>LOCKED</v>
      </c>
      <c r="E31" s="22"/>
      <c r="F31" s="23" cm="1" t="str">
        <f t="array" ref="F31">IF(E31="Show hint",Key!$B$87,"")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562</v>
      </c>
      <c r="B32" s="33" cm="1" t="str">
        <f t="array" ref="B32">IF($C$10="OPEN","In D12 count the working days from B6 to B7.","LOCKED · earn ★ on every stage to open the Boss gate")</f>
        <v>LOCKED · earn ★ on every stage to open the Boss gate</v>
      </c>
      <c r="C32" s="11" t="s">
        <v>563</v>
      </c>
      <c r="D32" s="21" cm="1" t="str">
        <f t="array" ref="D32">IF($C$10="OPEN",IF(ISBLANK('Boss Arena'!$D$12),"",IF(NOT(_xlfn.ISFORMULA('Boss Arena'!$D$12)),"✘ That's a typed value · enter a formula",IF(ISERROR('Boss Arena'!$D$12),"✘ Your formula returns "&amp;IFERROR(CHOOSE(ERROR.TYPE('Boss Arena'!$D$12),"#NULL!","#DIV/0!","#VALUE!","#REF!","#NAME?","#NUM!","#N/A","#GETTING_DATA","#SPILL!","#CONNECT!","#BLOCKED!","#UNKNOWN!","#FIELD!","#CALC!"),"an error"),IF(NOT(AND(IFERROR(AND(ISNUMBER('Boss Arena'!$D$12),ABS('Boss Arena'!$D$12-Key!$C$88)&lt;=1E-9*MAX(1,ABS(Key!$C$88))),FALSE))),"✘ TRY AGAIN",IF(AND(OR(ISNUMBER(FIND({"=","(",",","+","-","*","/","&amp;"," ","&lt;","&gt;",":","@","^"}&amp;"NETWORKDAYS"&amp;"(",UPPER(_xlfn.FORMULATEXT('Boss Arena'!$D$12)))))),"✔ CLEAR","✘ CLOSE · right value, but use NETWORKDAYS"))))),"LOCKED")</f>
        <v>LOCKED</v>
      </c>
      <c r="E32" s="22"/>
      <c r="F32" s="23" cm="1" t="str">
        <f t="array" ref="F32">IF(E32="Show hint",Key!$B$88,"")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566</v>
      </c>
      <c r="B33" s="33" cm="1" t="str">
        <f t="array" ref="B33">IF($C$10="OPEN","In D13 return the date 15 working days after B6.","LOCKED · earn ★ on every stage to open the Boss gate")</f>
        <v>LOCKED · earn ★ on every stage to open the Boss gate</v>
      </c>
      <c r="C33" s="11" t="s">
        <v>567</v>
      </c>
      <c r="D33" s="21" cm="1" t="str">
        <f t="array" ref="D33">IF($C$10="OPEN",IF(ISBLANK('Boss Arena'!$D$13),"",IF(NOT(_xlfn.ISFORMULA('Boss Arena'!$D$13)),"✘ That's a typed value · enter a formula",IF(ISERROR('Boss Arena'!$D$13),"✘ Your formula returns "&amp;IFERROR(CHOOSE(ERROR.TYPE('Boss Arena'!$D$13),"#NULL!","#DIV/0!","#VALUE!","#REF!","#NAME?","#NUM!","#N/A","#GETTING_DATA","#SPILL!","#CONNECT!","#BLOCKED!","#UNKNOWN!","#FIELD!","#CALC!"),"an error"),IF(NOT(AND(IFERROR(AND(ISNUMBER('Boss Arena'!$D$13),ABS('Boss Arena'!$D$13-Key!$C$89)&lt;=1E-9*MAX(1,ABS(Key!$C$89))),FALSE))),"✘ TRY AGAIN",IF(AND(OR(ISNUMBER(FIND({"=","(",",","+","-","*","/","&amp;"," ","&lt;","&gt;",":","@","^"}&amp;"WORKDAY"&amp;"(",UPPER(_xlfn.FORMULATEXT('Boss Arena'!$D$13)))))),"✔ CLEAR","✘ CLOSE · right value, but use WORKDAY"))))),"LOCKED")</f>
        <v>LOCKED</v>
      </c>
      <c r="E33" s="22"/>
      <c r="F33" s="23" cm="1" t="str">
        <f t="array" ref="F33">IF(E33="Show hint",Key!$B$89,"")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D6" tooltip="Go to Boss Arena, cell D6" display="▶ ARENA B1 (cell D6)"/>
    <hyperlink ref="C27" location="'Boss Arena'!D7" tooltip="Go to Boss Arena, cell D7" display="▶ ARENA B2 (cell D7)"/>
    <hyperlink ref="C28" location="'Boss Arena'!D8" tooltip="Go to Boss Arena, cell D8" display="▶ ARENA B3 (cell D8)"/>
    <hyperlink ref="C29" location="'Boss Arena'!D9" tooltip="Go to Boss Arena, cell D9" display="▶ ARENA B4 (cell D9)"/>
    <hyperlink ref="C30" location="'Boss Arena'!D10" tooltip="Go to Boss Arena, cell D10" display="▶ ARENA B5 (cell D10)"/>
    <hyperlink ref="C31" location="'Boss Arena'!D11" tooltip="Go to Boss Arena, cell D11" display="▶ ARENA B6 (cell D11)"/>
    <hyperlink ref="C32" location="'Boss Arena'!D12" tooltip="Go to Boss Arena, cell D12" display="▶ ARENA B7 (cell D12)"/>
    <hyperlink ref="C33" location="'Boss Arena'!D13" tooltip="Go to Boss Arena, cell D13" display="▶ ARENA B8 (cell D13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2" width="14.7109375" customWidth="1"/>
    <col min="3" max="3" width="28.7109375" customWidth="1"/>
    <col min="4" max="4" width="16.7109375" customWidth="1"/>
    <col min="5" max="26" width="13.7109375" customWidth="1"/>
  </cols>
  <sheetData>
    <row r="1" spans="1:4">
      <c r="A1" s="1" t="s">
        <v>486</v>
      </c>
    </row>
    <row r="2" spans="1:4">
      <c r="A2" s="3" t="s">
        <v>5</v>
      </c>
    </row>
    <row r="3" spans="1:4">
      <c r="A3" s="25" t="s">
        <v>6</v>
      </c>
      <c r="B3" s="26" t="s">
        <v>487</v>
      </c>
      <c r="D3" s="11" t="s">
        <v>488</v>
      </c>
    </row>
    <row r="5" spans="1:4">
      <c r="B5" s="27" t="s">
        <v>256</v>
      </c>
      <c r="C5" s="27" t="s">
        <v>10</v>
      </c>
    </row>
    <row r="6" spans="1:4">
      <c r="A6" s="7" t="s">
        <v>257</v>
      </c>
      <c r="B6" s="28">
        <v>46274</v>
      </c>
      <c r="C6" s="5" t="s">
        <v>13</v>
      </c>
      <c r="D6" s="30"/>
    </row>
    <row r="7" spans="1:4">
      <c r="A7" s="7" t="s">
        <v>258</v>
      </c>
      <c r="B7" s="28">
        <v>46353</v>
      </c>
      <c r="C7" s="5" t="s">
        <v>16</v>
      </c>
      <c r="D7" s="30"/>
    </row>
    <row r="8" spans="1:4">
      <c r="A8" s="7" t="s">
        <v>489</v>
      </c>
      <c r="B8" s="28">
        <v>43585</v>
      </c>
      <c r="C8" s="5" t="s">
        <v>490</v>
      </c>
      <c r="D8" s="30"/>
    </row>
    <row r="9" spans="1:4">
      <c r="C9" s="5" t="s">
        <v>491</v>
      </c>
      <c r="D9" s="30"/>
    </row>
    <row r="10" spans="1:4">
      <c r="C10" s="5" t="s">
        <v>492</v>
      </c>
      <c r="D10" s="29"/>
    </row>
    <row r="11" spans="1:4">
      <c r="C11" s="5" t="s">
        <v>493</v>
      </c>
      <c r="D11" s="29"/>
    </row>
    <row r="12" spans="1:4">
      <c r="C12" s="5" t="s">
        <v>354</v>
      </c>
      <c r="D12" s="30"/>
    </row>
    <row r="13" spans="1:4">
      <c r="C13" s="5" t="s">
        <v>494</v>
      </c>
      <c r="D13" s="29"/>
    </row>
  </sheetData>
  <hyperlinks>
    <hyperlink ref="D3" location="Boss!A1" display="◀ Back to Bos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603</v>
      </c>
      <c r="B1" s="2"/>
      <c r="C1" s="2"/>
      <c r="D1" s="2"/>
    </row>
    <row r="2" spans="1:4">
      <c r="A2" s="3" t="s">
        <v>604</v>
      </c>
    </row>
    <row r="4" spans="1:4">
      <c r="A4" s="6" t="s">
        <v>579</v>
      </c>
      <c r="B4" s="6" t="s">
        <v>20</v>
      </c>
      <c r="C4" s="6" t="s">
        <v>605</v>
      </c>
      <c r="D4" s="6" t="s">
        <v>606</v>
      </c>
    </row>
    <row r="5" spans="1:4" ht="35.5" customHeight="1">
      <c r="A5" s="18" t="s">
        <v>585</v>
      </c>
      <c r="B5" s="19" t="s">
        <v>23</v>
      </c>
      <c r="C5" s="8" t="s">
        <v>607</v>
      </c>
      <c r="D5" s="8" t="s">
        <v>608</v>
      </c>
    </row>
    <row r="6" spans="1:4" ht="35.5" customHeight="1">
      <c r="A6" s="18" t="s">
        <v>585</v>
      </c>
      <c r="B6" s="19" t="s">
        <v>26</v>
      </c>
      <c r="C6" s="8" t="s">
        <v>609</v>
      </c>
      <c r="D6" s="8" t="s">
        <v>610</v>
      </c>
    </row>
    <row r="7" spans="1:4" ht="35.5" customHeight="1">
      <c r="A7" s="18" t="s">
        <v>585</v>
      </c>
      <c r="B7" s="19" t="s">
        <v>29</v>
      </c>
      <c r="C7" s="8" t="s">
        <v>611</v>
      </c>
      <c r="D7" s="8" t="s">
        <v>612</v>
      </c>
    </row>
    <row r="8" spans="1:4" ht="19.75" customHeight="1">
      <c r="A8" s="18" t="s">
        <v>585</v>
      </c>
      <c r="B8" s="19" t="s">
        <v>32</v>
      </c>
      <c r="C8" s="8" t="s">
        <v>613</v>
      </c>
      <c r="D8" s="8" t="s">
        <v>614</v>
      </c>
    </row>
    <row r="9" spans="1:4" ht="19.75" customHeight="1">
      <c r="A9" s="18" t="s">
        <v>585</v>
      </c>
      <c r="B9" s="19" t="s">
        <v>35</v>
      </c>
      <c r="C9" s="8" t="s">
        <v>615</v>
      </c>
      <c r="D9" s="8" t="s">
        <v>616</v>
      </c>
    </row>
    <row r="10" spans="1:4" ht="35.5" customHeight="1">
      <c r="A10" s="18" t="s">
        <v>585</v>
      </c>
      <c r="B10" s="19" t="s">
        <v>38</v>
      </c>
      <c r="C10" s="8" t="s">
        <v>617</v>
      </c>
      <c r="D10" s="8" t="s">
        <v>618</v>
      </c>
    </row>
    <row r="11" spans="1:4" ht="35.5" customHeight="1">
      <c r="A11" s="18" t="s">
        <v>585</v>
      </c>
      <c r="B11" s="19" t="s">
        <v>41</v>
      </c>
      <c r="C11" s="8" t="s">
        <v>619</v>
      </c>
      <c r="D11" s="8" t="s">
        <v>620</v>
      </c>
    </row>
    <row r="12" spans="1:4" ht="35.5" customHeight="1">
      <c r="A12" s="18" t="s">
        <v>588</v>
      </c>
      <c r="B12" s="19" t="s">
        <v>266</v>
      </c>
      <c r="C12" s="8" t="s">
        <v>621</v>
      </c>
      <c r="D12" s="8" t="s">
        <v>622</v>
      </c>
    </row>
    <row r="13" spans="1:4" ht="35.5" customHeight="1">
      <c r="A13" s="18" t="s">
        <v>588</v>
      </c>
      <c r="B13" s="19" t="s">
        <v>268</v>
      </c>
      <c r="C13" s="8" t="s">
        <v>623</v>
      </c>
      <c r="D13" s="8" t="s">
        <v>624</v>
      </c>
    </row>
    <row r="14" spans="1:4" ht="35.5" customHeight="1">
      <c r="A14" s="18" t="s">
        <v>588</v>
      </c>
      <c r="B14" s="19" t="s">
        <v>148</v>
      </c>
      <c r="C14" s="8" t="s">
        <v>625</v>
      </c>
      <c r="D14" s="8" t="s">
        <v>626</v>
      </c>
    </row>
    <row r="15" spans="1:4" ht="35.5" customHeight="1">
      <c r="A15" s="18" t="s">
        <v>591</v>
      </c>
      <c r="B15" s="19" t="s">
        <v>157</v>
      </c>
      <c r="C15" s="8" t="s">
        <v>627</v>
      </c>
      <c r="D15" s="8" t="s">
        <v>628</v>
      </c>
    </row>
    <row r="16" spans="1:4" ht="35.5" customHeight="1">
      <c r="A16" s="18" t="s">
        <v>591</v>
      </c>
      <c r="B16" s="19" t="s">
        <v>143</v>
      </c>
      <c r="C16" s="8" t="s">
        <v>629</v>
      </c>
      <c r="D16" s="8" t="s">
        <v>630</v>
      </c>
    </row>
    <row r="17" spans="1:4" ht="35.5" customHeight="1">
      <c r="A17" s="18" t="s">
        <v>591</v>
      </c>
      <c r="B17" s="19" t="s">
        <v>359</v>
      </c>
      <c r="C17" s="8" t="s">
        <v>631</v>
      </c>
      <c r="D17" s="8" t="s">
        <v>632</v>
      </c>
    </row>
    <row r="18" spans="1:4" ht="35.5" customHeight="1">
      <c r="A18" s="18" t="s">
        <v>591</v>
      </c>
      <c r="B18" s="19" t="s">
        <v>156</v>
      </c>
      <c r="C18" s="8" t="s">
        <v>633</v>
      </c>
      <c r="D18" s="8" t="s">
        <v>634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8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E1" t="s">
        <v>3</v>
      </c>
    </row>
    <row r="2" spans="1:20">
      <c r="A2" t="s">
        <v>48</v>
      </c>
      <c r="B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</row>
    <row r="3" spans="1:20">
      <c r="A3" t="s">
        <v>58</v>
      </c>
      <c r="B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</row>
    <row r="4" spans="1:20">
      <c r="A4" t="s">
        <v>68</v>
      </c>
      <c r="B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</row>
    <row r="5" spans="1:20">
      <c r="A5" t="s">
        <v>78</v>
      </c>
      <c r="B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</row>
    <row r="6" spans="1:20">
      <c r="A6" t="s">
        <v>88</v>
      </c>
      <c r="B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</row>
    <row r="7" spans="1:20">
      <c r="A7" t="s">
        <v>98</v>
      </c>
      <c r="B7" t="s">
        <v>99</v>
      </c>
      <c r="E7" t="s">
        <v>100</v>
      </c>
    </row>
    <row r="8" spans="1:20">
      <c r="A8" t="s">
        <v>103</v>
      </c>
      <c r="B8" t="s">
        <v>104</v>
      </c>
      <c r="E8" t="s">
        <v>105</v>
      </c>
      <c r="F8" t="s">
        <v>106</v>
      </c>
    </row>
    <row r="9" spans="1:20">
      <c r="A9" t="s">
        <v>109</v>
      </c>
      <c r="B9" t="s">
        <v>110</v>
      </c>
      <c r="E9" t="s">
        <v>111</v>
      </c>
    </row>
    <row r="10" spans="1:20">
      <c r="A10" t="s">
        <v>114</v>
      </c>
      <c r="B10" t="s">
        <v>115</v>
      </c>
      <c r="E10" t="s">
        <v>116</v>
      </c>
      <c r="F10" t="s">
        <v>117</v>
      </c>
    </row>
    <row r="11" spans="1:20">
      <c r="A11" t="s">
        <v>120</v>
      </c>
      <c r="B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  <c r="P11" t="s">
        <v>133</v>
      </c>
      <c r="Q11" t="s">
        <v>134</v>
      </c>
      <c r="R11" t="s">
        <v>135</v>
      </c>
      <c r="S11" t="s">
        <v>136</v>
      </c>
      <c r="T11" t="s">
        <v>137</v>
      </c>
    </row>
    <row r="12" spans="1:20">
      <c r="A12" t="s">
        <v>141</v>
      </c>
      <c r="B12" t="s">
        <v>142</v>
      </c>
      <c r="C12" t="s">
        <v>23</v>
      </c>
      <c r="E12" t="s">
        <v>23</v>
      </c>
      <c r="F12" t="s">
        <v>32</v>
      </c>
      <c r="G12" t="s">
        <v>38</v>
      </c>
      <c r="H12" t="s">
        <v>143</v>
      </c>
    </row>
    <row r="13" spans="1:20">
      <c r="A13" t="s">
        <v>146</v>
      </c>
      <c r="B13" t="s">
        <v>147</v>
      </c>
      <c r="C13" t="s">
        <v>26</v>
      </c>
      <c r="E13" t="s">
        <v>26</v>
      </c>
      <c r="F13" t="s">
        <v>143</v>
      </c>
      <c r="G13" t="s">
        <v>38</v>
      </c>
      <c r="H13" t="s">
        <v>148</v>
      </c>
    </row>
    <row r="14" spans="1:20">
      <c r="A14" t="s">
        <v>151</v>
      </c>
      <c r="B14" t="s">
        <v>152</v>
      </c>
      <c r="C14" t="s">
        <v>29</v>
      </c>
      <c r="E14" t="s">
        <v>35</v>
      </c>
      <c r="F14" t="s">
        <v>38</v>
      </c>
      <c r="G14" t="s">
        <v>23</v>
      </c>
      <c r="H14" t="s">
        <v>29</v>
      </c>
    </row>
    <row r="15" spans="1:20">
      <c r="A15" t="s">
        <v>155</v>
      </c>
      <c r="B15" t="s">
        <v>152</v>
      </c>
      <c r="C15" t="s">
        <v>32</v>
      </c>
      <c r="E15" t="s">
        <v>148</v>
      </c>
      <c r="F15" t="s">
        <v>32</v>
      </c>
      <c r="G15" t="s">
        <v>156</v>
      </c>
      <c r="H15" t="s">
        <v>157</v>
      </c>
    </row>
    <row r="16" spans="1:20">
      <c r="A16" t="s">
        <v>160</v>
      </c>
      <c r="B16" t="s">
        <v>142</v>
      </c>
      <c r="C16" t="s">
        <v>35</v>
      </c>
      <c r="E16" t="s">
        <v>32</v>
      </c>
      <c r="F16" t="s">
        <v>35</v>
      </c>
      <c r="G16" t="s">
        <v>41</v>
      </c>
      <c r="H16" t="s">
        <v>23</v>
      </c>
    </row>
    <row r="17" spans="1:10">
      <c r="A17" t="s">
        <v>163</v>
      </c>
      <c r="B17" t="s">
        <v>147</v>
      </c>
      <c r="C17" t="s">
        <v>38</v>
      </c>
      <c r="E17" t="s">
        <v>38</v>
      </c>
      <c r="F17" t="s">
        <v>26</v>
      </c>
      <c r="G17" t="s">
        <v>156</v>
      </c>
      <c r="H17" t="s">
        <v>148</v>
      </c>
    </row>
    <row r="18" spans="1:10">
      <c r="A18" t="s">
        <v>166</v>
      </c>
      <c r="B18" t="s">
        <v>167</v>
      </c>
      <c r="C18" t="s">
        <v>41</v>
      </c>
      <c r="E18" t="s">
        <v>23</v>
      </c>
      <c r="F18" t="s">
        <v>38</v>
      </c>
      <c r="G18" t="s">
        <v>29</v>
      </c>
      <c r="H18" t="s">
        <v>41</v>
      </c>
    </row>
    <row r="19" spans="1:10">
      <c r="A19" t="s">
        <v>172</v>
      </c>
      <c r="B19" t="s">
        <v>142</v>
      </c>
      <c r="E19" t="s">
        <v>173</v>
      </c>
      <c r="F19" t="s">
        <v>174</v>
      </c>
      <c r="G19" t="s">
        <v>175</v>
      </c>
      <c r="H19" t="s">
        <v>23</v>
      </c>
      <c r="I19" t="s">
        <v>176</v>
      </c>
      <c r="J19" t="s">
        <v>177</v>
      </c>
    </row>
    <row r="20" spans="1:10">
      <c r="A20" t="s">
        <v>179</v>
      </c>
      <c r="B20" t="s">
        <v>147</v>
      </c>
      <c r="E20" t="s">
        <v>180</v>
      </c>
      <c r="F20" t="s">
        <v>181</v>
      </c>
      <c r="G20" t="s">
        <v>182</v>
      </c>
      <c r="H20" t="s">
        <v>26</v>
      </c>
      <c r="I20" t="s">
        <v>183</v>
      </c>
      <c r="J20" t="s">
        <v>184</v>
      </c>
    </row>
    <row r="21" spans="1:10">
      <c r="A21" t="s">
        <v>186</v>
      </c>
      <c r="B21" t="s">
        <v>152</v>
      </c>
      <c r="E21" t="s">
        <v>187</v>
      </c>
      <c r="F21" t="s">
        <v>188</v>
      </c>
      <c r="G21" t="s">
        <v>189</v>
      </c>
      <c r="H21" t="s">
        <v>29</v>
      </c>
      <c r="I21" t="s">
        <v>190</v>
      </c>
      <c r="J21" t="s">
        <v>191</v>
      </c>
    </row>
    <row r="22" spans="1:10">
      <c r="A22" t="s">
        <v>193</v>
      </c>
      <c r="B22" t="s">
        <v>152</v>
      </c>
      <c r="E22" t="s">
        <v>194</v>
      </c>
      <c r="F22" t="s">
        <v>195</v>
      </c>
      <c r="G22" t="s">
        <v>196</v>
      </c>
      <c r="H22" t="s">
        <v>32</v>
      </c>
      <c r="I22" t="s">
        <v>197</v>
      </c>
      <c r="J22" t="s">
        <v>198</v>
      </c>
    </row>
    <row r="23" spans="1:10">
      <c r="A23" t="s">
        <v>200</v>
      </c>
      <c r="B23" t="s">
        <v>142</v>
      </c>
      <c r="E23" t="s">
        <v>201</v>
      </c>
      <c r="F23" t="s">
        <v>202</v>
      </c>
      <c r="G23" t="s">
        <v>203</v>
      </c>
      <c r="H23" t="s">
        <v>35</v>
      </c>
      <c r="I23" t="s">
        <v>204</v>
      </c>
      <c r="J23" t="s">
        <v>205</v>
      </c>
    </row>
    <row r="24" spans="1:10">
      <c r="A24" t="s">
        <v>207</v>
      </c>
      <c r="B24" t="s">
        <v>147</v>
      </c>
      <c r="E24" t="s">
        <v>208</v>
      </c>
      <c r="F24" t="s">
        <v>209</v>
      </c>
      <c r="G24" t="s">
        <v>210</v>
      </c>
      <c r="H24" t="s">
        <v>38</v>
      </c>
      <c r="I24" t="s">
        <v>211</v>
      </c>
      <c r="J24" t="s">
        <v>212</v>
      </c>
    </row>
    <row r="25" spans="1:10">
      <c r="A25" t="s">
        <v>214</v>
      </c>
      <c r="B25" t="s">
        <v>167</v>
      </c>
      <c r="E25" t="s">
        <v>215</v>
      </c>
      <c r="F25" t="s">
        <v>216</v>
      </c>
      <c r="G25" t="s">
        <v>217</v>
      </c>
      <c r="H25" t="s">
        <v>41</v>
      </c>
      <c r="I25" t="s">
        <v>218</v>
      </c>
      <c r="J25" t="s">
        <v>219</v>
      </c>
    </row>
    <row r="26" spans="1:10">
      <c r="A26" t="s">
        <v>221</v>
      </c>
      <c r="B26" t="s">
        <v>222</v>
      </c>
      <c r="C26" cm="1">
        <f t="array" ref="C26">TODAY()</f>
        <v>46307</v>
      </c>
    </row>
    <row r="27" spans="1:10">
      <c r="A27" t="s">
        <v>226</v>
      </c>
      <c r="B27" t="s">
        <v>227</v>
      </c>
      <c r="C27" cm="1">
        <f t="array" ref="C27">DATE(2026,7,4)</f>
        <v>46207</v>
      </c>
    </row>
    <row r="28" spans="1:10">
      <c r="A28" t="s">
        <v>231</v>
      </c>
      <c r="B28" t="s">
        <v>232</v>
      </c>
      <c r="C28" cm="1">
        <f t="array" ref="C28">YEAR('F6-1 Arena'!$B$6)</f>
        <v>2026</v>
      </c>
    </row>
    <row r="29" spans="1:10">
      <c r="A29" t="s">
        <v>236</v>
      </c>
      <c r="B29" t="s">
        <v>237</v>
      </c>
      <c r="C29" cm="1">
        <f t="array" ref="C29">MONTH('F6-1 Arena'!$B$6)</f>
        <v>3</v>
      </c>
    </row>
    <row r="30" spans="1:10">
      <c r="A30" t="s">
        <v>241</v>
      </c>
      <c r="B30" t="s">
        <v>242</v>
      </c>
      <c r="C30" cm="1">
        <f t="array" ref="C30">DAY('F6-1 Arena'!$B$6)</f>
        <v>15</v>
      </c>
    </row>
    <row r="31" spans="1:10">
      <c r="A31" t="s">
        <v>246</v>
      </c>
      <c r="B31" t="s">
        <v>247</v>
      </c>
      <c r="C31" cm="1">
        <f t="array" ref="C31">WEEKDAY('F6-1 Arena'!$B$6)</f>
        <v>1</v>
      </c>
    </row>
    <row r="32" spans="1:10">
      <c r="A32" t="s">
        <v>270</v>
      </c>
      <c r="B32" t="s">
        <v>142</v>
      </c>
      <c r="E32" t="s">
        <v>173</v>
      </c>
      <c r="F32" t="s">
        <v>174</v>
      </c>
      <c r="G32" t="s">
        <v>175</v>
      </c>
      <c r="H32" t="s">
        <v>23</v>
      </c>
      <c r="I32" t="s">
        <v>176</v>
      </c>
      <c r="J32" t="s">
        <v>177</v>
      </c>
    </row>
    <row r="33" spans="1:10">
      <c r="A33" t="s">
        <v>272</v>
      </c>
      <c r="B33" t="s">
        <v>147</v>
      </c>
      <c r="E33" t="s">
        <v>180</v>
      </c>
      <c r="F33" t="s">
        <v>181</v>
      </c>
      <c r="G33" t="s">
        <v>182</v>
      </c>
      <c r="H33" t="s">
        <v>26</v>
      </c>
      <c r="I33" t="s">
        <v>183</v>
      </c>
      <c r="J33" t="s">
        <v>184</v>
      </c>
    </row>
    <row r="34" spans="1:10">
      <c r="A34" t="s">
        <v>274</v>
      </c>
      <c r="B34" t="s">
        <v>152</v>
      </c>
      <c r="E34" t="s">
        <v>187</v>
      </c>
      <c r="F34" t="s">
        <v>188</v>
      </c>
      <c r="G34" t="s">
        <v>189</v>
      </c>
      <c r="H34" t="s">
        <v>29</v>
      </c>
      <c r="I34" t="s">
        <v>190</v>
      </c>
      <c r="J34" t="s">
        <v>191</v>
      </c>
    </row>
    <row r="35" spans="1:10">
      <c r="A35" t="s">
        <v>276</v>
      </c>
      <c r="B35" t="s">
        <v>152</v>
      </c>
      <c r="E35" t="s">
        <v>194</v>
      </c>
      <c r="F35" t="s">
        <v>195</v>
      </c>
      <c r="G35" t="s">
        <v>196</v>
      </c>
      <c r="H35" t="s">
        <v>32</v>
      </c>
      <c r="I35" t="s">
        <v>197</v>
      </c>
      <c r="J35" t="s">
        <v>198</v>
      </c>
    </row>
    <row r="36" spans="1:10">
      <c r="A36" t="s">
        <v>278</v>
      </c>
      <c r="B36" t="s">
        <v>142</v>
      </c>
      <c r="E36" t="s">
        <v>201</v>
      </c>
      <c r="F36" t="s">
        <v>202</v>
      </c>
      <c r="G36" t="s">
        <v>203</v>
      </c>
      <c r="H36" t="s">
        <v>35</v>
      </c>
      <c r="I36" t="s">
        <v>204</v>
      </c>
      <c r="J36" t="s">
        <v>205</v>
      </c>
    </row>
    <row r="37" spans="1:10">
      <c r="A37" t="s">
        <v>280</v>
      </c>
      <c r="B37" t="s">
        <v>147</v>
      </c>
      <c r="E37" t="s">
        <v>208</v>
      </c>
      <c r="F37" t="s">
        <v>209</v>
      </c>
      <c r="G37" t="s">
        <v>210</v>
      </c>
      <c r="H37" t="s">
        <v>38</v>
      </c>
      <c r="I37" t="s">
        <v>211</v>
      </c>
      <c r="J37" t="s">
        <v>212</v>
      </c>
    </row>
    <row r="38" spans="1:10">
      <c r="A38" t="s">
        <v>282</v>
      </c>
      <c r="B38" t="s">
        <v>167</v>
      </c>
      <c r="E38" t="s">
        <v>215</v>
      </c>
      <c r="F38" t="s">
        <v>216</v>
      </c>
      <c r="G38" t="s">
        <v>217</v>
      </c>
      <c r="H38" t="s">
        <v>41</v>
      </c>
      <c r="I38" t="s">
        <v>218</v>
      </c>
      <c r="J38" t="s">
        <v>219</v>
      </c>
    </row>
    <row r="39" spans="1:10">
      <c r="A39" t="s">
        <v>284</v>
      </c>
      <c r="B39" t="s">
        <v>285</v>
      </c>
      <c r="E39" t="s">
        <v>286</v>
      </c>
      <c r="F39" t="s">
        <v>287</v>
      </c>
      <c r="G39" t="s">
        <v>288</v>
      </c>
      <c r="H39" t="s">
        <v>289</v>
      </c>
      <c r="I39" t="s">
        <v>290</v>
      </c>
      <c r="J39" t="s">
        <v>291</v>
      </c>
    </row>
    <row r="40" spans="1:10">
      <c r="A40" t="s">
        <v>293</v>
      </c>
      <c r="B40" t="s">
        <v>294</v>
      </c>
      <c r="E40" t="s">
        <v>295</v>
      </c>
      <c r="F40" t="s">
        <v>296</v>
      </c>
      <c r="G40" t="s">
        <v>297</v>
      </c>
      <c r="H40" t="s">
        <v>298</v>
      </c>
      <c r="I40" t="s">
        <v>299</v>
      </c>
      <c r="J40" t="s">
        <v>300</v>
      </c>
    </row>
    <row r="41" spans="1:10">
      <c r="A41" t="s">
        <v>302</v>
      </c>
      <c r="B41" t="s">
        <v>303</v>
      </c>
      <c r="E41" t="s">
        <v>289</v>
      </c>
    </row>
    <row r="42" spans="1:10">
      <c r="A42" t="s">
        <v>305</v>
      </c>
      <c r="B42" t="s">
        <v>306</v>
      </c>
      <c r="C42" t="s">
        <v>266</v>
      </c>
      <c r="E42" t="s">
        <v>307</v>
      </c>
      <c r="F42" t="s">
        <v>268</v>
      </c>
      <c r="G42" t="s">
        <v>308</v>
      </c>
      <c r="H42" t="s">
        <v>266</v>
      </c>
    </row>
    <row r="43" spans="1:10">
      <c r="A43" t="s">
        <v>310</v>
      </c>
      <c r="B43" t="s">
        <v>311</v>
      </c>
      <c r="C43" t="s">
        <v>268</v>
      </c>
      <c r="E43" t="s">
        <v>308</v>
      </c>
      <c r="F43" t="s">
        <v>312</v>
      </c>
      <c r="G43" t="s">
        <v>268</v>
      </c>
      <c r="H43" t="s">
        <v>266</v>
      </c>
    </row>
    <row r="44" spans="1:10">
      <c r="A44" t="s">
        <v>314</v>
      </c>
      <c r="B44" t="s">
        <v>315</v>
      </c>
      <c r="C44" t="s">
        <v>148</v>
      </c>
      <c r="E44" t="s">
        <v>32</v>
      </c>
      <c r="F44" t="s">
        <v>38</v>
      </c>
      <c r="G44" t="s">
        <v>157</v>
      </c>
      <c r="H44" t="s">
        <v>148</v>
      </c>
    </row>
    <row r="45" spans="1:10">
      <c r="A45" t="s">
        <v>318</v>
      </c>
      <c r="B45" t="s">
        <v>306</v>
      </c>
      <c r="E45" t="s">
        <v>319</v>
      </c>
      <c r="F45" t="s">
        <v>320</v>
      </c>
    </row>
    <row r="46" spans="1:10">
      <c r="A46" t="s">
        <v>321</v>
      </c>
      <c r="B46" t="s">
        <v>311</v>
      </c>
      <c r="E46" t="s">
        <v>322</v>
      </c>
      <c r="F46" t="s">
        <v>323</v>
      </c>
      <c r="G46" t="s">
        <v>324</v>
      </c>
      <c r="H46" t="s">
        <v>325</v>
      </c>
    </row>
    <row r="47" spans="1:10">
      <c r="A47" t="s">
        <v>326</v>
      </c>
      <c r="B47" t="s">
        <v>315</v>
      </c>
      <c r="E47" t="s">
        <v>327</v>
      </c>
      <c r="F47" t="s">
        <v>328</v>
      </c>
      <c r="G47" t="s">
        <v>329</v>
      </c>
      <c r="H47" t="s">
        <v>148</v>
      </c>
      <c r="I47" t="s">
        <v>330</v>
      </c>
      <c r="J47" t="s">
        <v>331</v>
      </c>
    </row>
    <row r="48" spans="1:10">
      <c r="A48" t="s">
        <v>332</v>
      </c>
      <c r="B48" t="s">
        <v>333</v>
      </c>
      <c r="C48" cm="1">
        <f t="array" ref="C48">'F6-2 Arena'!$B$7-'F6-2 Arena'!$B$6</f>
        <v>47</v>
      </c>
    </row>
    <row r="49" spans="1:20">
      <c r="A49" t="s">
        <v>336</v>
      </c>
      <c r="B49" t="s">
        <v>324</v>
      </c>
      <c r="C49" cm="1">
        <f t="array" ref="C49">'F6-2 Arena'!$B$6+30</f>
        <v>46126</v>
      </c>
    </row>
    <row r="50" spans="1:20">
      <c r="A50" t="s">
        <v>339</v>
      </c>
      <c r="B50" t="s">
        <v>340</v>
      </c>
      <c r="C50" cm="1">
        <f t="array" ref="C50">DATEDIF('F6-2 Arena'!$B$9,'F6-2 Arena'!$B$10,"Y")</f>
        <v>35</v>
      </c>
    </row>
    <row r="51" spans="1:20">
      <c r="A51" t="s">
        <v>343</v>
      </c>
      <c r="B51" t="s">
        <v>344</v>
      </c>
      <c r="C51" cm="1">
        <f t="array" ref="C51">DATEDIF('F6-2 Arena'!$B$6,'F6-2 Arena'!$B$7,"M")</f>
        <v>1</v>
      </c>
    </row>
    <row r="52" spans="1:20">
      <c r="A52" t="s">
        <v>361</v>
      </c>
      <c r="B52" t="s">
        <v>306</v>
      </c>
      <c r="E52" t="s">
        <v>319</v>
      </c>
      <c r="F52" t="s">
        <v>320</v>
      </c>
    </row>
    <row r="53" spans="1:20">
      <c r="A53" t="s">
        <v>363</v>
      </c>
      <c r="B53" t="s">
        <v>311</v>
      </c>
      <c r="E53" t="s">
        <v>322</v>
      </c>
      <c r="F53" t="s">
        <v>323</v>
      </c>
      <c r="G53" t="s">
        <v>324</v>
      </c>
      <c r="H53" t="s">
        <v>325</v>
      </c>
    </row>
    <row r="54" spans="1:20">
      <c r="A54" t="s">
        <v>365</v>
      </c>
      <c r="B54" t="s">
        <v>315</v>
      </c>
      <c r="E54" t="s">
        <v>327</v>
      </c>
      <c r="F54" t="s">
        <v>328</v>
      </c>
      <c r="G54" t="s">
        <v>329</v>
      </c>
      <c r="H54" t="s">
        <v>148</v>
      </c>
      <c r="I54" t="s">
        <v>330</v>
      </c>
      <c r="J54" t="s">
        <v>331</v>
      </c>
    </row>
    <row r="55" spans="1:20">
      <c r="A55" t="s">
        <v>367</v>
      </c>
      <c r="B55" t="s">
        <v>368</v>
      </c>
      <c r="E55" t="s">
        <v>369</v>
      </c>
      <c r="F55" t="s">
        <v>370</v>
      </c>
      <c r="G55" t="s">
        <v>371</v>
      </c>
      <c r="H55" t="s">
        <v>372</v>
      </c>
      <c r="I55" t="s">
        <v>373</v>
      </c>
      <c r="J55" t="s">
        <v>374</v>
      </c>
    </row>
    <row r="56" spans="1:20">
      <c r="A56" t="s">
        <v>376</v>
      </c>
      <c r="B56" t="s">
        <v>152</v>
      </c>
      <c r="E56" t="s">
        <v>377</v>
      </c>
      <c r="F56" t="s">
        <v>378</v>
      </c>
      <c r="G56" t="s">
        <v>379</v>
      </c>
      <c r="H56" t="s">
        <v>380</v>
      </c>
      <c r="I56" t="s">
        <v>381</v>
      </c>
      <c r="J56" t="s">
        <v>382</v>
      </c>
    </row>
    <row r="57" spans="1:20">
      <c r="A57" t="s">
        <v>384</v>
      </c>
      <c r="B57" t="s">
        <v>385</v>
      </c>
      <c r="E57" t="s">
        <v>386</v>
      </c>
      <c r="F57" t="s">
        <v>387</v>
      </c>
      <c r="G57" t="s">
        <v>388</v>
      </c>
      <c r="H57" t="s">
        <v>389</v>
      </c>
      <c r="I57" t="s">
        <v>390</v>
      </c>
      <c r="J57" t="s">
        <v>391</v>
      </c>
    </row>
    <row r="58" spans="1:20">
      <c r="A58" t="s">
        <v>393</v>
      </c>
      <c r="B58" t="s">
        <v>394</v>
      </c>
      <c r="E58" t="s">
        <v>395</v>
      </c>
      <c r="F58" t="s">
        <v>396</v>
      </c>
      <c r="G58" t="s">
        <v>397</v>
      </c>
      <c r="H58" t="s">
        <v>398</v>
      </c>
      <c r="I58" t="s">
        <v>399</v>
      </c>
      <c r="J58" t="s">
        <v>400</v>
      </c>
      <c r="K58" t="s">
        <v>401</v>
      </c>
      <c r="L58" t="s">
        <v>402</v>
      </c>
      <c r="M58" t="s">
        <v>403</v>
      </c>
      <c r="N58" t="s">
        <v>404</v>
      </c>
      <c r="O58" t="s">
        <v>405</v>
      </c>
      <c r="P58" t="s">
        <v>406</v>
      </c>
      <c r="Q58" t="s">
        <v>407</v>
      </c>
      <c r="R58" t="s">
        <v>408</v>
      </c>
      <c r="S58" t="s">
        <v>409</v>
      </c>
      <c r="T58" t="s">
        <v>410</v>
      </c>
    </row>
    <row r="59" spans="1:20">
      <c r="A59" t="s">
        <v>412</v>
      </c>
      <c r="B59" t="s">
        <v>413</v>
      </c>
      <c r="E59" t="s">
        <v>414</v>
      </c>
    </row>
    <row r="60" spans="1:20">
      <c r="A60" t="s">
        <v>416</v>
      </c>
      <c r="B60" t="s">
        <v>417</v>
      </c>
      <c r="E60" t="s">
        <v>418</v>
      </c>
      <c r="F60" t="s">
        <v>419</v>
      </c>
      <c r="G60" t="s">
        <v>420</v>
      </c>
      <c r="H60" t="s">
        <v>421</v>
      </c>
      <c r="I60" t="s">
        <v>422</v>
      </c>
      <c r="J60" t="s">
        <v>423</v>
      </c>
    </row>
    <row r="61" spans="1:20">
      <c r="A61" t="s">
        <v>425</v>
      </c>
      <c r="B61" t="s">
        <v>426</v>
      </c>
      <c r="E61" t="s">
        <v>427</v>
      </c>
      <c r="F61" t="s">
        <v>428</v>
      </c>
      <c r="G61" t="s">
        <v>429</v>
      </c>
    </row>
    <row r="62" spans="1:20">
      <c r="A62" t="s">
        <v>431</v>
      </c>
      <c r="B62" t="s">
        <v>432</v>
      </c>
      <c r="C62" t="s">
        <v>157</v>
      </c>
      <c r="E62" t="s">
        <v>41</v>
      </c>
      <c r="F62" t="s">
        <v>32</v>
      </c>
      <c r="G62" t="s">
        <v>157</v>
      </c>
      <c r="H62" t="s">
        <v>156</v>
      </c>
    </row>
    <row r="63" spans="1:20">
      <c r="A63" t="s">
        <v>434</v>
      </c>
      <c r="B63" t="s">
        <v>435</v>
      </c>
      <c r="C63" t="s">
        <v>143</v>
      </c>
      <c r="E63" t="s">
        <v>38</v>
      </c>
      <c r="F63" t="s">
        <v>143</v>
      </c>
      <c r="G63" t="s">
        <v>23</v>
      </c>
      <c r="H63" t="s">
        <v>26</v>
      </c>
    </row>
    <row r="64" spans="1:20">
      <c r="A64" t="s">
        <v>437</v>
      </c>
      <c r="B64" t="s">
        <v>438</v>
      </c>
      <c r="C64" t="s">
        <v>359</v>
      </c>
      <c r="E64" t="s">
        <v>156</v>
      </c>
      <c r="F64" t="s">
        <v>148</v>
      </c>
      <c r="G64" t="s">
        <v>359</v>
      </c>
      <c r="H64" t="s">
        <v>29</v>
      </c>
    </row>
    <row r="65" spans="1:10">
      <c r="A65" t="s">
        <v>440</v>
      </c>
      <c r="B65" t="s">
        <v>441</v>
      </c>
      <c r="C65" t="s">
        <v>156</v>
      </c>
      <c r="E65" t="s">
        <v>157</v>
      </c>
      <c r="F65" t="s">
        <v>29</v>
      </c>
      <c r="G65" t="s">
        <v>156</v>
      </c>
      <c r="H65" t="s">
        <v>41</v>
      </c>
    </row>
    <row r="66" spans="1:10">
      <c r="A66" t="s">
        <v>444</v>
      </c>
      <c r="B66" t="s">
        <v>432</v>
      </c>
      <c r="E66" t="s">
        <v>445</v>
      </c>
      <c r="F66" t="s">
        <v>446</v>
      </c>
      <c r="G66" t="s">
        <v>447</v>
      </c>
      <c r="H66" t="s">
        <v>157</v>
      </c>
      <c r="I66" t="s">
        <v>448</v>
      </c>
      <c r="J66" t="s">
        <v>449</v>
      </c>
    </row>
    <row r="67" spans="1:10">
      <c r="A67" t="s">
        <v>450</v>
      </c>
      <c r="B67" t="s">
        <v>435</v>
      </c>
      <c r="E67" t="s">
        <v>451</v>
      </c>
      <c r="F67" t="s">
        <v>452</v>
      </c>
      <c r="G67" t="s">
        <v>453</v>
      </c>
      <c r="H67" t="s">
        <v>143</v>
      </c>
      <c r="I67" t="s">
        <v>454</v>
      </c>
      <c r="J67" t="s">
        <v>455</v>
      </c>
    </row>
    <row r="68" spans="1:10">
      <c r="A68" t="s">
        <v>456</v>
      </c>
      <c r="B68" t="s">
        <v>438</v>
      </c>
      <c r="E68" t="s">
        <v>457</v>
      </c>
      <c r="F68" t="s">
        <v>458</v>
      </c>
      <c r="G68" t="s">
        <v>459</v>
      </c>
      <c r="H68" t="s">
        <v>359</v>
      </c>
      <c r="I68" t="s">
        <v>460</v>
      </c>
      <c r="J68" t="s">
        <v>461</v>
      </c>
    </row>
    <row r="69" spans="1:10">
      <c r="A69" t="s">
        <v>462</v>
      </c>
      <c r="B69" t="s">
        <v>441</v>
      </c>
      <c r="E69" t="s">
        <v>463</v>
      </c>
      <c r="F69" t="s">
        <v>464</v>
      </c>
      <c r="G69" t="s">
        <v>465</v>
      </c>
      <c r="H69" t="s">
        <v>156</v>
      </c>
      <c r="I69" t="s">
        <v>466</v>
      </c>
      <c r="J69" t="s">
        <v>467</v>
      </c>
    </row>
    <row r="70" spans="1:10">
      <c r="A70" t="s">
        <v>468</v>
      </c>
      <c r="B70" t="s">
        <v>469</v>
      </c>
      <c r="C70" cm="1">
        <f t="array" ref="C70">EDATE('F6-3 Arena'!$B$6,3)</f>
        <v>46188</v>
      </c>
    </row>
    <row r="71" spans="1:10">
      <c r="A71" t="s">
        <v>472</v>
      </c>
      <c r="B71" t="s">
        <v>473</v>
      </c>
      <c r="C71" cm="1">
        <f t="array" ref="C71">EOMONTH('F6-3 Arena'!$B$6,0)</f>
        <v>46112</v>
      </c>
    </row>
    <row r="72" spans="1:10">
      <c r="A72" t="s">
        <v>476</v>
      </c>
      <c r="B72" t="s">
        <v>477</v>
      </c>
      <c r="C72" cm="1">
        <f t="array" ref="C72">NETWORKDAYS('F6-3 Arena'!$B$6,'F6-3 Arena'!$B$7)</f>
        <v>35</v>
      </c>
    </row>
    <row r="73" spans="1:10">
      <c r="A73" t="s">
        <v>480</v>
      </c>
      <c r="B73" t="s">
        <v>481</v>
      </c>
      <c r="C73" cm="1">
        <f t="array" ref="C73">WORKDAY('F6-3 Arena'!$B$6,10)</f>
        <v>46108</v>
      </c>
    </row>
    <row r="74" spans="1:10">
      <c r="A74" t="s">
        <v>502</v>
      </c>
      <c r="B74" t="s">
        <v>432</v>
      </c>
      <c r="E74" t="s">
        <v>445</v>
      </c>
      <c r="F74" t="s">
        <v>446</v>
      </c>
      <c r="G74" t="s">
        <v>447</v>
      </c>
      <c r="H74" t="s">
        <v>157</v>
      </c>
      <c r="I74" t="s">
        <v>448</v>
      </c>
      <c r="J74" t="s">
        <v>449</v>
      </c>
    </row>
    <row r="75" spans="1:10">
      <c r="A75" t="s">
        <v>504</v>
      </c>
      <c r="B75" t="s">
        <v>435</v>
      </c>
      <c r="E75" t="s">
        <v>451</v>
      </c>
      <c r="F75" t="s">
        <v>452</v>
      </c>
      <c r="G75" t="s">
        <v>453</v>
      </c>
      <c r="H75" t="s">
        <v>143</v>
      </c>
      <c r="I75" t="s">
        <v>454</v>
      </c>
      <c r="J75" t="s">
        <v>455</v>
      </c>
    </row>
    <row r="76" spans="1:10">
      <c r="A76" t="s">
        <v>506</v>
      </c>
      <c r="B76" t="s">
        <v>438</v>
      </c>
      <c r="E76" t="s">
        <v>457</v>
      </c>
      <c r="F76" t="s">
        <v>458</v>
      </c>
      <c r="G76" t="s">
        <v>459</v>
      </c>
      <c r="H76" t="s">
        <v>359</v>
      </c>
      <c r="I76" t="s">
        <v>460</v>
      </c>
      <c r="J76" t="s">
        <v>461</v>
      </c>
    </row>
    <row r="77" spans="1:10">
      <c r="A77" t="s">
        <v>508</v>
      </c>
      <c r="B77" t="s">
        <v>441</v>
      </c>
      <c r="E77" t="s">
        <v>463</v>
      </c>
      <c r="F77" t="s">
        <v>464</v>
      </c>
      <c r="G77" t="s">
        <v>465</v>
      </c>
      <c r="H77" t="s">
        <v>156</v>
      </c>
      <c r="I77" t="s">
        <v>466</v>
      </c>
      <c r="J77" t="s">
        <v>467</v>
      </c>
    </row>
    <row r="78" spans="1:10">
      <c r="A78" t="s">
        <v>510</v>
      </c>
      <c r="B78" t="s">
        <v>511</v>
      </c>
      <c r="E78" t="s">
        <v>30</v>
      </c>
      <c r="F78" t="s">
        <v>512</v>
      </c>
      <c r="G78" t="s">
        <v>513</v>
      </c>
      <c r="H78" t="s">
        <v>514</v>
      </c>
    </row>
    <row r="79" spans="1:10">
      <c r="A79" t="s">
        <v>516</v>
      </c>
      <c r="B79" t="s">
        <v>517</v>
      </c>
      <c r="E79" t="s">
        <v>24</v>
      </c>
      <c r="F79" t="s">
        <v>518</v>
      </c>
    </row>
    <row r="80" spans="1:10">
      <c r="A80" t="s">
        <v>520</v>
      </c>
      <c r="B80" t="s">
        <v>521</v>
      </c>
      <c r="E80" t="s">
        <v>522</v>
      </c>
      <c r="F80" t="s">
        <v>523</v>
      </c>
      <c r="G80" t="s">
        <v>524</v>
      </c>
      <c r="H80" t="s">
        <v>525</v>
      </c>
      <c r="I80" t="s">
        <v>526</v>
      </c>
      <c r="J80" t="s">
        <v>527</v>
      </c>
    </row>
    <row r="81" spans="1:6">
      <c r="A81" t="s">
        <v>529</v>
      </c>
      <c r="B81" t="s">
        <v>530</v>
      </c>
      <c r="E81" t="s">
        <v>531</v>
      </c>
      <c r="F81" t="s">
        <v>532</v>
      </c>
    </row>
    <row r="82" spans="1:6">
      <c r="A82" t="s">
        <v>536</v>
      </c>
      <c r="B82" t="s">
        <v>537</v>
      </c>
      <c r="C82" cm="1">
        <f t="array" ref="C82">YEAR('Boss Arena'!$B$6)</f>
        <v>2026</v>
      </c>
    </row>
    <row r="83" spans="1:6">
      <c r="A83" t="s">
        <v>540</v>
      </c>
      <c r="B83" t="s">
        <v>541</v>
      </c>
      <c r="C83" cm="1">
        <f t="array" ref="C83">WEEKDAY('Boss Arena'!$B$6)</f>
        <v>4</v>
      </c>
    </row>
    <row r="84" spans="1:6">
      <c r="A84" t="s">
        <v>544</v>
      </c>
      <c r="B84" t="s">
        <v>545</v>
      </c>
      <c r="C84" cm="1">
        <f t="array" ref="C84">'Boss Arena'!$B$7-'Boss Arena'!$B$6</f>
        <v>79</v>
      </c>
    </row>
    <row r="85" spans="1:6">
      <c r="A85" t="s">
        <v>548</v>
      </c>
      <c r="B85" t="s">
        <v>549</v>
      </c>
      <c r="C85" cm="1">
        <f t="array" ref="C85">DATEDIF('Boss Arena'!$B$8,'Boss Arena'!$B$6,"Y")</f>
        <v>7</v>
      </c>
    </row>
    <row r="86" spans="1:6">
      <c r="A86" t="s">
        <v>552</v>
      </c>
      <c r="B86" t="s">
        <v>553</v>
      </c>
      <c r="C86" cm="1">
        <f t="array" ref="C86">EDATE('Boss Arena'!$B$6,2)</f>
        <v>46335</v>
      </c>
    </row>
    <row r="87" spans="1:6">
      <c r="A87" t="s">
        <v>556</v>
      </c>
      <c r="B87" t="s">
        <v>557</v>
      </c>
      <c r="C87" cm="1">
        <f t="array" ref="C87">EOMONTH('Boss Arena'!$B$7,0)</f>
        <v>46356</v>
      </c>
    </row>
    <row r="88" spans="1:6">
      <c r="A88" t="s">
        <v>560</v>
      </c>
      <c r="B88" t="s">
        <v>561</v>
      </c>
      <c r="C88" cm="1">
        <f t="array" ref="C88">NETWORKDAYS('Boss Arena'!$B$6,'Boss Arena'!$B$7)</f>
        <v>58</v>
      </c>
    </row>
    <row r="89" spans="1:6">
      <c r="A89" t="s">
        <v>564</v>
      </c>
      <c r="B89" t="s">
        <v>565</v>
      </c>
      <c r="C89" cm="1">
        <f t="array" ref="C89">WORKDAY('Boss Arena'!$B$6,15)</f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Start</vt:lpstr>
      <vt:lpstr>F6-1 Calendar</vt:lpstr>
      <vt:lpstr>F6-1 Arena</vt:lpstr>
      <vt:lpstr>F6-2 Date Math</vt:lpstr>
      <vt:lpstr>F6-2 Arena</vt:lpstr>
      <vt:lpstr>F6-3 Deadlines</vt:lpstr>
      <vt:lpstr>F6-3 Arena</vt:lpstr>
      <vt:lpstr>Boss</vt:lpstr>
      <vt:lpstr>Boss Arena</vt:lpstr>
      <vt:lpstr>Cheat Codes</vt:lpstr>
      <vt:lpstr>Boss!Print_Titles</vt:lpstr>
      <vt:lpstr>'Cheat Codes'!Print_Titles</vt:lpstr>
      <vt:lpstr>'F6-1 Calendar'!Print_Titles</vt:lpstr>
      <vt:lpstr>'F6-2 Date Math'!Print_Titles</vt:lpstr>
      <vt:lpstr>'F6-3 Deadlines'!Print_Titles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6 · Dates</dc:title>
  <dc:subject>Excel practice: Build, split and shift dates; count days and workdays.</dc:subject>
  <dc:creator>excel-drills</dc:creator>
  <cp:keywords>Excel, practice, formulas, Dates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