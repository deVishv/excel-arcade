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F3-1 Counters" sheetId="2" r:id="rId2"/>
    <sheet name="F3-1 Arena" sheetId="3" r:id="rId3"/>
    <sheet name="F3-2 Money Bags" sheetId="4" r:id="rId4"/>
    <sheet name="F3-2 Arena" sheetId="5" r:id="rId5"/>
    <sheet name="F3-3 Multi-Filter" sheetId="6" r:id="rId6"/>
    <sheet name="F3-3 Arena" sheetId="7" r:id="rId7"/>
    <sheet name="F3-4 Extremes" sheetId="8" r:id="rId8"/>
    <sheet name="F3-4 Arena" sheetId="9" r:id="rId9"/>
    <sheet name="Boss" sheetId="10" r:id="rId10"/>
    <sheet name="Boss Arena" sheetId="11" r:id="rId11"/>
    <sheet name="Cheat Codes" sheetId="12" r:id="rId12"/>
    <sheet name="Key" sheetId="13" state="veryHidden" r:id="rId13"/>
  </sheets>
  <definedNames>
    <definedName name="_xlnm.Print_Titles" localSheetId="9">Boss!$1:$4</definedName>
    <definedName name="_xlnm.Print_Titles" localSheetId="11">'Cheat Codes'!$4:$4</definedName>
    <definedName name="_xlnm.Print_Titles" localSheetId="1">'F3-1 Counters'!$1:$4</definedName>
    <definedName name="_xlnm.Print_Titles" localSheetId="3">'F3-2 Money Bags'!$1:$4</definedName>
    <definedName name="_xlnm.Print_Titles" localSheetId="5">'F3-3 Multi-Filter'!$1:$4</definedName>
    <definedName name="_xlnm.Print_Titles" localSheetId="7">'F3-4 Extremes'!$1:$4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<sst xmlns="http://schemas.openxmlformats.org/spreadsheetml/2006/main" count="1438" uniqueCount="638">
  <si>
    <t>Challenge</t>
  </si>
  <si>
    <t>Hint</t>
  </si>
  <si>
    <t>Expected</t>
  </si>
  <si>
    <t>Lists / per-cell expectations →</t>
  </si>
  <si>
    <t>ARENA ▸ F3-1 COUNTERS</t>
  </si>
  <si>
    <t>Practice area · everything here is editable. Missions and their checks are on the stage sheet.</t>
  </si>
  <si>
    <t>PASS CODE</t>
  </si>
  <si>
    <t>COUNTER</t>
  </si>
  <si>
    <t>◀ Back to F3-1 Counters</t>
  </si>
  <si>
    <t>Order</t>
  </si>
  <si>
    <t>Date</t>
  </si>
  <si>
    <t>Region</t>
  </si>
  <si>
    <t>Rep</t>
  </si>
  <si>
    <t>Product</t>
  </si>
  <si>
    <t>Units</t>
  </si>
  <si>
    <t>Revenue</t>
  </si>
  <si>
    <t>O-101</t>
  </si>
  <si>
    <t>East</t>
  </si>
  <si>
    <t>Kim</t>
  </si>
  <si>
    <t>Widget</t>
  </si>
  <si>
    <t>O-102</t>
  </si>
  <si>
    <t>West</t>
  </si>
  <si>
    <t>Lee</t>
  </si>
  <si>
    <t>Gadget</t>
  </si>
  <si>
    <t>O-103</t>
  </si>
  <si>
    <t>North</t>
  </si>
  <si>
    <t>Ava</t>
  </si>
  <si>
    <t>O-104</t>
  </si>
  <si>
    <t>Gizmo</t>
  </si>
  <si>
    <t>O-105</t>
  </si>
  <si>
    <t>South</t>
  </si>
  <si>
    <t>Raj</t>
  </si>
  <si>
    <t>O-106</t>
  </si>
  <si>
    <t>O-107</t>
  </si>
  <si>
    <t>O-108</t>
  </si>
  <si>
    <t>O-109</t>
  </si>
  <si>
    <t>O-110</t>
  </si>
  <si>
    <t>O-111</t>
  </si>
  <si>
    <t>O-112</t>
  </si>
  <si>
    <t>O-113</t>
  </si>
  <si>
    <t>O-114</t>
  </si>
  <si>
    <t>O-115</t>
  </si>
  <si>
    <t>O-116</t>
  </si>
  <si>
    <t>O-117</t>
  </si>
  <si>
    <t>O-118</t>
  </si>
  <si>
    <t>O-119</t>
  </si>
  <si>
    <t>O-120</t>
  </si>
  <si>
    <t>Min units</t>
  </si>
  <si>
    <t>Start</t>
  </si>
  <si>
    <t>End</t>
  </si>
  <si>
    <t>East orders</t>
  </si>
  <si>
    <t>Orders over 50 units</t>
  </si>
  <si>
    <t>Products starting with G</t>
  </si>
  <si>
    <t>Orders not from East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</si>
  <si>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</si>
  <si>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</si>
  <si>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</si>
  <si>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</si>
  <si>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</si>
  <si>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Count the cells that meet one condition.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=COUNTIF(D6:D25,"East") counts the East rows.</t>
    </r>
  </si>
  <si>
    <t>COUNTIF</t>
  </si>
  <si>
    <t>2</t>
  </si>
  <si>
    <r>
      <rPr>
        <b/>
        <sz val="12"/>
        <color rgb="FF1F2328"/>
        <rFont val="Calibri"/>
        <family val="2"/>
        <scheme val="minor"/>
      </rPr>
      <t>Put comparison criteria in quotes: "&gt;50", "&lt;&gt;East".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The operator goes inside the quotes with the value.</t>
    </r>
  </si>
  <si>
    <t>"&gt;50"</t>
  </si>
  <si>
    <t>3</t>
  </si>
  <si>
    <r>
      <rPr>
        <b/>
        <sz val="12"/>
        <color rgb="FF1F2328"/>
        <rFont val="Calibri"/>
        <family val="2"/>
        <scheme val="minor"/>
      </rPr>
      <t>* matches any text, ? one character: "G*" = starts with G.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Wildcards work in COUNTIF, SUMIF and their IFS cousins.</t>
    </r>
  </si>
  <si>
    <t>* and ?</t>
  </si>
  <si>
    <t>WARM-UP · flashback to earlier stages</t>
  </si>
  <si>
    <t>Mission</t>
  </si>
  <si>
    <t>Your answer</t>
  </si>
  <si>
    <t>Result</t>
  </si>
  <si>
    <t>Hint?</t>
  </si>
  <si>
    <t>XP</t>
  </si>
  <si>
    <t>F3-1 Counters W1</t>
  </si>
  <si>
    <t>Ctrl+Shift plus the dollar key.</t>
  </si>
  <si>
    <t>CTRL+SHIFT+$</t>
  </si>
  <si>
    <t>CTRL+SHIFT+4</t>
  </si>
  <si>
    <t>SHIFT+CTRL+$</t>
  </si>
  <si>
    <t>SHIFT+CTRL+4</t>
  </si>
  <si>
    <t>W1</t>
  </si>
  <si>
    <t>Which keys apply the Currency format?  (from S3-1 Number Skins)</t>
  </si>
  <si>
    <t>F3-1 Counters W2</t>
  </si>
  <si>
    <t>Ctrl+Shift plus the % key.</t>
  </si>
  <si>
    <t>CTRL+SHIFT+%</t>
  </si>
  <si>
    <t>CTRL+SHIFT+5</t>
  </si>
  <si>
    <t>SHIFT+CTRL+%</t>
  </si>
  <si>
    <t>SHIFT+CTRL+5</t>
  </si>
  <si>
    <t>W2</t>
  </si>
  <si>
    <t>Which keys apply the Percent format?  (from S3-1 Number Skins)</t>
  </si>
  <si>
    <t>F3-1 Counters W3</t>
  </si>
  <si>
    <t>Ctrl+Shift plus the ! key.</t>
  </si>
  <si>
    <t>CTRL+SHIFT+!</t>
  </si>
  <si>
    <t>CTRL+SHIFT+1</t>
  </si>
  <si>
    <t>SHIFT+CTRL+!</t>
  </si>
  <si>
    <t>SHIFT+CTRL+1</t>
  </si>
  <si>
    <t>W3</t>
  </si>
  <si>
    <t>Which keys apply the Number format with a thousands separator?  (from S3-1 Number Skins)</t>
  </si>
  <si>
    <t>F3-1 Counters W4</t>
  </si>
  <si>
    <t>Ctrl+Shift plus the # key.</t>
  </si>
  <si>
    <t>CTRL+SHIFT+#</t>
  </si>
  <si>
    <t>CTRL+SHIFT+3</t>
  </si>
  <si>
    <t>SHIFT+CTRL+#</t>
  </si>
  <si>
    <t>SHIFT+CTRL+3</t>
  </si>
  <si>
    <t>W4</t>
  </si>
  <si>
    <t>Which keys apply the Date format?  (from S3-1 Number Skins)</t>
  </si>
  <si>
    <t>F3-1 Counters W5</t>
  </si>
  <si>
    <t>Ctrl+Shift plus the @ key.</t>
  </si>
  <si>
    <t>CTRL+SHIFT+2</t>
  </si>
  <si>
    <t>CTRL+SHIFT+@</t>
  </si>
  <si>
    <t>SHIFT+CTRL+2</t>
  </si>
  <si>
    <t>SHIFT+CTRL+@</t>
  </si>
  <si>
    <t>W5</t>
  </si>
  <si>
    <t>Which keys apply the Time format?  (from S3-1 Number Skins)</t>
  </si>
  <si>
    <t>F3-1 Counters W6</t>
  </si>
  <si>
    <t>Ctrl+Shift plus the ~ key.</t>
  </si>
  <si>
    <t>CTRL+SHIFT+`</t>
  </si>
  <si>
    <t>CTRL+SHIFT+~</t>
  </si>
  <si>
    <t>SHIFT+CTRL+`</t>
  </si>
  <si>
    <t>SHIFT+CTRL+~</t>
  </si>
  <si>
    <t>W6</t>
  </si>
  <si>
    <t>Which keys reset a cell to the General format?  (from S3-1 Number Skins)</t>
  </si>
  <si>
    <t>F3-1 Counters W7</t>
  </si>
  <si>
    <t>Ctrl+Shift plus A for arguments.</t>
  </si>
  <si>
    <t>CTRL+SHIFT+A</t>
  </si>
  <si>
    <t>SHIFT+CTRL+A</t>
  </si>
  <si>
    <t>W7</t>
  </si>
  <si>
    <t>Which keys insert a function's argument names after you type its name?  (from F1-5 X-Ray)</t>
  </si>
  <si>
    <t>F3-1 Counters W8</t>
  </si>
  <si>
    <t>Shift plus F3.</t>
  </si>
  <si>
    <t>SHIFT+F3</t>
  </si>
  <si>
    <t>W8</t>
  </si>
  <si>
    <t>Which keys open the Insert Function dialog?  (from F1-5 X-Ray)</t>
  </si>
  <si>
    <t>F3-1 Counters W9</t>
  </si>
  <si>
    <t>Enter plus Shift.</t>
  </si>
  <si>
    <t>SHIFT+ENTER</t>
  </si>
  <si>
    <t>W9</t>
  </si>
  <si>
    <t>Which keys confirm an entry and move up one cell?  (from S2-1 Quick Entry)</t>
  </si>
  <si>
    <t>F3-1 Counters W10</t>
  </si>
  <si>
    <t>The key above Caps Lock.</t>
  </si>
  <si>
    <t>TAB</t>
  </si>
  <si>
    <t>W10</t>
  </si>
  <si>
    <t>Which key confirms an entry and moves one cell to the right?  (from S2-1 Quick Entry)</t>
  </si>
  <si>
    <t>TRAINING · recognize the move (pick from the list)</t>
  </si>
  <si>
    <t>F3-1 Counters T1</t>
  </si>
  <si>
    <t>COUNT plus IF.</t>
  </si>
  <si>
    <t>SUMIF</t>
  </si>
  <si>
    <t>COUNTIFS</t>
  </si>
  <si>
    <t>MAXIFS</t>
  </si>
  <si>
    <t>T1</t>
  </si>
  <si>
    <t>Which function counts cells that meet one condition?</t>
  </si>
  <si>
    <t>F3-1 Counters T2</t>
  </si>
  <si>
    <t>Quotes around &gt;50.</t>
  </si>
  <si>
    <t>start/end pairs</t>
  </si>
  <si>
    <t>"&gt;="&amp;K6</t>
  </si>
  <si>
    <t>T2</t>
  </si>
  <si>
    <t>Pick the COUNTIF criteria for "greater than 50", quotes included.</t>
  </si>
  <si>
    <t>F3-1 Counters T3</t>
  </si>
  <si>
    <t>Shift+8.</t>
  </si>
  <si>
    <t>T3</t>
  </si>
  <si>
    <t>Which move is this? * matches any text, ? one character: "G*" = starts with G.</t>
  </si>
  <si>
    <t>CHALLENGES · recall it, then do it</t>
  </si>
  <si>
    <t>▶ Open F3-1 Arena (or press Ctrl+PgDn)</t>
  </si>
  <si>
    <t>F3-1 Counters C1</t>
  </si>
  <si>
    <t>=COUNTIF</t>
  </si>
  <si>
    <t>=COUNTIF(</t>
  </si>
  <si>
    <t>=COUNTIF()</t>
  </si>
  <si>
    <t>COUNTIF(</t>
  </si>
  <si>
    <t>COUNTIF()</t>
  </si>
  <si>
    <t>C1</t>
  </si>
  <si>
    <t>F3-1 Counters C2</t>
  </si>
  <si>
    <t>C2</t>
  </si>
  <si>
    <t>Type the COUNTIF criteria for "greater than 50", quotes included.</t>
  </si>
  <si>
    <t>F3-1 Counters C3</t>
  </si>
  <si>
    <t>*</t>
  </si>
  <si>
    <t>ASTERISK</t>
  </si>
  <si>
    <t>C3</t>
  </si>
  <si>
    <t>Which wildcard matches any number of characters?</t>
  </si>
  <si>
    <t>F3-1 Counters C4</t>
  </si>
  <si>
    <t>Range first, then the criteria.</t>
  </si>
  <si>
    <t>C4</t>
  </si>
  <si>
    <t>In M6 count the East orders: =COUNTIF(D6:D25,"East").</t>
  </si>
  <si>
    <t>▶ ARENA C4 (cell M6)</t>
  </si>
  <si>
    <t>F3-1 Counters C5</t>
  </si>
  <si>
    <t>Criteria "&gt;50" in quotes.</t>
  </si>
  <si>
    <t>C5</t>
  </si>
  <si>
    <t>In M7 count the orders with more than 50 units (G6:G25).</t>
  </si>
  <si>
    <t>▶ ARENA C5 (cell M7)</t>
  </si>
  <si>
    <t>F3-1 Counters C6</t>
  </si>
  <si>
    <t>Use "G*".</t>
  </si>
  <si>
    <t>C6</t>
  </si>
  <si>
    <t>In M8 count the products (F6:F25) whose name starts with G.</t>
  </si>
  <si>
    <t>▶ ARENA C6 (cell M8)</t>
  </si>
  <si>
    <t>F3-1 Counters C7</t>
  </si>
  <si>
    <t>Criteria "&lt;&gt;East".</t>
  </si>
  <si>
    <t>C7</t>
  </si>
  <si>
    <t>In M9 count the orders NOT from East.</t>
  </si>
  <si>
    <t>▶ ARENA C7 (cell M9)</t>
  </si>
  <si>
    <t>STAGE F3-1 ▸ COUNTERS</t>
  </si>
  <si>
    <t>Goal: count only the rows you care about</t>
  </si>
  <si>
    <t>ARENA ▸ F3-2 MONEY BAGS</t>
  </si>
  <si>
    <t>MONEYBAG</t>
  </si>
  <si>
    <t>◀ Back to F3-2 Money Bags</t>
  </si>
  <si>
    <t>West revenue</t>
  </si>
  <si>
    <t>Kim's average units</t>
  </si>
  <si>
    <t>Revenue of orders with 40+ units</t>
  </si>
  <si>
    <r>
      <rPr>
        <b/>
        <sz val="12"/>
        <color rgb="FF1F2328"/>
        <rFont val="Calibri"/>
        <family val="2"/>
        <scheme val="minor"/>
      </rPr>
      <t>Add the values whose row meets one condition.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=SUMIF(D6:D25,"West",H6:H25): test range, criteria, then sum range.</t>
    </r>
  </si>
  <si>
    <r>
      <rPr>
        <b/>
        <sz val="12"/>
        <color rgb="FF1F2328"/>
        <rFont val="Calibri"/>
        <family val="2"/>
        <scheme val="minor"/>
      </rPr>
      <t>Average the values whose row meets one condition.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Same argument order as SUMIF.</t>
    </r>
  </si>
  <si>
    <t>AVERAGEIF</t>
  </si>
  <si>
    <t>F3-2 Money Bags W1</t>
  </si>
  <si>
    <t>Which function counts cells that meet one condition?  (from F3-1 Counters)</t>
  </si>
  <si>
    <t>F3-2 Money Bags W2</t>
  </si>
  <si>
    <t>Type the COUNTIF criteria for "greater than 50", quotes included.  (from F3-1 Counters)</t>
  </si>
  <si>
    <t>F3-2 Money Bags W3</t>
  </si>
  <si>
    <t>Which wildcard matches any number of characters?  (from F3-1 Counters)</t>
  </si>
  <si>
    <t>F3-2 Money Bags W4</t>
  </si>
  <si>
    <t>B for Bold.</t>
  </si>
  <si>
    <t>CTRL+2</t>
  </si>
  <si>
    <t>CTRL+B</t>
  </si>
  <si>
    <t>Which keys toggle bold?  (from S3-2 Text Style)</t>
  </si>
  <si>
    <t>F3-2 Money Bags W5</t>
  </si>
  <si>
    <t>I for Italic.</t>
  </si>
  <si>
    <t>CTRL+3</t>
  </si>
  <si>
    <t>CTRL+I</t>
  </si>
  <si>
    <t>Which keys toggle italic?  (from S3-2 Text Style)</t>
  </si>
  <si>
    <t>F3-2 Money Bags W6</t>
  </si>
  <si>
    <t>U for Underline.</t>
  </si>
  <si>
    <t>CTRL+4</t>
  </si>
  <si>
    <t>CTRL+U</t>
  </si>
  <si>
    <t>Which keys toggle underline?  (from S3-2 Text Style)</t>
  </si>
  <si>
    <t>F3-2 Money Bags W7</t>
  </si>
  <si>
    <t>Ctrl plus a number key.</t>
  </si>
  <si>
    <t>CTRL+5</t>
  </si>
  <si>
    <t>Which keys toggle strikethrough?  (from S3-2 Text Style)</t>
  </si>
  <si>
    <t>F3-2 Money Bags W8</t>
  </si>
  <si>
    <t>Enter plus Ctrl.</t>
  </si>
  <si>
    <t>CTRL+ENTER</t>
  </si>
  <si>
    <t>Which keys fill every selected cell with what you typed?  (from S2-1 Quick Entry)</t>
  </si>
  <si>
    <t>F3-2 Money Bags W9</t>
  </si>
  <si>
    <t>Enter plus Alt.</t>
  </si>
  <si>
    <t>ALT+ENTER</t>
  </si>
  <si>
    <t>Which keys start a new line inside the same cell?  (from S2-1 Quick Entry)</t>
  </si>
  <si>
    <t>F3-2 Money Bags W10</t>
  </si>
  <si>
    <t>The top-left key.</t>
  </si>
  <si>
    <t>ESC</t>
  </si>
  <si>
    <t>Which key cancels an entry and leaves the cell unchanged?  (from S2-1 Quick Entry)</t>
  </si>
  <si>
    <t>F3-2 Money Bags T1</t>
  </si>
  <si>
    <t>SUM plus IF.</t>
  </si>
  <si>
    <t>Which function adds values that meet one condition?</t>
  </si>
  <si>
    <t>F3-2 Money Bags T2</t>
  </si>
  <si>
    <t>AVERAGE plus IF.</t>
  </si>
  <si>
    <t>MINIFS</t>
  </si>
  <si>
    <t>Which function averages values that meet one condition?</t>
  </si>
  <si>
    <t>▶ Open F3-2 Arena (or press Ctrl+PgDn)</t>
  </si>
  <si>
    <t>F3-2 Money Bags C1</t>
  </si>
  <si>
    <t>=SUMIF</t>
  </si>
  <si>
    <t>=SUMIF(</t>
  </si>
  <si>
    <t>=SUMIF()</t>
  </si>
  <si>
    <t>SUMIF(</t>
  </si>
  <si>
    <t>SUMIF()</t>
  </si>
  <si>
    <t>F3-2 Money Bags C2</t>
  </si>
  <si>
    <t>=AVERAGEIF</t>
  </si>
  <si>
    <t>=AVERAGEIF(</t>
  </si>
  <si>
    <t>=AVERAGEIF()</t>
  </si>
  <si>
    <t>AVERAGEIF(</t>
  </si>
  <si>
    <t>AVERAGEIF()</t>
  </si>
  <si>
    <t>F3-2 Money Bags C3</t>
  </si>
  <si>
    <t>Test range, criteria, sum range.</t>
  </si>
  <si>
    <t>In M6 add up the Revenue (H) of the West orders: =SUMIF(D6:D25,"West",H6:H25).</t>
  </si>
  <si>
    <t>▶ ARENA C3 (cell M6)</t>
  </si>
  <si>
    <t>F3-2 Money Bags C4</t>
  </si>
  <si>
    <t>AVERAGEIF.</t>
  </si>
  <si>
    <t>In M7 average the Units (G) of Kim's orders (Rep in column E).</t>
  </si>
  <si>
    <t>▶ ARENA C4 (cell M7)</t>
  </si>
  <si>
    <t>F3-2 Money Bags C5</t>
  </si>
  <si>
    <t>Criteria "&gt;=40".</t>
  </si>
  <si>
    <t>In M8 add up the Revenue of orders with 40 or more Units.</t>
  </si>
  <si>
    <t>▶ ARENA C5 (cell M8)</t>
  </si>
  <si>
    <t>STAGE F3-2 ▸ MONEY BAGS</t>
  </si>
  <si>
    <t>Goal: add and average with a condition</t>
  </si>
  <si>
    <t>ARENA ▸ F3-3 MULTI-FILTER</t>
  </si>
  <si>
    <t>FILTERS</t>
  </si>
  <si>
    <t>◀ Back to F3-3 Multi-Filter</t>
  </si>
  <si>
    <t>East orders over 30 units</t>
  </si>
  <si>
    <t>East Widget revenue</t>
  </si>
  <si>
    <t>Kim's average East revenue</t>
  </si>
  <si>
    <r>
      <rPr>
        <b/>
        <sz val="12"/>
        <color rgb="FF1F2328"/>
        <rFont val="Calibri"/>
        <family val="2"/>
        <scheme val="minor"/>
      </rPr>
      <t>Count rows that meet several conditions at once.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Pairs of range + criteria; every pair must match.</t>
    </r>
  </si>
  <si>
    <r>
      <rPr>
        <b/>
        <sz val="12"/>
        <color rgb="FF1F2328"/>
        <rFont val="Calibri"/>
        <family val="2"/>
        <scheme val="minor"/>
      </rPr>
      <t>Add values whose rows meet several conditions.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The sum range comes FIRST in SUMIFS (last in SUMIF).</t>
    </r>
  </si>
  <si>
    <t>SUMIFS</t>
  </si>
  <si>
    <r>
      <rPr>
        <b/>
        <sz val="12"/>
        <color rgb="FF1F2328"/>
        <rFont val="Calibri"/>
        <family val="2"/>
        <scheme val="minor"/>
      </rPr>
      <t>Average values whose rows meet several conditions.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Average range first, then range/criteria pairs.</t>
    </r>
  </si>
  <si>
    <t>AVERAGEIFS</t>
  </si>
  <si>
    <t>F3-3 Multi-Filter W1</t>
  </si>
  <si>
    <t>Which function adds values that meet one condition?  (from F3-2 Money Bags)</t>
  </si>
  <si>
    <t>F3-3 Multi-Filter W2</t>
  </si>
  <si>
    <t>Which function averages values that meet one condition?  (from F3-2 Money Bags)</t>
  </si>
  <si>
    <t>F3-3 Multi-Filter W3</t>
  </si>
  <si>
    <t>Ctrl plus the number 1.</t>
  </si>
  <si>
    <t>CTRL+1</t>
  </si>
  <si>
    <t>Which keys open the Format Cells dialog?  (from S3-3 Format Power)</t>
  </si>
  <si>
    <t>F3-3 Multi-Filter W4</t>
  </si>
  <si>
    <t>Ctrl+Shift plus the &amp; key.</t>
  </si>
  <si>
    <t>CTRL+SHIFT+&amp;</t>
  </si>
  <si>
    <t>CTRL+SHIFT+7</t>
  </si>
  <si>
    <t>SHIFT+CTRL+&amp;</t>
  </si>
  <si>
    <t>SHIFT+CTRL+7</t>
  </si>
  <si>
    <t>Which keys add an outline border?  (from S3-3 Format Power)</t>
  </si>
  <si>
    <t>F3-3 Multi-Filter W5</t>
  </si>
  <si>
    <t>Ctrl+Shift plus the underscore key.</t>
  </si>
  <si>
    <t>CTRL+SHIFT+-</t>
  </si>
  <si>
    <t>CTRL+SHIFT+_</t>
  </si>
  <si>
    <t>SHIFT+CTRL+-</t>
  </si>
  <si>
    <t>SHIFT+CTRL+_</t>
  </si>
  <si>
    <t>Which keys remove the outline border?  (from S3-3 Format Power)</t>
  </si>
  <si>
    <t>F3-3 Multi-Filter W6</t>
  </si>
  <si>
    <t>The key next to the spacebar.</t>
  </si>
  <si>
    <t>ALT</t>
  </si>
  <si>
    <t>F10</t>
  </si>
  <si>
    <t>Which key shows the ribbon KeyTips?  (from S3-3 Format Power)</t>
  </si>
  <si>
    <t>F3-3 Multi-Filter W7</t>
  </si>
  <si>
    <t>Alt, then H, then A, then C.</t>
  </si>
  <si>
    <t>ALT+H+A+C</t>
  </si>
  <si>
    <t>ALT+H,A,C</t>
  </si>
  <si>
    <t>ALT+H&gt;A&gt;C</t>
  </si>
  <si>
    <t>ALT+HAC</t>
  </si>
  <si>
    <t>ALT,H+A+C</t>
  </si>
  <si>
    <t>ALT,H,A,C</t>
  </si>
  <si>
    <t>ALT,H&gt;A&gt;C</t>
  </si>
  <si>
    <t>ALT,HAC</t>
  </si>
  <si>
    <t>ALT&gt;H+A+C</t>
  </si>
  <si>
    <t>ALT&gt;H,A,C</t>
  </si>
  <si>
    <t>ALT&gt;H&gt;A&gt;C</t>
  </si>
  <si>
    <t>ALT&gt;HAC</t>
  </si>
  <si>
    <t>ALTH+A+C</t>
  </si>
  <si>
    <t>ALTH,A,C</t>
  </si>
  <si>
    <t>ALTH&gt;A&gt;C</t>
  </si>
  <si>
    <t>ALTHAC</t>
  </si>
  <si>
    <t>Which KeyTips center the selected cells?  (from S3-3 Format Power)</t>
  </si>
  <si>
    <t>F3-3 Multi-Filter W8</t>
  </si>
  <si>
    <t>Alt, then H, then H again.</t>
  </si>
  <si>
    <t>ALT+H+H</t>
  </si>
  <si>
    <t>ALT+H,H</t>
  </si>
  <si>
    <t>ALT+H&gt;H</t>
  </si>
  <si>
    <t>ALT+HH</t>
  </si>
  <si>
    <t>ALT,H+H</t>
  </si>
  <si>
    <t>ALT,H,H</t>
  </si>
  <si>
    <t>ALT,H&gt;H</t>
  </si>
  <si>
    <t>ALT,HH</t>
  </si>
  <si>
    <t>ALT&gt;H+H</t>
  </si>
  <si>
    <t>ALT&gt;H,H</t>
  </si>
  <si>
    <t>ALT&gt;H&gt;H</t>
  </si>
  <si>
    <t>ALT&gt;HH</t>
  </si>
  <si>
    <t>ALTH+H</t>
  </si>
  <si>
    <t>ALTH,H</t>
  </si>
  <si>
    <t>ALTH&gt;H</t>
  </si>
  <si>
    <t>ALTHH</t>
  </si>
  <si>
    <t>Which KeyTips open the Fill Color menu?  (from S3-3 Format Power)</t>
  </si>
  <si>
    <t>F3-3 Multi-Filter W9</t>
  </si>
  <si>
    <t>A function key.</t>
  </si>
  <si>
    <t>CTRL+Y</t>
  </si>
  <si>
    <t>F4</t>
  </si>
  <si>
    <t>Which key repeats your last action?  (from S3-3 Format Power)</t>
  </si>
  <si>
    <t>F3-3 Multi-Filter W10</t>
  </si>
  <si>
    <t>C for Copy.</t>
  </si>
  <si>
    <t>CTRL+C</t>
  </si>
  <si>
    <t>Which keys copy the selection?  (from S2-2 Clone Machine)</t>
  </si>
  <si>
    <t>F3-3 Multi-Filter T1</t>
  </si>
  <si>
    <t>COUNTIF plus S.</t>
  </si>
  <si>
    <t>Which function counts rows that meet several conditions?</t>
  </si>
  <si>
    <t>F3-3 Multi-Filter T2</t>
  </si>
  <si>
    <t>SUMIF plus S.</t>
  </si>
  <si>
    <t>Which function adds values that meet several conditions?</t>
  </si>
  <si>
    <t>F3-3 Multi-Filter T3</t>
  </si>
  <si>
    <t>AVERAGEIF plus S.</t>
  </si>
  <si>
    <t>Which function averages values that meet several conditions?</t>
  </si>
  <si>
    <t>▶ Open F3-3 Arena (or press Ctrl+PgDn)</t>
  </si>
  <si>
    <t>F3-3 Multi-Filter C1</t>
  </si>
  <si>
    <t>=COUNTIFS</t>
  </si>
  <si>
    <t>=COUNTIFS(</t>
  </si>
  <si>
    <t>=COUNTIFS()</t>
  </si>
  <si>
    <t>COUNTIFS(</t>
  </si>
  <si>
    <t>COUNTIFS()</t>
  </si>
  <si>
    <t>F3-3 Multi-Filter C2</t>
  </si>
  <si>
    <t>=SUMIFS</t>
  </si>
  <si>
    <t>=SUMIFS(</t>
  </si>
  <si>
    <t>=SUMIFS()</t>
  </si>
  <si>
    <t>SUMIFS(</t>
  </si>
  <si>
    <t>SUMIFS()</t>
  </si>
  <si>
    <t>F3-3 Multi-Filter C3</t>
  </si>
  <si>
    <t>=AVERAGEIFS</t>
  </si>
  <si>
    <t>=AVERAGEIFS(</t>
  </si>
  <si>
    <t>=AVERAGEIFS()</t>
  </si>
  <si>
    <t>AVERAGEIFS(</t>
  </si>
  <si>
    <t>AVERAGEIFS()</t>
  </si>
  <si>
    <t>F3-3 Multi-Filter C4</t>
  </si>
  <si>
    <t>COUNTIFS with two pairs.</t>
  </si>
  <si>
    <t>In M6 count the East orders with more than 30 units.</t>
  </si>
  <si>
    <t>F3-3 Multi-Filter C5</t>
  </si>
  <si>
    <t>Sum range first in SUMIFS.</t>
  </si>
  <si>
    <t>In M7 add the Revenue of East orders for Widget.</t>
  </si>
  <si>
    <t>F3-3 Multi-Filter C6</t>
  </si>
  <si>
    <t>AVERAGEIFS.</t>
  </si>
  <si>
    <t>In M8 average the Revenue of Kim's East orders.</t>
  </si>
  <si>
    <t>STAGE F3-3 ▸ MULTI-FILTER</t>
  </si>
  <si>
    <t>Goal: stack several conditions</t>
  </si>
  <si>
    <t>ARENA ▸ F3-4 EXTREMES</t>
  </si>
  <si>
    <t>EXTREMES</t>
  </si>
  <si>
    <t>◀ Back to F3-4 Extremes</t>
  </si>
  <si>
    <t>Biggest East revenue</t>
  </si>
  <si>
    <t>Fewest Widget units</t>
  </si>
  <si>
    <t>Orders with units ≥ K6</t>
  </si>
  <si>
    <t>Revenue between K9 and K11</t>
  </si>
  <si>
    <r>
      <rPr>
        <b/>
        <sz val="12"/>
        <color rgb="FF1F2328"/>
        <rFont val="Calibri"/>
        <family val="2"/>
        <scheme val="minor"/>
      </rPr>
      <t>The largest value whose row meets your conditions.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Max range first, then range/criteria pairs.</t>
    </r>
  </si>
  <si>
    <r>
      <rPr>
        <b/>
        <sz val="12"/>
        <color rgb="FF1F2328"/>
        <rFont val="Calibri"/>
        <family val="2"/>
        <scheme val="minor"/>
      </rPr>
      <t>The smallest value whose row meets your conditions.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Same layout as MAXIFS.</t>
    </r>
  </si>
  <si>
    <r>
      <rPr>
        <b/>
        <sz val="12"/>
        <color rgb="FF1F2328"/>
        <rFont val="Calibri"/>
        <family val="2"/>
        <scheme val="minor"/>
      </rPr>
      <t>Join an operator to a cell with &amp;: "&gt;="&amp;K6.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Change K6 and the result follows.</t>
    </r>
  </si>
  <si>
    <t>4</t>
  </si>
  <si>
    <r>
      <rPr>
        <b/>
        <sz val="12"/>
        <color rgb="FF1F2328"/>
        <rFont val="Calibri"/>
        <family val="2"/>
        <scheme val="minor"/>
      </rPr>
      <t>Dates between two days: one criteria pair for &gt;= start, one for &lt;= end.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SUMIFS(H6:H25,C6:C25,"&gt;="&amp;K9,C6:C25,"&lt;="&amp;K11)</t>
    </r>
  </si>
  <si>
    <t>F3-4 Extremes W1</t>
  </si>
  <si>
    <t>Which function counts rows that meet several conditions?  (from F3-3 Multi-Filter)</t>
  </si>
  <si>
    <t>F3-4 Extremes W2</t>
  </si>
  <si>
    <t>Which function adds values that meet several conditions?  (from F3-3 Multi-Filter)</t>
  </si>
  <si>
    <t>F3-4 Extremes W3</t>
  </si>
  <si>
    <t>Which function averages values that meet several conditions?  (from F3-3 Multi-Filter)</t>
  </si>
  <si>
    <t>F3-4 Extremes W4</t>
  </si>
  <si>
    <t>X looks like scissors.</t>
  </si>
  <si>
    <t>CTRL+X</t>
  </si>
  <si>
    <t>Which keys cut the selection?  (from S2-2 Clone Machine)</t>
  </si>
  <si>
    <t>F3-4 Extremes W5</t>
  </si>
  <si>
    <t>Next to C on the keyboard.</t>
  </si>
  <si>
    <t>CTRL+V</t>
  </si>
  <si>
    <t>Which keys paste?  (from S2-2 Clone Machine)</t>
  </si>
  <si>
    <t>F3-4 Extremes W6</t>
  </si>
  <si>
    <t>Paste plus Alt.</t>
  </si>
  <si>
    <t>ALT+CTRL+V</t>
  </si>
  <si>
    <t>CTRL+ALT+V</t>
  </si>
  <si>
    <t>Which keys open Paste Special?  (from S2-2 Clone Machine)</t>
  </si>
  <si>
    <t>F3-4 Extremes W7</t>
  </si>
  <si>
    <t>R for Right.</t>
  </si>
  <si>
    <t>CTRL+R</t>
  </si>
  <si>
    <t>Which keys copy the left cell into the selected cells to its right?  (from S2-2 Clone Machine)</t>
  </si>
  <si>
    <t>F3-4 Extremes W8</t>
  </si>
  <si>
    <t>The bottom-left letter.</t>
  </si>
  <si>
    <t>CTRL+Z</t>
  </si>
  <si>
    <t>Which keys undo the last action?  (from S2-2 Clone Machine)</t>
  </si>
  <si>
    <t>F3-4 Extremes W9</t>
  </si>
  <si>
    <t>The letter after X.</t>
  </si>
  <si>
    <t>Which keys redo or repeat the last action?  (from S2-2 Clone Machine)</t>
  </si>
  <si>
    <t>F3-4 Extremes W10</t>
  </si>
  <si>
    <t>Ctrl plus the semicolon key.</t>
  </si>
  <si>
    <t>CTRL+;</t>
  </si>
  <si>
    <t>CTRL+SEMICOLON</t>
  </si>
  <si>
    <t>Which keys type today's date as a fixed value?  (from S2-3 Stamps &amp; Smart Fill)</t>
  </si>
  <si>
    <t>F3-4 Extremes T1</t>
  </si>
  <si>
    <t>MAX plus IFS.</t>
  </si>
  <si>
    <t>Which function returns the largest value that meets conditions?</t>
  </si>
  <si>
    <t>F3-4 Extremes T2</t>
  </si>
  <si>
    <t>MIN plus IFS.</t>
  </si>
  <si>
    <t>Which function returns the smallest value that meets conditions?</t>
  </si>
  <si>
    <t>F3-4 Extremes T3</t>
  </si>
  <si>
    <t>Shift+7.</t>
  </si>
  <si>
    <t>Which move is this? Join an operator to a cell with &amp;: "&gt;="&amp;K6.</t>
  </si>
  <si>
    <t>F3-4 Extremes T4</t>
  </si>
  <si>
    <t>One pair per edge.</t>
  </si>
  <si>
    <t>T4</t>
  </si>
  <si>
    <t>Which move is this? Dates between two days: one criteria pair for &gt;= start, one for &lt;= end.</t>
  </si>
  <si>
    <t>▶ Open F3-4 Arena (or press Ctrl+PgDn)</t>
  </si>
  <si>
    <t>F3-4 Extremes C1</t>
  </si>
  <si>
    <t>=MAXIFS</t>
  </si>
  <si>
    <t>=MAXIFS(</t>
  </si>
  <si>
    <t>=MAXIFS()</t>
  </si>
  <si>
    <t>MAXIFS(</t>
  </si>
  <si>
    <t>MAXIFS()</t>
  </si>
  <si>
    <t>F3-4 Extremes C2</t>
  </si>
  <si>
    <t>=MINIFS</t>
  </si>
  <si>
    <t>=MINIFS(</t>
  </si>
  <si>
    <t>=MINIFS()</t>
  </si>
  <si>
    <t>MINIFS(</t>
  </si>
  <si>
    <t>MINIFS()</t>
  </si>
  <si>
    <t>F3-4 Extremes C3</t>
  </si>
  <si>
    <t>&amp;</t>
  </si>
  <si>
    <t>AMPERSAND</t>
  </si>
  <si>
    <t>Which character joins "&gt;=" to a cell reference in criteria?</t>
  </si>
  <si>
    <t>F3-4 Extremes C4</t>
  </si>
  <si>
    <t>TWO</t>
  </si>
  <si>
    <t>How many range/criteria pairs do you need for 'dates between a start and an end'?</t>
  </si>
  <si>
    <t>F3-4 Extremes C5</t>
  </si>
  <si>
    <t>MAXIFS(H6:H25,D6:D25,"East")</t>
  </si>
  <si>
    <t>In M6 find the largest East Revenue with MAXIFS.</t>
  </si>
  <si>
    <t>▶ ARENA C5 (cell M6)</t>
  </si>
  <si>
    <t>F3-4 Extremes C6</t>
  </si>
  <si>
    <t>MINIFS.</t>
  </si>
  <si>
    <t>In M7 find the fewest Units in any Widget order with MINIFS.</t>
  </si>
  <si>
    <t>▶ ARENA C6 (cell M7)</t>
  </si>
  <si>
    <t>F3-4 Extremes C7</t>
  </si>
  <si>
    <t>Join with &amp;.</t>
  </si>
  <si>
    <t>In M8 count the orders whose Units are at least the number in K6. Build the criteria with "&gt;="&amp;K6.</t>
  </si>
  <si>
    <t>▶ ARENA C7 (cell M8)</t>
  </si>
  <si>
    <t>F3-4 Extremes C8</t>
  </si>
  <si>
    <t>C6:C25,"&gt;="&amp;K9 and C6:C25,"&lt;="&amp;K11.</t>
  </si>
  <si>
    <t>C8</t>
  </si>
  <si>
    <t>In M9 add the Revenue of orders dated from K9 to K11 (both included). Use SUMIFS with two date pairs.</t>
  </si>
  <si>
    <t>▶ ARENA C8 (cell M9)</t>
  </si>
  <si>
    <t>STAGE F3-4 ▸ EXTREMES</t>
  </si>
  <si>
    <t>Goal: find highs, lows and date windows</t>
  </si>
  <si>
    <t>BOSS ARENA ▸ CONDITIONAL MATH</t>
  </si>
  <si>
    <t>CONDOR</t>
  </si>
  <si>
    <t>◀ Back to Boss</t>
  </si>
  <si>
    <t>North orders</t>
  </si>
  <si>
    <t>Gadget revenue</t>
  </si>
  <si>
    <t>Lee's average units</t>
  </si>
  <si>
    <t>South orders over 20 units</t>
  </si>
  <si>
    <t>Revenue: Raj + Gizmo</t>
  </si>
  <si>
    <t>Smallest East units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</si>
  <si>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</si>
  <si>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</si>
  <si>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</si>
  <si>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</si>
  <si>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</si>
  <si>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</si>
  <si>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</si>
  <si>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</si>
  <si>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</si>
  <si>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</si>
  <si>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F2</t>
  </si>
  <si>
    <t>Boss F3</t>
  </si>
  <si>
    <t>F3</t>
  </si>
  <si>
    <t>Boss F4</t>
  </si>
  <si>
    <t>Boss F5</t>
  </si>
  <si>
    <t>F5</t>
  </si>
  <si>
    <t>Boss F6</t>
  </si>
  <si>
    <t>F6</t>
  </si>
  <si>
    <t>Boss F7</t>
  </si>
  <si>
    <t>F7</t>
  </si>
  <si>
    <t>Boss F8</t>
  </si>
  <si>
    <t>The date keys plus Shift.</t>
  </si>
  <si>
    <t>CTRL+:</t>
  </si>
  <si>
    <t>CTRL+SHIFT+:</t>
  </si>
  <si>
    <t>CTRL+SHIFT+;</t>
  </si>
  <si>
    <t>CTRL+SHIFT+COLON</t>
  </si>
  <si>
    <t>SHIFT+CTRL+:</t>
  </si>
  <si>
    <t>SHIFT+CTRL+;</t>
  </si>
  <si>
    <t>SHIFT+CTRL+COLON</t>
  </si>
  <si>
    <t>F8</t>
  </si>
  <si>
    <t>BOSS MISSIONS</t>
  </si>
  <si>
    <t>▶ Open Boss Arena (or press Ctrl+PgDn)</t>
  </si>
  <si>
    <t>Boss B1</t>
  </si>
  <si>
    <t>COUNTIF.</t>
  </si>
  <si>
    <t>B1</t>
  </si>
  <si>
    <t>▶ ARENA B1 (cell M6)</t>
  </si>
  <si>
    <t>Boss B2</t>
  </si>
  <si>
    <t>SUMIF.</t>
  </si>
  <si>
    <t>B2</t>
  </si>
  <si>
    <t>▶ ARENA B2 (cell M7)</t>
  </si>
  <si>
    <t>Boss B3</t>
  </si>
  <si>
    <t>B3</t>
  </si>
  <si>
    <t>▶ ARENA B3 (cell M8)</t>
  </si>
  <si>
    <t>Boss B4</t>
  </si>
  <si>
    <t>COUNTIFS.</t>
  </si>
  <si>
    <t>B4</t>
  </si>
  <si>
    <t>▶ ARENA B4 (cell M9)</t>
  </si>
  <si>
    <t>Boss B5</t>
  </si>
  <si>
    <t>SUMIFS, sum range first.</t>
  </si>
  <si>
    <t>B5</t>
  </si>
  <si>
    <t>▶ ARENA B5 (cell M10)</t>
  </si>
  <si>
    <t>Boss B6</t>
  </si>
  <si>
    <t>B6</t>
  </si>
  <si>
    <t>▶ ARENA B6 (cell M11)</t>
  </si>
  <si>
    <t>Boss B7</t>
  </si>
  <si>
    <t>B7</t>
  </si>
  <si>
    <t>▶ ARENA B7 (cell M12)</t>
  </si>
  <si>
    <t>Boss B8</t>
  </si>
  <si>
    <t>Two date pairs.</t>
  </si>
  <si>
    <t>B8</t>
  </si>
  <si>
    <t>▶ ARENA B8 (cell M13)</t>
  </si>
  <si>
    <t>BOSS ▸ CONDITIONAL MATH</t>
  </si>
  <si>
    <t>Every move from this world in one gauntlet. Clear it under par for rank S.</t>
  </si>
  <si>
    <t>FORMULAS 3 ▸ CONDITIONAL MATH</t>
  </si>
  <si>
    <t>Count, add and average only the rows that match.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</si>
  <si>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</si>
  <si>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</si>
  <si>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</si>
  <si>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</si>
  <si>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</si>
  <si>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</si>
  <si>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</si>
  <si>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</si>
  <si>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</si>
  <si>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Score</t>
  </si>
  <si>
    <t>Stars</t>
  </si>
  <si>
    <t>Status</t>
  </si>
  <si>
    <t>Go</t>
  </si>
  <si>
    <t>F3-1</t>
  </si>
  <si>
    <t>Counters</t>
  </si>
  <si>
    <t>Go to F3-1 Counters</t>
  </si>
  <si>
    <t>F3-2</t>
  </si>
  <si>
    <t>Money Bags</t>
  </si>
  <si>
    <t>Go to F3-2 Money Bags</t>
  </si>
  <si>
    <t>F3-3</t>
  </si>
  <si>
    <t>Multi-Filter</t>
  </si>
  <si>
    <t>Go to F3-3 Multi-Filter</t>
  </si>
  <si>
    <t>F3-4</t>
  </si>
  <si>
    <t>Extremes</t>
  </si>
  <si>
    <t>Go to F3-4 Extremes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</si>
  <si>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</si>
  <si>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</si>
  <si>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</si>
  <si>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</si>
  <si>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</si>
  <si>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</si>
  <si>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</si>
  <si>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</si>
  <si>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</si>
  <si>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CONDITIONAL MATH</t>
  </si>
  <si>
    <t>Every move from this world on one page. Keep it open while you play, or print it (Ctrl+P).</t>
  </si>
  <si>
    <t>What it does</t>
  </si>
  <si>
    <t>Pro tip</t>
  </si>
  <si>
    <t>Count the cells that meet one condition.</t>
  </si>
  <si>
    <t>=COUNTIF(D6:D25,"East") counts the East rows.</t>
  </si>
  <si>
    <t>Put comparison criteria in quotes: "&gt;50", "&lt;&gt;East".</t>
  </si>
  <si>
    <t>The operator goes inside the quotes with the value.</t>
  </si>
  <si>
    <t>* matches any text, ? one character: "G*" = starts with G.</t>
  </si>
  <si>
    <t>Wildcards work in COUNTIF, SUMIF and their IFS cousins.</t>
  </si>
  <si>
    <t>Add the values whose row meets one condition.</t>
  </si>
  <si>
    <t>=SUMIF(D6:D25,"West",H6:H25): test range, criteria, then sum range.</t>
  </si>
  <si>
    <t>Average the values whose row meets one condition.</t>
  </si>
  <si>
    <t>Same argument order as SUMIF.</t>
  </si>
  <si>
    <t>Count rows that meet several conditions at once.</t>
  </si>
  <si>
    <t>Pairs of range + criteria; every pair must match.</t>
  </si>
  <si>
    <t>Add values whose rows meet several conditions.</t>
  </si>
  <si>
    <t>The sum range comes FIRST in SUMIFS (last in SUMIF).</t>
  </si>
  <si>
    <t>Average values whose rows meet several conditions.</t>
  </si>
  <si>
    <t>Average range first, then range/criteria pairs.</t>
  </si>
  <si>
    <t>The largest value whose row meets your conditions.</t>
  </si>
  <si>
    <t>Max range first, then range/criteria pairs.</t>
  </si>
  <si>
    <t>The smallest value whose row meets your conditions.</t>
  </si>
  <si>
    <t>Same layout as MAXIFS.</t>
  </si>
  <si>
    <t>Join an operator to a cell with &amp;: "&gt;="&amp;K6.</t>
  </si>
  <si>
    <t>Change K6 and the result follows.</t>
  </si>
  <si>
    <t>Dates between two days: one criteria pair for &gt;= start, one for &lt;= end.</t>
  </si>
  <si>
    <t>SUMIFS(H6:H25,C6:C25,"&gt;="&amp;K9,C6:C25,"&lt;="&amp;K11)</t>
  </si>
</sst>
</file>

<file path=xl/styles.xml><?xml version="1.0" encoding="utf-8"?>
<styleSheet xmlns="http://schemas.openxmlformats.org/spreadsheetml/2006/main">
  <numFmts count="4">
    <numFmt numFmtId="164" formatCode="@"/>
    <numFmt numFmtId="165" formatCode="d-mmm-yy"/>
    <numFmt numFmtId="166" formatCode="h:mm AM/PM"/>
    <numFmt numFmtId="167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165" fontId="5" fillId="0" borderId="0" xfId="0" applyNumberFormat="1" applyFont="1" applyAlignment="1">
      <alignment vertical="top"/>
    </xf>
    <xf numFmtId="0" fontId="16" fillId="5" borderId="1" xfId="0" applyFont="1" applyFill="1" applyBorder="1" applyAlignment="1" applyProtection="1">
      <alignment vertical="top"/>
      <protection locked="0"/>
    </xf>
    <xf numFmtId="166" fontId="16" fillId="5" borderId="1" xfId="0" applyNumberFormat="1" applyFont="1" applyFill="1" applyBorder="1" applyAlignment="1" applyProtection="1">
      <alignment vertical="top"/>
      <protection locked="0"/>
    </xf>
    <xf numFmtId="167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4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574</v>
      </c>
      <c r="B1" s="2"/>
      <c r="C1" s="2"/>
      <c r="D1" s="2"/>
      <c r="E1" s="2"/>
      <c r="F1" s="2"/>
    </row>
    <row r="2" spans="1:6">
      <c r="A2" s="3" t="s">
        <v>575</v>
      </c>
    </row>
    <row r="4" spans="1:6">
      <c r="A4" s="4" t="s">
        <v>576</v>
      </c>
      <c r="B4" s="4"/>
      <c r="C4" s="4"/>
      <c r="D4" s="4"/>
      <c r="E4" s="4"/>
      <c r="F4" s="4"/>
    </row>
    <row r="5" spans="1:6">
      <c r="A5" s="5" t="s">
        <v>577</v>
      </c>
    </row>
    <row r="6" spans="1:6">
      <c r="A6" s="5" t="s">
        <v>578</v>
      </c>
    </row>
    <row r="7" spans="1:6">
      <c r="A7" s="5" t="s">
        <v>579</v>
      </c>
    </row>
    <row r="8" spans="1:6">
      <c r="A8" s="5" t="s">
        <v>580</v>
      </c>
    </row>
    <row r="9" spans="1:6">
      <c r="A9" s="5" t="s">
        <v>581</v>
      </c>
    </row>
    <row r="11" spans="1:6">
      <c r="A11" s="4" t="s">
        <v>582</v>
      </c>
      <c r="B11" s="4"/>
      <c r="C11" s="4"/>
      <c r="D11" s="4"/>
      <c r="E11" s="4"/>
      <c r="F11" s="4"/>
    </row>
    <row r="12" spans="1:6">
      <c r="A12" s="6" t="s">
        <v>583</v>
      </c>
      <c r="B12" s="6" t="s">
        <v>584</v>
      </c>
      <c r="C12" s="6" t="s">
        <v>585</v>
      </c>
      <c r="D12" s="6" t="s">
        <v>586</v>
      </c>
      <c r="E12" s="6" t="s">
        <v>587</v>
      </c>
      <c r="F12" s="6" t="s">
        <v>588</v>
      </c>
    </row>
    <row r="13" spans="1:6">
      <c r="A13" s="7" t="s">
        <v>589</v>
      </c>
      <c r="B13" s="8" t="s">
        <v>590</v>
      </c>
      <c r="C13" s="9" cm="1" t="str">
        <f t="array" ref="C13">SUM('F3-1 Counters'!$G$13:$G$39)&amp;" / 200"</f>
        <v>0 / 200</v>
      </c>
      <c r="D13" s="10" cm="1" t="str">
        <f t="array" ref="D13">IF(SUM('F3-1 Counters'!$G$13:$G$39)&gt;=200,"★★★",IF(SUM('F3-1 Counters'!$G$13:$G$39)&gt;=200*0.8,"★★☆",IF(SUM('F3-1 Counters'!$G$13:$G$39)&gt;=200*0.5,"★☆☆","☆☆☆")))</f>
        <v>☆☆☆</v>
      </c>
      <c r="E13" s="9" cm="1" t="str">
        <f t="array" ref="E13">IF(SUM('F3-1 Counters'!$G$13:$G$39)&gt;=200,"PERFECT",IF(SUM('F3-1 Counters'!$G$13:$G$39)&gt;=200*0.5,"CLEARED",IF(SUM('F3-1 Counters'!$G$13:$G$39)&gt;0,"IN PROGRESS","NEW")))</f>
        <v>NEW</v>
      </c>
      <c r="F13" s="11" t="s">
        <v>591</v>
      </c>
    </row>
    <row r="14" spans="1:6">
      <c r="A14" s="7" t="s">
        <v>592</v>
      </c>
      <c r="B14" s="8" t="s">
        <v>593</v>
      </c>
      <c r="C14" s="9" cm="1" t="str">
        <f t="array" ref="C14">SUM('F3-2 Money Bags'!$G$12:$G$35)&amp;" / 170"</f>
        <v>0 / 170</v>
      </c>
      <c r="D14" s="10" cm="1" t="str">
        <f t="array" ref="D14">IF(SUM('F3-2 Money Bags'!$G$12:$G$35)&gt;=170,"★★★",IF(SUM('F3-2 Money Bags'!$G$12:$G$35)&gt;=170*0.8,"★★☆",IF(SUM('F3-2 Money Bags'!$G$12:$G$35)&gt;=170*0.5,"★☆☆","☆☆☆")))</f>
        <v>☆☆☆</v>
      </c>
      <c r="E14" s="9" cm="1" t="str">
        <f t="array" ref="E14">IF(SUM('F3-2 Money Bags'!$G$12:$G$35)&gt;=170,"PERFECT",IF(SUM('F3-2 Money Bags'!$G$12:$G$35)&gt;=170*0.5,"CLEARED",IF(SUM('F3-2 Money Bags'!$G$12:$G$35)&gt;0,"IN PROGRESS","NEW")))</f>
        <v>NEW</v>
      </c>
      <c r="F14" s="11" t="s">
        <v>594</v>
      </c>
    </row>
    <row r="15" spans="1:6">
      <c r="A15" s="7" t="s">
        <v>595</v>
      </c>
      <c r="B15" s="8" t="s">
        <v>596</v>
      </c>
      <c r="C15" s="9" cm="1" t="str">
        <f t="array" ref="C15">SUM('F3-3 Multi-Filter'!$G$13:$G$38)&amp;" / 190"</f>
        <v>0 / 190</v>
      </c>
      <c r="D15" s="10" cm="1" t="str">
        <f t="array" ref="D15">IF(SUM('F3-3 Multi-Filter'!$G$13:$G$38)&gt;=190,"★★★",IF(SUM('F3-3 Multi-Filter'!$G$13:$G$38)&gt;=190*0.8,"★★☆",IF(SUM('F3-3 Multi-Filter'!$G$13:$G$38)&gt;=190*0.5,"★☆☆","☆☆☆")))</f>
        <v>☆☆☆</v>
      </c>
      <c r="E15" s="9" cm="1" t="str">
        <f t="array" ref="E15">IF(SUM('F3-3 Multi-Filter'!$G$13:$G$38)&gt;=190,"PERFECT",IF(SUM('F3-3 Multi-Filter'!$G$13:$G$38)&gt;=190*0.5,"CLEARED",IF(SUM('F3-3 Multi-Filter'!$G$13:$G$38)&gt;0,"IN PROGRESS","NEW")))</f>
        <v>NEW</v>
      </c>
      <c r="F15" s="11" t="s">
        <v>597</v>
      </c>
    </row>
    <row r="16" spans="1:6">
      <c r="A16" s="7" t="s">
        <v>598</v>
      </c>
      <c r="B16" s="8" t="s">
        <v>599</v>
      </c>
      <c r="C16" s="9" cm="1" t="str">
        <f t="array" ref="C16">SUM('F3-4 Extremes'!$G$14:$G$42)&amp;" / 220"</f>
        <v>0 / 220</v>
      </c>
      <c r="D16" s="10" cm="1" t="str">
        <f t="array" ref="D16">IF(SUM('F3-4 Extremes'!$G$14:$G$42)&gt;=220,"★★★",IF(SUM('F3-4 Extremes'!$G$14:$G$42)&gt;=220*0.8,"★★☆",IF(SUM('F3-4 Extremes'!$G$14:$G$42)&gt;=220*0.5,"★☆☆","☆☆☆")))</f>
        <v>☆☆☆</v>
      </c>
      <c r="E16" s="9" cm="1" t="str">
        <f t="array" ref="E16">IF(SUM('F3-4 Extremes'!$G$14:$G$42)&gt;=220,"PERFECT",IF(SUM('F3-4 Extremes'!$G$14:$G$42)&gt;=220*0.5,"CLEARED",IF(SUM('F3-4 Extremes'!$G$14:$G$42)&gt;0,"IN PROGRESS","NEW")))</f>
        <v>NEW</v>
      </c>
      <c r="F16" s="11" t="s">
        <v>600</v>
      </c>
    </row>
    <row r="17" spans="1:6">
      <c r="A17" s="7" t="s">
        <v>601</v>
      </c>
      <c r="B17" s="8" t="s">
        <v>602</v>
      </c>
      <c r="C17" s="9" cm="1" t="str">
        <f t="array" ref="C17">SUM(Boss!$G$14:$G$33)&amp;" / 160"</f>
        <v>0 / 160</v>
      </c>
      <c r="D17" s="10" cm="1" t="str">
        <f t="array" ref="D17">IF(SUM(Boss!$G$14:$G$33)&gt;=160,"★★★",IF(SUM(Boss!$G$14:$G$33)&gt;=160*0.8,"★★☆",IF(SUM(Boss!$G$14:$G$33)&gt;=160*0.5,"★☆☆","☆☆☆")))</f>
        <v>☆☆☆</v>
      </c>
      <c r="E17" s="9" cm="1" t="str">
        <f t="array" ref="E17">IF(Boss!$C$10="OPEN",IF(SUM(Boss!$G$14:$G$33)&gt;=160*0.5,"DEFEATED","OPEN"),"LOCKED")</f>
        <v>LOCKED</v>
      </c>
      <c r="F17" s="11" t="s">
        <v>603</v>
      </c>
    </row>
    <row r="19" spans="1:6">
      <c r="A19" s="7" t="s">
        <v>604</v>
      </c>
      <c r="B19" s="12" cm="1" t="str">
        <f t="array" ref="B19">(SUM('F3-1 Counters'!$G$13:$G$39)+SUM('F3-2 Money Bags'!$G$12:$G$35)+SUM('F3-3 Multi-Filter'!$G$13:$G$38)+SUM('F3-4 Extremes'!$G$14:$G$42)+SUM(Boss!$G$14:$G$33))&amp;" / 940"</f>
        <v>0 / 940</v>
      </c>
    </row>
    <row r="20" spans="1:6">
      <c r="A20" s="7" t="s">
        <v>605</v>
      </c>
      <c r="B20" s="12" cm="1" t="str">
        <f t="array" ref="B20">_xlfn.LET(_xlpm.p,(SUM('F3-1 Counters'!$G$13:$G$39)+SUM('F3-2 Money Bags'!$G$12:$G$35)+SUM('F3-3 Multi-Filter'!$G$13:$G$38)+SUM('F3-4 Extremes'!$G$14:$G$42)+SUM(Boss!$G$14:$G$33))/940,IF(AND(_xlpm.p&gt;=1,ISNUMBER(Boss!$C$8),Boss!$C$8&lt;=15),"S",IF(_xlpm.p&gt;=0.9,"A",IF(_xlpm.p&gt;=0.75,"B",IF(_xlpm.p&gt;=0.5,"C","D")))))</f>
        <v>D</v>
      </c>
      <c r="C20" s="13" t="s">
        <v>606</v>
      </c>
    </row>
    <row r="21" spans="1:6">
      <c r="A21" s="7" t="s">
        <v>607</v>
      </c>
      <c r="B21" s="12" cm="1" t="str">
        <f t="array" ref="B21">IF(ISNUMBER(Boss!$C$8),Boss!$C$8&amp;" min (par 15)","—")</f>
        <v>—</v>
      </c>
    </row>
    <row r="22" spans="1:6">
      <c r="A22" s="7" t="s">
        <v>608</v>
      </c>
      <c r="B22" s="12" cm="1" t="str">
        <f t="array" ref="B22">IFERROR(INDEX($A$13:$A$16,MATCH("☆☆☆",$D$13:$D$16,0))&amp;" "&amp;INDEX($B$13:$B$16,MATCH("☆☆☆",$D$13:$D$16,0)),IF(Boss!$C$10="OPEN","the Boss","All clear! Aim for rank S"))</f>
        <v>F3-1 Counters</v>
      </c>
    </row>
    <row r="24" spans="1:6">
      <c r="A24" s="13" t="s">
        <v>609</v>
      </c>
    </row>
  </sheetData>
  <sheetProtection sheet="1" objects="1" scenarios="1" formatColumns="0" formatRows="0"/>
  <hyperlinks>
    <hyperlink ref="F13" location="'F3-1 Counters'!A1" display="Go to F3-1 Counters"/>
    <hyperlink ref="F14" location="'F3-2 Money Bags'!A1" display="Go to F3-2 Money Bags"/>
    <hyperlink ref="F15" location="'F3-3 Multi-Filter'!A1" display="Go to F3-3 Multi-Filter"/>
    <hyperlink ref="F16" location="'F3-4 Extremes'!A1" display="Go to F3-4 Extremes"/>
    <hyperlink ref="F17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197</v>
      </c>
      <c r="B1" s="2"/>
      <c r="C1" s="2"/>
      <c r="D1" s="2"/>
      <c r="E1" s="2"/>
      <c r="F1" s="2"/>
      <c r="G1" s="2"/>
    </row>
    <row r="2" spans="1:7">
      <c r="A2" s="3" t="s">
        <v>198</v>
      </c>
    </row>
    <row r="3" spans="1:7" ht="26" customHeight="1">
      <c r="A3" s="14" cm="1" t="str">
        <f t="array" ref="A3">"SCORE "&amp;TEXT(SUM($G$13:$G$39),"0000")&amp;" / 0200"</f>
        <v>SCORE 0000 / 0200</v>
      </c>
      <c r="C3" s="15" cm="1" t="str">
        <f t="array" ref="C3">IF(SUM($G$13:$G$39)&gt;=200,"★★★",IF(SUM($G$13:$G$39)&gt;=200*0.8,"★★☆",IF(SUM($G$13:$G$39)&gt;=200*0.5,"★☆☆","☆☆☆")))</f>
        <v>☆☆☆</v>
      </c>
      <c r="D3" s="16" cm="1" t="str">
        <f t="array" ref="D3">REPT("█",ROUND(10*SUM($G$13:$G$39)/200,0))&amp;REPT("░",10-ROUND(10*SUM($G$13:$G$39)/200,0))&amp;"  "&amp;TEXT(SUM($G$13:$G$39)/200,"0%")</f>
        <v>░░░░░░░░░░  0%</v>
      </c>
      <c r="F3" s="17" cm="1" t="str">
        <f t="array" ref="F3">IF(SUM($G$13:$G$39)&gt;=200*0.5,"STAGE CLEAR! ▶ Next: F3-2 Money Bags","")</f>
        <v/>
      </c>
    </row>
    <row r="5" spans="1:7" ht="22" customHeight="1">
      <c r="A5" s="4" t="s">
        <v>54</v>
      </c>
      <c r="B5" s="4"/>
      <c r="C5" s="4"/>
      <c r="D5" s="4"/>
      <c r="E5" s="4"/>
      <c r="F5" s="4"/>
      <c r="G5" s="4"/>
    </row>
    <row r="6" spans="1:7">
      <c r="A6" s="6" t="s">
        <v>55</v>
      </c>
      <c r="B6" s="6" t="s">
        <v>56</v>
      </c>
      <c r="C6" s="6" t="s">
        <v>57</v>
      </c>
      <c r="D6" s="6"/>
      <c r="E6" s="6"/>
      <c r="F6" s="6"/>
      <c r="G6" s="6"/>
    </row>
    <row r="7" spans="1:7" ht="51.25" customHeight="1">
      <c r="A7" s="18" t="s">
        <v>58</v>
      </c>
      <c r="B7" s="8" t="s">
        <v>59</v>
      </c>
      <c r="C7" s="19" t="s">
        <v>60</v>
      </c>
    </row>
    <row r="8" spans="1:7" ht="67" customHeight="1">
      <c r="A8" s="18" t="s">
        <v>61</v>
      </c>
      <c r="B8" s="8" t="s">
        <v>62</v>
      </c>
      <c r="C8" s="19" t="s">
        <v>63</v>
      </c>
    </row>
    <row r="9" spans="1:7" ht="67" customHeight="1">
      <c r="A9" s="18" t="s">
        <v>64</v>
      </c>
      <c r="B9" s="8" t="s">
        <v>65</v>
      </c>
      <c r="C9" s="19" t="s">
        <v>66</v>
      </c>
    </row>
    <row r="11" spans="1:7" ht="22" customHeight="1">
      <c r="A11" s="4" t="s">
        <v>67</v>
      </c>
      <c r="B11" s="4"/>
      <c r="C11" s="4"/>
      <c r="D11" s="4"/>
      <c r="E11" s="4"/>
      <c r="F11" s="4"/>
      <c r="G11" s="4"/>
    </row>
    <row r="12" spans="1:7">
      <c r="A12" s="6" t="s">
        <v>55</v>
      </c>
      <c r="B12" s="6" t="s">
        <v>68</v>
      </c>
      <c r="C12" s="6" t="s">
        <v>69</v>
      </c>
      <c r="D12" s="6" t="s">
        <v>70</v>
      </c>
      <c r="E12" s="6" t="s">
        <v>71</v>
      </c>
      <c r="F12" s="6" t="s">
        <v>1</v>
      </c>
      <c r="G12" s="6" t="s">
        <v>72</v>
      </c>
    </row>
    <row r="13" spans="1:7" ht="35.5" customHeight="1">
      <c r="A13" s="18" t="s">
        <v>79</v>
      </c>
      <c r="B13" s="8" t="s">
        <v>80</v>
      </c>
      <c r="C13" s="20"/>
      <c r="D13" s="21" cm="1" t="str">
        <f t="array" ref="D13">IFERROR(_xlfn.LET(_xlpm.a,'F3-1 Counters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H$2),"✔ CLEAR","✘ TRY AGAIN"))),"✘ TRY AGAIN")</f>
        <v/>
      </c>
      <c r="E13" s="22"/>
      <c r="F13" s="23" cm="1" t="str">
        <f t="array" ref="F13">IF(E13="Show hint",Key!$B$2,"")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87</v>
      </c>
      <c r="B14" s="8" t="s">
        <v>88</v>
      </c>
      <c r="C14" s="20"/>
      <c r="D14" s="21" cm="1" t="str">
        <f t="array" ref="D14">IFERROR(_xlfn.LET(_xlpm.a,'F3-1 Counters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H$3),"✔ CLEAR","✘ TRY AGAIN"))),"✘ TRY AGAIN")</f>
        <v/>
      </c>
      <c r="E14" s="22"/>
      <c r="F14" s="23" cm="1" t="str">
        <f t="array" ref="F14">IF(E14="Show hint",Key!$B$3,"")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95</v>
      </c>
      <c r="B15" s="8" t="s">
        <v>96</v>
      </c>
      <c r="C15" s="20"/>
      <c r="D15" s="21" cm="1" t="str">
        <f t="array" ref="D15">IFERROR(_xlfn.LET(_xlpm.a,'F3-1 Counters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H$4),"✔ CLEAR","✘ TRY AGAIN"))),"✘ TRY AGAIN")</f>
        <v/>
      </c>
      <c r="E15" s="22"/>
      <c r="F15" s="23" cm="1" t="str">
        <f t="array" ref="F15">IF(E15="Show hint",Key!$B$4,"")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103</v>
      </c>
      <c r="B16" s="8" t="s">
        <v>104</v>
      </c>
      <c r="C16" s="20"/>
      <c r="D16" s="21" cm="1" t="str">
        <f t="array" ref="D16">IFERROR(_xlfn.LET(_xlpm.a,'F3-1 Counters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H$5),"✔ CLEAR","✘ TRY AGAIN"))),"✘ TRY AGAIN")</f>
        <v/>
      </c>
      <c r="E16" s="22"/>
      <c r="F16" s="23" cm="1" t="str">
        <f t="array" ref="F16">IF(E16="Show hint",Key!$B$5,"")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111</v>
      </c>
      <c r="B17" s="8" t="s">
        <v>112</v>
      </c>
      <c r="C17" s="20"/>
      <c r="D17" s="21" cm="1" t="str">
        <f t="array" ref="D17">IFERROR(_xlfn.LET(_xlpm.a,'F3-1 Counters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H$6),"✔ CLEAR","✘ TRY AGAIN"))),"✘ TRY AGAIN")</f>
        <v/>
      </c>
      <c r="E17" s="22"/>
      <c r="F17" s="23" cm="1" t="str">
        <f t="array" ref="F17">IF(E17="Show hint",Key!$B$6,"")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119</v>
      </c>
      <c r="B18" s="8" t="s">
        <v>120</v>
      </c>
      <c r="C18" s="20"/>
      <c r="D18" s="21" cm="1" t="str">
        <f t="array" ref="D18">IFERROR(_xlfn.LET(_xlpm.a,'F3-1 Counters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H$7),"✔ CLEAR","✘ TRY AGAIN"))),"✘ TRY AGAIN")</f>
        <v/>
      </c>
      <c r="E18" s="22"/>
      <c r="F18" s="23" cm="1" t="str">
        <f t="array" ref="F18">IF(E18="Show hint",Key!$B$7,"")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125</v>
      </c>
      <c r="B19" s="8" t="s">
        <v>126</v>
      </c>
      <c r="C19" s="20"/>
      <c r="D19" s="21" cm="1" t="str">
        <f t="array" ref="D19">IFERROR(_xlfn.LET(_xlpm.a,'F3-1 Counters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F$8),"✔ CLEAR","✘ TRY AGAIN"))),"✘ TRY AGAIN")</f>
        <v/>
      </c>
      <c r="E19" s="22"/>
      <c r="F19" s="23" cm="1" t="str">
        <f t="array" ref="F19">IF(E19="Show hint",Key!$B$8,"")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130</v>
      </c>
      <c r="B20" s="8" t="s">
        <v>131</v>
      </c>
      <c r="C20" s="20"/>
      <c r="D20" s="21" cm="1" t="str">
        <f t="array" ref="D20">IFERROR(_xlfn.LET(_xlpm.a,'F3-1 Counters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E$9),"✔ CLEAR","✘ TRY AGAIN"))),"✘ TRY AGAIN")</f>
        <v/>
      </c>
      <c r="E20" s="22"/>
      <c r="F20" s="23" cm="1" t="str">
        <f t="array" ref="F20">IF(E20="Show hint",Key!$B$9,"")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135</v>
      </c>
      <c r="B21" s="8" t="s">
        <v>136</v>
      </c>
      <c r="C21" s="20"/>
      <c r="D21" s="21" cm="1" t="str">
        <f t="array" ref="D21">IFERROR(_xlfn.LET(_xlpm.a,'F3-1 Counters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E$10),"✔ CLEAR","✘ TRY AGAIN"))),"✘ TRY AGAIN")</f>
        <v/>
      </c>
      <c r="E21" s="22"/>
      <c r="F21" s="23" cm="1" t="str">
        <f t="array" ref="F21">IF(E21="Show hint",Key!$B$10,"")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140</v>
      </c>
      <c r="B22" s="8" t="s">
        <v>141</v>
      </c>
      <c r="C22" s="20"/>
      <c r="D22" s="21" cm="1" t="str">
        <f t="array" ref="D22">IFERROR(_xlfn.LET(_xlpm.a,'F3-1 Counters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E$11),"✔ CLEAR","✘ TRY AGAIN"))),"✘ TRY AGAIN")</f>
        <v/>
      </c>
      <c r="E22" s="22"/>
      <c r="F22" s="23" cm="1" t="str">
        <f t="array" ref="F22">IF(E22="Show hint",Key!$B$11,"")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142</v>
      </c>
      <c r="B24" s="4"/>
      <c r="C24" s="4"/>
      <c r="D24" s="4"/>
      <c r="E24" s="4"/>
      <c r="F24" s="4"/>
      <c r="G24" s="4"/>
    </row>
    <row r="25" spans="1:7">
      <c r="A25" s="6" t="s">
        <v>55</v>
      </c>
      <c r="B25" s="6" t="s">
        <v>68</v>
      </c>
      <c r="C25" s="6" t="s">
        <v>69</v>
      </c>
      <c r="D25" s="6" t="s">
        <v>70</v>
      </c>
      <c r="E25" s="6" t="s">
        <v>71</v>
      </c>
      <c r="F25" s="6" t="s">
        <v>1</v>
      </c>
      <c r="G25" s="6" t="s">
        <v>72</v>
      </c>
    </row>
    <row r="26" spans="1:7" ht="35.5" customHeight="1">
      <c r="A26" s="18" t="s">
        <v>148</v>
      </c>
      <c r="B26" s="8" t="s">
        <v>149</v>
      </c>
      <c r="C26" s="20"/>
      <c r="D26" s="21" cm="1" t="str">
        <f t="array" ref="D26">IFERROR(IF('F3-1 Counters'!$C$26&amp;""="","",IF('F3-1 Counters'!$C$26&amp;""=Key!$C$12&amp;"","✔ CLEAR","✘ TRY AGAIN")),"✘ TRY AGAIN")</f>
        <v/>
      </c>
      <c r="E26" s="22"/>
      <c r="F26" s="23" cm="1" t="str">
        <f t="array" ref="F26">IF(E26="Show hint",Key!$B$12,"")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154</v>
      </c>
      <c r="B27" s="8" t="s">
        <v>155</v>
      </c>
      <c r="C27" s="20"/>
      <c r="D27" s="21" cm="1" t="str">
        <f t="array" ref="D27">IFERROR(IF('F3-1 Counters'!$C$27&amp;""="","",IF('F3-1 Counters'!$C$27&amp;""=Key!$C$13&amp;"","✔ CLEAR","✘ TRY AGAIN")),"✘ TRY AGAIN")</f>
        <v/>
      </c>
      <c r="E27" s="22"/>
      <c r="F27" s="23" cm="1" t="str">
        <f t="array" ref="F27">IF(E27="Show hint",Key!$B$13,"")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158</v>
      </c>
      <c r="B28" s="8" t="s">
        <v>159</v>
      </c>
      <c r="C28" s="20"/>
      <c r="D28" s="21" cm="1" t="str">
        <f t="array" ref="D28">IFERROR(IF('F3-1 Counters'!$C$28&amp;""="","",IF('F3-1 Counters'!$C$28&amp;""=Key!$C$14&amp;"","✔ CLEAR","✘ TRY AGAIN")),"✘ TRY AGAIN")</f>
        <v/>
      </c>
      <c r="E28" s="22"/>
      <c r="F28" s="23" cm="1" t="str">
        <f t="array" ref="F28">IF(E28="Show hint",Key!$B$14,"")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160</v>
      </c>
      <c r="B30" s="4"/>
      <c r="C30" s="4"/>
      <c r="D30" s="4"/>
      <c r="E30" s="4"/>
      <c r="F30" s="4"/>
      <c r="G30" s="4"/>
    </row>
    <row r="31" spans="1:7">
      <c r="B31" s="11" t="s">
        <v>161</v>
      </c>
    </row>
    <row r="32" spans="1:7">
      <c r="A32" s="6" t="s">
        <v>55</v>
      </c>
      <c r="B32" s="6" t="s">
        <v>68</v>
      </c>
      <c r="C32" s="6" t="s">
        <v>69</v>
      </c>
      <c r="D32" s="6" t="s">
        <v>70</v>
      </c>
      <c r="E32" s="6" t="s">
        <v>71</v>
      </c>
      <c r="F32" s="6" t="s">
        <v>1</v>
      </c>
      <c r="G32" s="6" t="s">
        <v>72</v>
      </c>
    </row>
    <row r="33" spans="1:7" ht="35.5" customHeight="1">
      <c r="A33" s="18" t="s">
        <v>168</v>
      </c>
      <c r="B33" s="8" t="s">
        <v>149</v>
      </c>
      <c r="C33" s="20"/>
      <c r="D33" s="21" cm="1" t="str">
        <f t="array" ref="D33">IFERROR(_xlfn.LET(_xlpm.a,'F3-1 Counters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:$J$15),"✔ CLEAR","✘ TRY AGAIN"))),"✘ TRY AGAIN")</f>
        <v/>
      </c>
      <c r="E33" s="22"/>
      <c r="F33" s="23" cm="1" t="str">
        <f t="array" ref="F33">IF(E33="Show hint",Key!$B$15,"")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170</v>
      </c>
      <c r="B34" s="8" t="s">
        <v>171</v>
      </c>
      <c r="C34" s="20"/>
      <c r="D34" s="21" cm="1" t="str">
        <f t="array" ref="D34">IFERROR(_xlfn.LET(_xlpm.a,'F3-1 Counters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:$E$16),"✔ CLEAR","✘ TRY AGAIN"))),"✘ TRY AGAIN")</f>
        <v/>
      </c>
      <c r="E34" s="22"/>
      <c r="F34" s="23" cm="1" t="str">
        <f t="array" ref="F34">IF(E34="Show hint",Key!$B$16,"")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175</v>
      </c>
      <c r="B35" s="8" t="s">
        <v>176</v>
      </c>
      <c r="C35" s="20"/>
      <c r="D35" s="21" cm="1" t="str">
        <f t="array" ref="D35">IFERROR(_xlfn.LET(_xlpm.a,'F3-1 Counters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:$F$17),"✔ CLEAR","✘ TRY AGAIN"))),"✘ TRY AGAIN")</f>
        <v/>
      </c>
      <c r="E35" s="22"/>
      <c r="F35" s="23" cm="1" t="str">
        <f t="array" ref="F35">IF(E35="Show hint",Key!$B$17,"")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179</v>
      </c>
      <c r="B36" s="8" t="s">
        <v>180</v>
      </c>
      <c r="C36" s="11" t="s">
        <v>181</v>
      </c>
      <c r="D36" s="21" cm="1" t="str">
        <f t="array" ref="D36">IF(ISBLANK('F3-1 Arena'!$M$6),"",IF(NOT(_xlfn.ISFORMULA('F3-1 Arena'!$M$6)),"✘ That's a typed value · enter a formula",IF(ISERROR('F3-1 Arena'!$M$6),"✘ Your formula returns "&amp;IFERROR(CHOOSE(ERROR.TYPE('F3-1 Arena'!$M$6),"#NULL!","#DIV/0!","#VALUE!","#REF!","#NAME?","#NUM!","#N/A","#GETTING_DATA","#SPILL!","#CONNECT!","#BLOCKED!","#UNKNOWN!","#FIELD!","#CALC!"),"an error"),IF(NOT(AND(IFERROR(AND(ISNUMBER('F3-1 Arena'!$M$6),ABS('F3-1 Arena'!$M$6-Key!$C$18)&lt;=1E-9*MAX(1,ABS(Key!$C$18))),FALSE))),"✘ TRY AGAIN",IF(AND(OR(ISNUMBER(FIND({"=","(",",","+","-","*","/","&amp;"," ","&lt;","&gt;",":","@","^"}&amp;"COUNTIF"&amp;"(",UPPER(_xlfn.FORMULATEXT('F3-1 Arena'!$M$6)))))),"✔ CLEAR","✘ CLOSE · right value, but use COUNTIF")))))</f>
        <v/>
      </c>
      <c r="E36" s="22"/>
      <c r="F36" s="23" cm="1" t="str">
        <f t="array" ref="F36">IF(E36="Show hint",Key!$B$18,"")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184</v>
      </c>
      <c r="B37" s="8" t="s">
        <v>185</v>
      </c>
      <c r="C37" s="11" t="s">
        <v>186</v>
      </c>
      <c r="D37" s="21" cm="1" t="str">
        <f t="array" ref="D37">IF(ISBLANK('F3-1 Arena'!$M$7),"",IF(NOT(_xlfn.ISFORMULA('F3-1 Arena'!$M$7)),"✘ That's a typed value · enter a formula",IF(ISERROR('F3-1 Arena'!$M$7),"✘ Your formula returns "&amp;IFERROR(CHOOSE(ERROR.TYPE('F3-1 Arena'!$M$7),"#NULL!","#DIV/0!","#VALUE!","#REF!","#NAME?","#NUM!","#N/A","#GETTING_DATA","#SPILL!","#CONNECT!","#BLOCKED!","#UNKNOWN!","#FIELD!","#CALC!"),"an error"),IF(NOT(AND(IFERROR(AND(ISNUMBER('F3-1 Arena'!$M$7),ABS('F3-1 Arena'!$M$7-Key!$C$19)&lt;=1E-9*MAX(1,ABS(Key!$C$19))),FALSE))),"✘ TRY AGAIN",IF(AND(OR(ISNUMBER(FIND({"=","(",",","+","-","*","/","&amp;"," ","&lt;","&gt;",":","@","^"}&amp;"COUNTIF"&amp;"(",UPPER(_xlfn.FORMULATEXT('F3-1 Arena'!$M$7)))))),"✔ CLEAR","✘ CLOSE · right value, but use COUNTIF")))))</f>
        <v/>
      </c>
      <c r="E37" s="22"/>
      <c r="F37" s="23" cm="1" t="str">
        <f t="array" ref="F37">IF(E37="Show hint",Key!$B$19,"")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189</v>
      </c>
      <c r="B38" s="8" t="s">
        <v>190</v>
      </c>
      <c r="C38" s="11" t="s">
        <v>191</v>
      </c>
      <c r="D38" s="21" cm="1" t="str">
        <f t="array" ref="D38">IF(ISBLANK('F3-1 Arena'!$M$8),"",IF(NOT(_xlfn.ISFORMULA('F3-1 Arena'!$M$8)),"✘ That's a typed value · enter a formula",IF(ISERROR('F3-1 Arena'!$M$8),"✘ Your formula returns "&amp;IFERROR(CHOOSE(ERROR.TYPE('F3-1 Arena'!$M$8),"#NULL!","#DIV/0!","#VALUE!","#REF!","#NAME?","#NUM!","#N/A","#GETTING_DATA","#SPILL!","#CONNECT!","#BLOCKED!","#UNKNOWN!","#FIELD!","#CALC!"),"an error"),IF(NOT(AND(IFERROR(AND(ISNUMBER('F3-1 Arena'!$M$8),ABS('F3-1 Arena'!$M$8-Key!$C$20)&lt;=1E-9*MAX(1,ABS(Key!$C$20))),FALSE))),"✘ TRY AGAIN",IF(AND(OR(ISNUMBER(FIND({"=","(",",","+","-","*","/","&amp;"," ","&lt;","&gt;",":","@","^"}&amp;"COUNTIF"&amp;"(",UPPER(_xlfn.FORMULATEXT('F3-1 Arena'!$M$8)))))),IF(ISNUMBER(FIND("*",_xlfn.FORMULATEXT('F3-1 Arena'!$M$8))),"✔ CLEAR","✘ CLOSE · your formula needs *"),"✘ CLOSE · right value, but use COUNTIF")))))</f>
        <v/>
      </c>
      <c r="E38" s="22"/>
      <c r="F38" s="23" cm="1" t="str">
        <f t="array" ref="F38">IF(E38="Show hint",Key!$B$20,"")</f>
        <v/>
      </c>
      <c r="G38" s="24" cm="1">
        <f t="array" ref="G38">IF(LEFT(D38,1)="✔",IF(E38="Show hint",5,10),0)</f>
        <v>0</v>
      </c>
    </row>
    <row r="39" spans="1:7" ht="19.75" customHeight="1">
      <c r="A39" s="18" t="s">
        <v>194</v>
      </c>
      <c r="B39" s="8" t="s">
        <v>195</v>
      </c>
      <c r="C39" s="11" t="s">
        <v>196</v>
      </c>
      <c r="D39" s="21" cm="1" t="str">
        <f t="array" ref="D39">IF(ISBLANK('F3-1 Arena'!$M$9),"",IF(NOT(_xlfn.ISFORMULA('F3-1 Arena'!$M$9)),"✘ That's a typed value · enter a formula",IF(ISERROR('F3-1 Arena'!$M$9),"✘ Your formula returns "&amp;IFERROR(CHOOSE(ERROR.TYPE('F3-1 Arena'!$M$9),"#NULL!","#DIV/0!","#VALUE!","#REF!","#NAME?","#NUM!","#N/A","#GETTING_DATA","#SPILL!","#CONNECT!","#BLOCKED!","#UNKNOWN!","#FIELD!","#CALC!"),"an error"),IF(NOT(AND(IFERROR(AND(ISNUMBER('F3-1 Arena'!$M$9),ABS('F3-1 Arena'!$M$9-Key!$C$21)&lt;=1E-9*MAX(1,ABS(Key!$C$21))),FALSE))),"✘ TRY AGAIN",IF(AND(OR(ISNUMBER(FIND({"=","(",",","+","-","*","/","&amp;"," ","&lt;","&gt;",":","@","^"}&amp;"COUNTIF"&amp;"(",UPPER(_xlfn.FORMULATEXT('F3-1 Arena'!$M$9)))))),IF(ISNUMBER(FIND("&lt;&gt;",_xlfn.FORMULATEXT('F3-1 Arena'!$M$9))),"✔ CLEAR","✘ CLOSE · your formula needs &lt;&gt;"),"✘ CLOSE · right value, but use COUNTIF")))))</f>
        <v/>
      </c>
      <c r="E39" s="22"/>
      <c r="F39" s="23" cm="1" t="str">
        <f t="array" ref="F39">IF(E39="Show hint",Key!$B$21,"")</f>
        <v/>
      </c>
      <c r="G39" s="24" cm="1">
        <f t="array" ref="G39">IF(LEFT(D39,1)="✔",IF(E39="Show hint",5,10),0)</f>
        <v>0</v>
      </c>
    </row>
  </sheetData>
  <sheetProtection sheet="1" objects="1" scenarios="1" formatColumns="0" formatRows="0"/>
  <conditionalFormatting sqref="D13:D39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6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Key!$E$12:$H$12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Key!$E$13:$H$13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Key!$E$14:$H$14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</dataValidations>
  <hyperlinks>
    <hyperlink ref="B31" location="'F3-1 Arena'!A1" display="▶ Open F3-1 Arena (or press Ctrl+PgDn)"/>
    <hyperlink ref="C36" location="'F3-1 Arena'!M6" tooltip="Go to F3-1 Arena, cell M6" display="▶ ARENA C4 (cell M6)"/>
    <hyperlink ref="C37" location="'F3-1 Arena'!M7" tooltip="Go to F3-1 Arena, cell M7" display="▶ ARENA C5 (cell M7)"/>
    <hyperlink ref="C38" location="'F3-1 Arena'!M8" tooltip="Go to F3-1 Arena, cell M8" display="▶ ARENA C6 (cell M8)"/>
    <hyperlink ref="C39" location="'F3-1 Arena'!M9" tooltip="Go to F3-1 Arena, cell M9" display="▶ ARENA C7 (cell M9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11" width="13.7109375" customWidth="1"/>
    <col min="12" max="12" width="30.7109375" customWidth="1"/>
    <col min="13" max="26" width="13.7109375" customWidth="1"/>
  </cols>
  <sheetData>
    <row r="1" spans="1:13">
      <c r="A1" s="1" t="s">
        <v>4</v>
      </c>
    </row>
    <row r="2" spans="1:13">
      <c r="A2" s="3" t="s">
        <v>5</v>
      </c>
    </row>
    <row r="3" spans="1:13">
      <c r="A3" s="25" t="s">
        <v>6</v>
      </c>
      <c r="B3" s="26" t="s">
        <v>7</v>
      </c>
      <c r="D3" s="11" t="s">
        <v>8</v>
      </c>
    </row>
    <row r="5" spans="1:13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7" t="s">
        <v>47</v>
      </c>
    </row>
    <row r="6" spans="1:13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5">
        <v>40</v>
      </c>
      <c r="L6" s="5" t="s">
        <v>50</v>
      </c>
      <c r="M6" s="29"/>
    </row>
    <row r="7" spans="1:13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  <c r="L7" s="5" t="s">
        <v>51</v>
      </c>
      <c r="M7" s="29"/>
    </row>
    <row r="8" spans="1:13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  <c r="K8" s="7" t="s">
        <v>48</v>
      </c>
      <c r="L8" s="5" t="s">
        <v>52</v>
      </c>
      <c r="M8" s="29"/>
    </row>
    <row r="9" spans="1:13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  <c r="K9" s="28">
        <v>46054</v>
      </c>
      <c r="L9" s="5" t="s">
        <v>53</v>
      </c>
      <c r="M9" s="29"/>
    </row>
    <row r="10" spans="1:13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  <c r="K10" s="7" t="s">
        <v>49</v>
      </c>
    </row>
    <row r="11" spans="1:13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  <c r="K11" s="28">
        <v>46112</v>
      </c>
    </row>
    <row r="12" spans="1:13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</row>
    <row r="13" spans="1:13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</row>
    <row r="14" spans="1:13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</row>
    <row r="15" spans="1:13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13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8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8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8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</row>
    <row r="20" spans="2:8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</row>
    <row r="21" spans="2:8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8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8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8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8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</sheetData>
  <hyperlinks>
    <hyperlink ref="D3" location="'F3-1 Counters'!A1" display="◀ Back to F3-1 Counter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277</v>
      </c>
      <c r="B1" s="2"/>
      <c r="C1" s="2"/>
      <c r="D1" s="2"/>
      <c r="E1" s="2"/>
      <c r="F1" s="2"/>
      <c r="G1" s="2"/>
    </row>
    <row r="2" spans="1:7">
      <c r="A2" s="3" t="s">
        <v>278</v>
      </c>
    </row>
    <row r="3" spans="1:7" ht="26" customHeight="1">
      <c r="A3" s="14" cm="1" t="str">
        <f t="array" ref="A3">"SCORE "&amp;TEXT(SUM($G$12:$G$35),"0000")&amp;" / 0170"</f>
        <v>SCORE 0000 / 0170</v>
      </c>
      <c r="C3" s="15" cm="1" t="str">
        <f t="array" ref="C3">IF(SUM($G$12:$G$35)&gt;=170,"★★★",IF(SUM($G$12:$G$35)&gt;=170*0.8,"★★☆",IF(SUM($G$12:$G$35)&gt;=170*0.5,"★☆☆","☆☆☆")))</f>
        <v>☆☆☆</v>
      </c>
      <c r="D3" s="16" cm="1" t="str">
        <f t="array" ref="D3">REPT("█",ROUND(10*SUM($G$12:$G$35)/170,0))&amp;REPT("░",10-ROUND(10*SUM($G$12:$G$35)/170,0))&amp;"  "&amp;TEXT(SUM($G$12:$G$35)/170,"0%")</f>
        <v>░░░░░░░░░░  0%</v>
      </c>
      <c r="F3" s="17" cm="1" t="str">
        <f t="array" ref="F3">IF(SUM($G$12:$G$35)&gt;=170*0.5,"STAGE CLEAR! ▶ Next: F3-3 Multi-Filter","")</f>
        <v/>
      </c>
    </row>
    <row r="5" spans="1:7" ht="22" customHeight="1">
      <c r="A5" s="4" t="s">
        <v>54</v>
      </c>
      <c r="B5" s="4"/>
      <c r="C5" s="4"/>
      <c r="D5" s="4"/>
      <c r="E5" s="4"/>
      <c r="F5" s="4"/>
      <c r="G5" s="4"/>
    </row>
    <row r="6" spans="1:7">
      <c r="A6" s="6" t="s">
        <v>55</v>
      </c>
      <c r="B6" s="6" t="s">
        <v>56</v>
      </c>
      <c r="C6" s="6" t="s">
        <v>57</v>
      </c>
      <c r="D6" s="6"/>
      <c r="E6" s="6"/>
      <c r="F6" s="6"/>
      <c r="G6" s="6"/>
    </row>
    <row r="7" spans="1:7" ht="51.25" customHeight="1">
      <c r="A7" s="18" t="s">
        <v>58</v>
      </c>
      <c r="B7" s="8" t="s">
        <v>205</v>
      </c>
      <c r="C7" s="19" t="s">
        <v>145</v>
      </c>
    </row>
    <row r="8" spans="1:7" ht="51.25" customHeight="1">
      <c r="A8" s="18" t="s">
        <v>61</v>
      </c>
      <c r="B8" s="8" t="s">
        <v>206</v>
      </c>
      <c r="C8" s="19" t="s">
        <v>207</v>
      </c>
    </row>
    <row r="10" spans="1:7" ht="22" customHeight="1">
      <c r="A10" s="4" t="s">
        <v>67</v>
      </c>
      <c r="B10" s="4"/>
      <c r="C10" s="4"/>
      <c r="D10" s="4"/>
      <c r="E10" s="4"/>
      <c r="F10" s="4"/>
      <c r="G10" s="4"/>
    </row>
    <row r="11" spans="1:7">
      <c r="A11" s="6" t="s">
        <v>55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1</v>
      </c>
      <c r="G11" s="6" t="s">
        <v>72</v>
      </c>
    </row>
    <row r="12" spans="1:7" ht="35.5" customHeight="1">
      <c r="A12" s="18" t="s">
        <v>79</v>
      </c>
      <c r="B12" s="8" t="s">
        <v>209</v>
      </c>
      <c r="C12" s="20"/>
      <c r="D12" s="21" cm="1" t="str">
        <f t="array" ref="D12">IFERROR(_xlfn.LET(_xlpm.a,'F3-2 Money Bags'!$C$12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$22:$J$22),"✔ CLEAR","✘ TRY AGAIN"))),"✘ TRY AGAIN")</f>
        <v/>
      </c>
      <c r="E12" s="22"/>
      <c r="F12" s="23" cm="1" t="str">
        <f t="array" ref="F12">IF(E12="Show hint",Key!$B$22,"")</f>
        <v/>
      </c>
      <c r="G12" s="24" cm="1">
        <f t="array" ref="G12">IF(LEFT(D12,1)="✔",IF(E12="Show hint",5,10),0)</f>
        <v>0</v>
      </c>
    </row>
    <row r="13" spans="1:7" ht="35.5" customHeight="1">
      <c r="A13" s="18" t="s">
        <v>87</v>
      </c>
      <c r="B13" s="8" t="s">
        <v>211</v>
      </c>
      <c r="C13" s="20"/>
      <c r="D13" s="21" cm="1" t="str">
        <f t="array" ref="D13">IFERROR(_xlfn.LET(_xlpm.a,'F3-2 Money Bags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$23:$E$23),"✔ CLEAR","✘ TRY AGAIN"))),"✘ TRY AGAIN")</f>
        <v/>
      </c>
      <c r="E13" s="22"/>
      <c r="F13" s="23" cm="1" t="str">
        <f t="array" ref="F13">IF(E13="Show hint",Key!$B$23,"")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95</v>
      </c>
      <c r="B14" s="8" t="s">
        <v>213</v>
      </c>
      <c r="C14" s="20"/>
      <c r="D14" s="21" cm="1" t="str">
        <f t="array" ref="D14">IFERROR(_xlfn.LET(_xlpm.a,'F3-2 Money Bags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F$24),"✔ CLEAR","✘ TRY AGAIN"))),"✘ TRY AGAIN")</f>
        <v/>
      </c>
      <c r="E14" s="22"/>
      <c r="F14" s="23" cm="1" t="str">
        <f t="array" ref="F14">IF(E14="Show hint",Key!$B$24,"")</f>
        <v/>
      </c>
      <c r="G14" s="24" cm="1">
        <f t="array" ref="G14">IF(LEFT(D14,1)="✔",IF(E14="Show hint",5,10),0)</f>
        <v>0</v>
      </c>
    </row>
    <row r="15" spans="1:7" ht="19.75" customHeight="1">
      <c r="A15" s="18" t="s">
        <v>103</v>
      </c>
      <c r="B15" s="8" t="s">
        <v>218</v>
      </c>
      <c r="C15" s="20"/>
      <c r="D15" s="21" cm="1" t="str">
        <f t="array" ref="D15">IFERROR(_xlfn.LET(_xlpm.a,'F3-2 Money Bags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F$25),"✔ CLEAR","✘ TRY AGAIN"))),"✘ TRY AGAIN")</f>
        <v/>
      </c>
      <c r="E15" s="22"/>
      <c r="F15" s="23" cm="1" t="str">
        <f t="array" ref="F15">IF(E15="Show hint",Key!$B$25,"")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111</v>
      </c>
      <c r="B16" s="8" t="s">
        <v>223</v>
      </c>
      <c r="C16" s="20"/>
      <c r="D16" s="21" cm="1" t="str">
        <f t="array" ref="D16">IFERROR(_xlfn.LET(_xlpm.a,'F3-2 Money Bags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F$26),"✔ CLEAR","✘ TRY AGAIN"))),"✘ TRY AGAIN")</f>
        <v/>
      </c>
      <c r="E16" s="22"/>
      <c r="F16" s="23" cm="1" t="str">
        <f t="array" ref="F16">IF(E16="Show hint",Key!$B$26,"")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119</v>
      </c>
      <c r="B17" s="8" t="s">
        <v>228</v>
      </c>
      <c r="C17" s="20"/>
      <c r="D17" s="21" cm="1" t="str">
        <f t="array" ref="D17">IFERROR(_xlfn.LET(_xlpm.a,'F3-2 Money Bags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F$27),"✔ CLEAR","✘ TRY AGAIN"))),"✘ TRY AGAIN")</f>
        <v/>
      </c>
      <c r="E17" s="22"/>
      <c r="F17" s="23" cm="1" t="str">
        <f t="array" ref="F17">IF(E17="Show hint",Key!$B$27,"")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125</v>
      </c>
      <c r="B18" s="8" t="s">
        <v>232</v>
      </c>
      <c r="C18" s="20"/>
      <c r="D18" s="21" cm="1" t="str">
        <f t="array" ref="D18">IFERROR(_xlfn.LET(_xlpm.a,'F3-2 Money Bags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$28:$E$28),"✔ CLEAR","✘ TRY AGAIN"))),"✘ TRY AGAIN")</f>
        <v/>
      </c>
      <c r="E18" s="22"/>
      <c r="F18" s="23" cm="1" t="str">
        <f t="array" ref="F18">IF(E18="Show hint",Key!$B$28,"")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130</v>
      </c>
      <c r="B19" s="8" t="s">
        <v>236</v>
      </c>
      <c r="C19" s="20"/>
      <c r="D19" s="21" cm="1" t="str">
        <f t="array" ref="D19">IFERROR(_xlfn.LET(_xlpm.a,'F3-2 Money Bags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$29:$E$29),"✔ CLEAR","✘ TRY AGAIN"))),"✘ TRY AGAIN")</f>
        <v/>
      </c>
      <c r="E19" s="22"/>
      <c r="F19" s="23" cm="1" t="str">
        <f t="array" ref="F19">IF(E19="Show hint",Key!$B$29,"")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135</v>
      </c>
      <c r="B20" s="8" t="s">
        <v>240</v>
      </c>
      <c r="C20" s="20"/>
      <c r="D20" s="21" cm="1" t="str">
        <f t="array" ref="D20">IFERROR(_xlfn.LET(_xlpm.a,'F3-2 Money Bags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E$30),"✔ CLEAR","✘ TRY AGAIN"))),"✘ TRY AGAIN")</f>
        <v/>
      </c>
      <c r="E20" s="22"/>
      <c r="F20" s="23" cm="1" t="str">
        <f t="array" ref="F20">IF(E20="Show hint",Key!$B$30,"")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140</v>
      </c>
      <c r="B21" s="8" t="s">
        <v>244</v>
      </c>
      <c r="C21" s="20"/>
      <c r="D21" s="21" cm="1" t="str">
        <f t="array" ref="D21">IFERROR(_xlfn.LET(_xlpm.a,'F3-2 Money Bags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$31:$E$31),"✔ CLEAR","✘ TRY AGAIN"))),"✘ TRY AGAIN")</f>
        <v/>
      </c>
      <c r="E21" s="22"/>
      <c r="F21" s="23" cm="1" t="str">
        <f t="array" ref="F21">IF(E21="Show hint",Key!$B$31,"")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142</v>
      </c>
      <c r="B23" s="4"/>
      <c r="C23" s="4"/>
      <c r="D23" s="4"/>
      <c r="E23" s="4"/>
      <c r="F23" s="4"/>
      <c r="G23" s="4"/>
    </row>
    <row r="24" spans="1:7">
      <c r="A24" s="6" t="s">
        <v>55</v>
      </c>
      <c r="B24" s="6" t="s">
        <v>68</v>
      </c>
      <c r="C24" s="6" t="s">
        <v>69</v>
      </c>
      <c r="D24" s="6" t="s">
        <v>70</v>
      </c>
      <c r="E24" s="6" t="s">
        <v>71</v>
      </c>
      <c r="F24" s="6" t="s">
        <v>1</v>
      </c>
      <c r="G24" s="6" t="s">
        <v>72</v>
      </c>
    </row>
    <row r="25" spans="1:7" ht="35.5" customHeight="1">
      <c r="A25" s="18" t="s">
        <v>148</v>
      </c>
      <c r="B25" s="8" t="s">
        <v>247</v>
      </c>
      <c r="C25" s="20"/>
      <c r="D25" s="21" cm="1" t="str">
        <f t="array" ref="D25">IFERROR(IF('F3-2 Money Bags'!$C$25&amp;""="","",IF('F3-2 Money Bags'!$C$25&amp;""=Key!$C$32&amp;"","✔ CLEAR","✘ TRY AGAIN")),"✘ TRY AGAIN")</f>
        <v/>
      </c>
      <c r="E25" s="22"/>
      <c r="F25" s="23" cm="1" t="str">
        <f t="array" ref="F25">IF(E25="Show hint",Key!$B$32,"")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154</v>
      </c>
      <c r="B26" s="8" t="s">
        <v>251</v>
      </c>
      <c r="C26" s="20"/>
      <c r="D26" s="21" cm="1" t="str">
        <f t="array" ref="D26">IFERROR(IF('F3-2 Money Bags'!$C$26&amp;""="","",IF('F3-2 Money Bags'!$C$26&amp;""=Key!$C$33&amp;"","✔ CLEAR","✘ TRY AGAIN")),"✘ TRY AGAIN")</f>
        <v/>
      </c>
      <c r="E26" s="22"/>
      <c r="F26" s="23" cm="1" t="str">
        <f t="array" ref="F26">IF(E26="Show hint",Key!$B$33,"")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160</v>
      </c>
      <c r="B28" s="4"/>
      <c r="C28" s="4"/>
      <c r="D28" s="4"/>
      <c r="E28" s="4"/>
      <c r="F28" s="4"/>
      <c r="G28" s="4"/>
    </row>
    <row r="29" spans="1:7">
      <c r="B29" s="11" t="s">
        <v>252</v>
      </c>
    </row>
    <row r="30" spans="1:7">
      <c r="A30" s="6" t="s">
        <v>55</v>
      </c>
      <c r="B30" s="6" t="s">
        <v>68</v>
      </c>
      <c r="C30" s="6" t="s">
        <v>69</v>
      </c>
      <c r="D30" s="6" t="s">
        <v>70</v>
      </c>
      <c r="E30" s="6" t="s">
        <v>71</v>
      </c>
      <c r="F30" s="6" t="s">
        <v>1</v>
      </c>
      <c r="G30" s="6" t="s">
        <v>72</v>
      </c>
    </row>
    <row r="31" spans="1:7" ht="35.5" customHeight="1">
      <c r="A31" s="18" t="s">
        <v>168</v>
      </c>
      <c r="B31" s="8" t="s">
        <v>247</v>
      </c>
      <c r="C31" s="20"/>
      <c r="D31" s="21" cm="1" t="str">
        <f t="array" ref="D31">IFERROR(_xlfn.LET(_xlpm.a,'F3-2 Money Bags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J$34),"✔ CLEAR","✘ TRY AGAIN"))),"✘ TRY AGAIN")</f>
        <v/>
      </c>
      <c r="E31" s="22"/>
      <c r="F31" s="23" cm="1" t="str">
        <f t="array" ref="F31">IF(E31="Show hint",Key!$B$34,"")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170</v>
      </c>
      <c r="B32" s="8" t="s">
        <v>251</v>
      </c>
      <c r="C32" s="20"/>
      <c r="D32" s="21" cm="1" t="str">
        <f t="array" ref="D32">IFERROR(_xlfn.LET(_xlpm.a,'F3-2 Money Bags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J$35),"✔ CLEAR","✘ TRY AGAIN"))),"✘ TRY AGAIN")</f>
        <v/>
      </c>
      <c r="E32" s="22"/>
      <c r="F32" s="23" cm="1" t="str">
        <f t="array" ref="F32">IF(E32="Show hint",Key!$B$35,"")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175</v>
      </c>
      <c r="B33" s="8" t="s">
        <v>267</v>
      </c>
      <c r="C33" s="11" t="s">
        <v>268</v>
      </c>
      <c r="D33" s="21" cm="1" t="str">
        <f t="array" ref="D33">IF(ISBLANK('F3-2 Arena'!$M$6),"",IF(NOT(_xlfn.ISFORMULA('F3-2 Arena'!$M$6)),"✘ That's a typed value · enter a formula",IF(ISERROR('F3-2 Arena'!$M$6),"✘ Your formula returns "&amp;IFERROR(CHOOSE(ERROR.TYPE('F3-2 Arena'!$M$6),"#NULL!","#DIV/0!","#VALUE!","#REF!","#NAME?","#NUM!","#N/A","#GETTING_DATA","#SPILL!","#CONNECT!","#BLOCKED!","#UNKNOWN!","#FIELD!","#CALC!"),"an error"),IF(NOT(AND(IFERROR(AND(ISNUMBER('F3-2 Arena'!$M$6),ABS('F3-2 Arena'!$M$6-Key!$C$36)&lt;=1E-9*MAX(1,ABS(Key!$C$36))),FALSE))),"✘ TRY AGAIN",IF(AND(OR(ISNUMBER(FIND({"=","(",",","+","-","*","/","&amp;"," ","&lt;","&gt;",":","@","^"}&amp;"SUMIF"&amp;"(",UPPER(_xlfn.FORMULATEXT('F3-2 Arena'!$M$6)))))),"✔ CLEAR","✘ CLOSE · right value, but use SUMIF")))))</f>
        <v/>
      </c>
      <c r="E33" s="22"/>
      <c r="F33" s="23" cm="1" t="str">
        <f t="array" ref="F33">IF(E33="Show hint",Key!$B$36,"")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179</v>
      </c>
      <c r="B34" s="8" t="s">
        <v>271</v>
      </c>
      <c r="C34" s="11" t="s">
        <v>272</v>
      </c>
      <c r="D34" s="21" cm="1" t="str">
        <f t="array" ref="D34">IF(ISBLANK('F3-2 Arena'!$M$7),"",IF(NOT(_xlfn.ISFORMULA('F3-2 Arena'!$M$7)),"✘ That's a typed value · enter a formula",IF(ISERROR('F3-2 Arena'!$M$7),"✘ Your formula returns "&amp;IFERROR(CHOOSE(ERROR.TYPE('F3-2 Arena'!$M$7),"#NULL!","#DIV/0!","#VALUE!","#REF!","#NAME?","#NUM!","#N/A","#GETTING_DATA","#SPILL!","#CONNECT!","#BLOCKED!","#UNKNOWN!","#FIELD!","#CALC!"),"an error"),IF(NOT(AND(IFERROR(AND(ISNUMBER('F3-2 Arena'!$M$7),ABS('F3-2 Arena'!$M$7-Key!$C$37)&lt;=1E-9*MAX(1,ABS(Key!$C$37))),FALSE))),"✘ TRY AGAIN",IF(AND(OR(ISNUMBER(FIND({"=","(",",","+","-","*","/","&amp;"," ","&lt;","&gt;",":","@","^"}&amp;"AVERAGEIF"&amp;"(",UPPER(_xlfn.FORMULATEXT('F3-2 Arena'!$M$7)))))),"✔ CLEAR","✘ CLOSE · right value, but use AVERAGEIF")))))</f>
        <v/>
      </c>
      <c r="E34" s="22"/>
      <c r="F34" s="23" cm="1" t="str">
        <f t="array" ref="F34">IF(E34="Show hint",Key!$B$37,"")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184</v>
      </c>
      <c r="B35" s="8" t="s">
        <v>275</v>
      </c>
      <c r="C35" s="11" t="s">
        <v>276</v>
      </c>
      <c r="D35" s="21" cm="1" t="str">
        <f t="array" ref="D35">IF(ISBLANK('F3-2 Arena'!$M$8),"",IF(NOT(_xlfn.ISFORMULA('F3-2 Arena'!$M$8)),"✘ That's a typed value · enter a formula",IF(ISERROR('F3-2 Arena'!$M$8),"✘ Your formula returns "&amp;IFERROR(CHOOSE(ERROR.TYPE('F3-2 Arena'!$M$8),"#NULL!","#DIV/0!","#VALUE!","#REF!","#NAME?","#NUM!","#N/A","#GETTING_DATA","#SPILL!","#CONNECT!","#BLOCKED!","#UNKNOWN!","#FIELD!","#CALC!"),"an error"),IF(NOT(AND(IFERROR(AND(ISNUMBER('F3-2 Arena'!$M$8),ABS('F3-2 Arena'!$M$8-Key!$C$38)&lt;=1E-9*MAX(1,ABS(Key!$C$38))),FALSE))),"✘ TRY AGAIN",IF(AND(OR(ISNUMBER(FIND({"=","(",",","+","-","*","/","&amp;"," ","&lt;","&gt;",":","@","^"}&amp;"SUMIF"&amp;"(",UPPER(_xlfn.FORMULATEXT('F3-2 Arena'!$M$8)))))),"✔ CLEAR","✘ CLOSE · right value, but use SUMIF")))))</f>
        <v/>
      </c>
      <c r="E35" s="22"/>
      <c r="F35" s="23" cm="1" t="str">
        <f t="array" ref="F35">IF(E35="Show hint",Key!$B$38,"")</f>
        <v/>
      </c>
      <c r="G35" s="24" cm="1">
        <f t="array" ref="G35">IF(LEFT(D35,1)="✔",IF(E35="Show hint",5,10),0)</f>
        <v>0</v>
      </c>
    </row>
  </sheetData>
  <sheetProtection sheet="1" objects="1" scenarios="1" formatColumns="0" formatRows="0"/>
  <conditionalFormatting sqref="D12:D35">
    <cfRule type="expression" dxfId="0" priority="1">
      <formula>LEFT($D12,1)="✔"</formula>
    </cfRule>
    <cfRule type="expression" dxfId="1" priority="2">
      <formula>LEFT($D12,1)="✘"</formula>
    </cfRule>
    <cfRule type="expression" dxfId="2" priority="3">
      <formula>$D12="LOCKED"</formula>
    </cfRule>
  </conditionalFormatting>
  <dataValidations count="31">
    <dataValidation allowBlank="1" showInputMessage="1" showErrorMessage="1" promptTitle="Type your answer" prompt="Type keys joined with +, like Ctrl+Shift+L. For a function, type its name, like SUMIFS. Case and spaces don't matter." sqref="C12"/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Key!$E$32:$H$32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Key!$E$33:$H$33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type="list" allowBlank="1" showInputMessage="1" showErrorMessage="1" promptTitle="Need a hint?" prompt="Pick 'Show hint' (Alt+Down). This question then gives 5 XP instead of 10." sqref="E35">
      <formula1>"Show hint"</formula1>
    </dataValidation>
  </dataValidations>
  <hyperlinks>
    <hyperlink ref="B29" location="'F3-2 Arena'!A1" display="▶ Open F3-2 Arena (or press Ctrl+PgDn)"/>
    <hyperlink ref="C33" location="'F3-2 Arena'!M6" tooltip="Go to F3-2 Arena, cell M6" display="▶ ARENA C3 (cell M6)"/>
    <hyperlink ref="C34" location="'F3-2 Arena'!M7" tooltip="Go to F3-2 Arena, cell M7" display="▶ ARENA C4 (cell M7)"/>
    <hyperlink ref="C35" location="'F3-2 Arena'!M8" tooltip="Go to F3-2 Arena, cell M8" display="▶ ARENA C5 (cell M8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11" width="13.7109375" customWidth="1"/>
    <col min="12" max="12" width="30.7109375" customWidth="1"/>
    <col min="13" max="26" width="13.7109375" customWidth="1"/>
  </cols>
  <sheetData>
    <row r="1" spans="1:13">
      <c r="A1" s="1" t="s">
        <v>199</v>
      </c>
    </row>
    <row r="2" spans="1:13">
      <c r="A2" s="3" t="s">
        <v>5</v>
      </c>
    </row>
    <row r="3" spans="1:13">
      <c r="A3" s="25" t="s">
        <v>6</v>
      </c>
      <c r="B3" s="26" t="s">
        <v>200</v>
      </c>
      <c r="D3" s="11" t="s">
        <v>201</v>
      </c>
    </row>
    <row r="5" spans="1:13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7" t="s">
        <v>47</v>
      </c>
    </row>
    <row r="6" spans="1:13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5">
        <v>40</v>
      </c>
      <c r="L6" s="5" t="s">
        <v>202</v>
      </c>
      <c r="M6" s="29"/>
    </row>
    <row r="7" spans="1:13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  <c r="L7" s="5" t="s">
        <v>203</v>
      </c>
      <c r="M7" s="29"/>
    </row>
    <row r="8" spans="1:13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  <c r="K8" s="7" t="s">
        <v>48</v>
      </c>
      <c r="L8" s="5" t="s">
        <v>204</v>
      </c>
      <c r="M8" s="29"/>
    </row>
    <row r="9" spans="1:13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  <c r="K9" s="28">
        <v>46054</v>
      </c>
    </row>
    <row r="10" spans="1:13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  <c r="K10" s="7" t="s">
        <v>49</v>
      </c>
    </row>
    <row r="11" spans="1:13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  <c r="K11" s="28">
        <v>46112</v>
      </c>
    </row>
    <row r="12" spans="1:13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</row>
    <row r="13" spans="1:13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</row>
    <row r="14" spans="1:13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</row>
    <row r="15" spans="1:13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13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8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8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8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</row>
    <row r="20" spans="2:8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</row>
    <row r="21" spans="2:8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8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8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8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8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</sheetData>
  <hyperlinks>
    <hyperlink ref="D3" location="'F3-2 Money Bags'!A1" display="◀ Back to F3-2 Money Bag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401</v>
      </c>
      <c r="B1" s="2"/>
      <c r="C1" s="2"/>
      <c r="D1" s="2"/>
      <c r="E1" s="2"/>
      <c r="F1" s="2"/>
      <c r="G1" s="2"/>
    </row>
    <row r="2" spans="1:7">
      <c r="A2" s="3" t="s">
        <v>402</v>
      </c>
    </row>
    <row r="3" spans="1:7" ht="26" customHeight="1">
      <c r="A3" s="14" cm="1" t="str">
        <f t="array" ref="A3">"SCORE "&amp;TEXT(SUM($G$13:$G$38),"0000")&amp;" / 0190"</f>
        <v>SCORE 0000 / 0190</v>
      </c>
      <c r="C3" s="15" cm="1" t="str">
        <f t="array" ref="C3">IF(SUM($G$13:$G$38)&gt;=190,"★★★",IF(SUM($G$13:$G$38)&gt;=190*0.8,"★★☆",IF(SUM($G$13:$G$38)&gt;=190*0.5,"★☆☆","☆☆☆")))</f>
        <v>☆☆☆</v>
      </c>
      <c r="D3" s="16" cm="1" t="str">
        <f t="array" ref="D3">REPT("█",ROUND(10*SUM($G$13:$G$38)/190,0))&amp;REPT("░",10-ROUND(10*SUM($G$13:$G$38)/190,0))&amp;"  "&amp;TEXT(SUM($G$13:$G$38)/190,"0%")</f>
        <v>░░░░░░░░░░  0%</v>
      </c>
      <c r="F3" s="17" cm="1" t="str">
        <f t="array" ref="F3">IF(SUM($G$13:$G$38)&gt;=190*0.5,"STAGE CLEAR! ▶ Next: F3-4 Extremes","")</f>
        <v/>
      </c>
    </row>
    <row r="5" spans="1:7" ht="22" customHeight="1">
      <c r="A5" s="4" t="s">
        <v>54</v>
      </c>
      <c r="B5" s="4"/>
      <c r="C5" s="4"/>
      <c r="D5" s="4"/>
      <c r="E5" s="4"/>
      <c r="F5" s="4"/>
      <c r="G5" s="4"/>
    </row>
    <row r="6" spans="1:7">
      <c r="A6" s="6" t="s">
        <v>55</v>
      </c>
      <c r="B6" s="6" t="s">
        <v>56</v>
      </c>
      <c r="C6" s="6" t="s">
        <v>57</v>
      </c>
      <c r="D6" s="6"/>
      <c r="E6" s="6"/>
      <c r="F6" s="6"/>
      <c r="G6" s="6"/>
    </row>
    <row r="7" spans="1:7" ht="67" customHeight="1">
      <c r="A7" s="18" t="s">
        <v>58</v>
      </c>
      <c r="B7" s="8" t="s">
        <v>285</v>
      </c>
      <c r="C7" s="19" t="s">
        <v>146</v>
      </c>
    </row>
    <row r="8" spans="1:7" ht="51.25" customHeight="1">
      <c r="A8" s="18" t="s">
        <v>61</v>
      </c>
      <c r="B8" s="8" t="s">
        <v>286</v>
      </c>
      <c r="C8" s="19" t="s">
        <v>287</v>
      </c>
    </row>
    <row r="9" spans="1:7" ht="67" customHeight="1">
      <c r="A9" s="18" t="s">
        <v>64</v>
      </c>
      <c r="B9" s="8" t="s">
        <v>288</v>
      </c>
      <c r="C9" s="19" t="s">
        <v>289</v>
      </c>
    </row>
    <row r="11" spans="1:7" ht="22" customHeight="1">
      <c r="A11" s="4" t="s">
        <v>67</v>
      </c>
      <c r="B11" s="4"/>
      <c r="C11" s="4"/>
      <c r="D11" s="4"/>
      <c r="E11" s="4"/>
      <c r="F11" s="4"/>
      <c r="G11" s="4"/>
    </row>
    <row r="12" spans="1:7">
      <c r="A12" s="6" t="s">
        <v>55</v>
      </c>
      <c r="B12" s="6" t="s">
        <v>68</v>
      </c>
      <c r="C12" s="6" t="s">
        <v>69</v>
      </c>
      <c r="D12" s="6" t="s">
        <v>70</v>
      </c>
      <c r="E12" s="6" t="s">
        <v>71</v>
      </c>
      <c r="F12" s="6" t="s">
        <v>1</v>
      </c>
      <c r="G12" s="6" t="s">
        <v>72</v>
      </c>
    </row>
    <row r="13" spans="1:7" ht="35.5" customHeight="1">
      <c r="A13" s="18" t="s">
        <v>79</v>
      </c>
      <c r="B13" s="8" t="s">
        <v>291</v>
      </c>
      <c r="C13" s="20"/>
      <c r="D13" s="21" cm="1" t="str">
        <f t="array" ref="D13">IFERROR(_xlfn.LET(_xlpm.a,'F3-3 Multi-Filter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$39:$J$39),"✔ CLEAR","✘ TRY AGAIN"))),"✘ TRY AGAIN")</f>
        <v/>
      </c>
      <c r="E13" s="22"/>
      <c r="F13" s="23" cm="1" t="str">
        <f t="array" ref="F13">IF(E13="Show hint",Key!$B$39,"")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87</v>
      </c>
      <c r="B14" s="8" t="s">
        <v>293</v>
      </c>
      <c r="C14" s="20"/>
      <c r="D14" s="21" cm="1" t="str">
        <f t="array" ref="D14">IFERROR(_xlfn.LET(_xlpm.a,'F3-3 Multi-Filter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$40:$J$40),"✔ CLEAR","✘ TRY AGAIN"))),"✘ TRY AGAIN")</f>
        <v/>
      </c>
      <c r="E14" s="22"/>
      <c r="F14" s="23" cm="1" t="str">
        <f t="array" ref="F14">IF(E14="Show hint",Key!$B$40,"")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95</v>
      </c>
      <c r="B15" s="8" t="s">
        <v>297</v>
      </c>
      <c r="C15" s="20"/>
      <c r="D15" s="21" cm="1" t="str">
        <f t="array" ref="D15">IFERROR(_xlfn.LET(_xlpm.a,'F3-3 Multi-Filter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$41:$E$41),"✔ CLEAR","✘ TRY AGAIN"))),"✘ TRY AGAIN")</f>
        <v/>
      </c>
      <c r="E15" s="22"/>
      <c r="F15" s="23" cm="1" t="str">
        <f t="array" ref="F15">IF(E15="Show hint",Key!$B$41,"")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103</v>
      </c>
      <c r="B16" s="8" t="s">
        <v>304</v>
      </c>
      <c r="C16" s="20"/>
      <c r="D16" s="21" cm="1" t="str">
        <f t="array" ref="D16">IFERROR(_xlfn.LET(_xlpm.a,'F3-3 Multi-Filter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$42:$H$42),"✔ CLEAR","✘ TRY AGAIN"))),"✘ TRY AGAIN")</f>
        <v/>
      </c>
      <c r="E16" s="22"/>
      <c r="F16" s="23" cm="1" t="str">
        <f t="array" ref="F16">IF(E16="Show hint",Key!$B$42,"")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111</v>
      </c>
      <c r="B17" s="8" t="s">
        <v>311</v>
      </c>
      <c r="C17" s="20"/>
      <c r="D17" s="21" cm="1" t="str">
        <f t="array" ref="D17">IFERROR(_xlfn.LET(_xlpm.a,'F3-3 Multi-Filter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$43:$H$43),"✔ CLEAR","✘ TRY AGAIN"))),"✘ TRY AGAIN")</f>
        <v/>
      </c>
      <c r="E17" s="22"/>
      <c r="F17" s="23" cm="1" t="str">
        <f t="array" ref="F17">IF(E17="Show hint",Key!$B$43,"")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119</v>
      </c>
      <c r="B18" s="8" t="s">
        <v>316</v>
      </c>
      <c r="C18" s="20"/>
      <c r="D18" s="21" cm="1" t="str">
        <f t="array" ref="D18">IFERROR(_xlfn.LET(_xlpm.a,'F3-3 Multi-Filter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$44:$F$44),"✔ CLEAR","✘ TRY AGAIN"))),"✘ TRY AGAIN")</f>
        <v/>
      </c>
      <c r="E18" s="22"/>
      <c r="F18" s="23" cm="1" t="str">
        <f t="array" ref="F18">IF(E18="Show hint",Key!$B$44,"")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125</v>
      </c>
      <c r="B19" s="8" t="s">
        <v>335</v>
      </c>
      <c r="C19" s="20"/>
      <c r="D19" s="21" cm="1" t="str">
        <f t="array" ref="D19">IFERROR(_xlfn.LET(_xlpm.a,'F3-3 Multi-Filter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T$45),"✔ CLEAR","✘ TRY AGAIN"))),"✘ TRY AGAIN")</f>
        <v/>
      </c>
      <c r="E19" s="22"/>
      <c r="F19" s="23" cm="1" t="str">
        <f t="array" ref="F19">IF(E19="Show hint",Key!$B$45,"")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130</v>
      </c>
      <c r="B20" s="8" t="s">
        <v>354</v>
      </c>
      <c r="C20" s="20"/>
      <c r="D20" s="21" cm="1" t="str">
        <f t="array" ref="D20">IFERROR(_xlfn.LET(_xlpm.a,'F3-3 Multi-Filter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T$46),"✔ CLEAR","✘ TRY AGAIN"))),"✘ TRY AGAIN")</f>
        <v/>
      </c>
      <c r="E20" s="22"/>
      <c r="F20" s="23" cm="1" t="str">
        <f t="array" ref="F20">IF(E20="Show hint",Key!$B$46,"")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135</v>
      </c>
      <c r="B21" s="8" t="s">
        <v>359</v>
      </c>
      <c r="C21" s="20"/>
      <c r="D21" s="21" cm="1" t="str">
        <f t="array" ref="D21">IFERROR(_xlfn.LET(_xlpm.a,'F3-3 Multi-Filter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F$47),"✔ CLEAR","✘ TRY AGAIN"))),"✘ TRY AGAIN")</f>
        <v/>
      </c>
      <c r="E21" s="22"/>
      <c r="F21" s="23" cm="1" t="str">
        <f t="array" ref="F21">IF(E21="Show hint",Key!$B$47,"")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140</v>
      </c>
      <c r="B22" s="8" t="s">
        <v>363</v>
      </c>
      <c r="C22" s="20"/>
      <c r="D22" s="21" cm="1" t="str">
        <f t="array" ref="D22">IFERROR(_xlfn.LET(_xlpm.a,'F3-3 Multi-Filter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$48:$E$48),"✔ CLEAR","✘ TRY AGAIN"))),"✘ TRY AGAIN")</f>
        <v/>
      </c>
      <c r="E22" s="22"/>
      <c r="F22" s="23" cm="1" t="str">
        <f t="array" ref="F22">IF(E22="Show hint",Key!$B$48,"")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142</v>
      </c>
      <c r="B24" s="4"/>
      <c r="C24" s="4"/>
      <c r="D24" s="4"/>
      <c r="E24" s="4"/>
      <c r="F24" s="4"/>
      <c r="G24" s="4"/>
    </row>
    <row r="25" spans="1:7">
      <c r="A25" s="6" t="s">
        <v>55</v>
      </c>
      <c r="B25" s="6" t="s">
        <v>68</v>
      </c>
      <c r="C25" s="6" t="s">
        <v>69</v>
      </c>
      <c r="D25" s="6" t="s">
        <v>70</v>
      </c>
      <c r="E25" s="6" t="s">
        <v>71</v>
      </c>
      <c r="F25" s="6" t="s">
        <v>1</v>
      </c>
      <c r="G25" s="6" t="s">
        <v>72</v>
      </c>
    </row>
    <row r="26" spans="1:7" ht="35.5" customHeight="1">
      <c r="A26" s="18" t="s">
        <v>148</v>
      </c>
      <c r="B26" s="8" t="s">
        <v>366</v>
      </c>
      <c r="C26" s="20"/>
      <c r="D26" s="21" cm="1" t="str">
        <f t="array" ref="D26">IFERROR(IF('F3-3 Multi-Filter'!$C$26&amp;""="","",IF('F3-3 Multi-Filter'!$C$26&amp;""=Key!$C$49&amp;"","✔ CLEAR","✘ TRY AGAIN")),"✘ TRY AGAIN")</f>
        <v/>
      </c>
      <c r="E26" s="22"/>
      <c r="F26" s="23" cm="1" t="str">
        <f t="array" ref="F26">IF(E26="Show hint",Key!$B$49,"")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154</v>
      </c>
      <c r="B27" s="8" t="s">
        <v>369</v>
      </c>
      <c r="C27" s="20"/>
      <c r="D27" s="21" cm="1" t="str">
        <f t="array" ref="D27">IFERROR(IF('F3-3 Multi-Filter'!$C$27&amp;""="","",IF('F3-3 Multi-Filter'!$C$27&amp;""=Key!$C$50&amp;"","✔ CLEAR","✘ TRY AGAIN")),"✘ TRY AGAIN")</f>
        <v/>
      </c>
      <c r="E27" s="22"/>
      <c r="F27" s="23" cm="1" t="str">
        <f t="array" ref="F27">IF(E27="Show hint",Key!$B$50,"")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158</v>
      </c>
      <c r="B28" s="8" t="s">
        <v>372</v>
      </c>
      <c r="C28" s="20"/>
      <c r="D28" s="21" cm="1" t="str">
        <f t="array" ref="D28">IFERROR(IF('F3-3 Multi-Filter'!$C$28&amp;""="","",IF('F3-3 Multi-Filter'!$C$28&amp;""=Key!$C$51&amp;"","✔ CLEAR","✘ TRY AGAIN")),"✘ TRY AGAIN")</f>
        <v/>
      </c>
      <c r="E28" s="22"/>
      <c r="F28" s="23" cm="1" t="str">
        <f t="array" ref="F28">IF(E28="Show hint",Key!$B$51,"")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160</v>
      </c>
      <c r="B30" s="4"/>
      <c r="C30" s="4"/>
      <c r="D30" s="4"/>
      <c r="E30" s="4"/>
      <c r="F30" s="4"/>
      <c r="G30" s="4"/>
    </row>
    <row r="31" spans="1:7">
      <c r="B31" s="11" t="s">
        <v>373</v>
      </c>
    </row>
    <row r="32" spans="1:7">
      <c r="A32" s="6" t="s">
        <v>55</v>
      </c>
      <c r="B32" s="6" t="s">
        <v>68</v>
      </c>
      <c r="C32" s="6" t="s">
        <v>69</v>
      </c>
      <c r="D32" s="6" t="s">
        <v>70</v>
      </c>
      <c r="E32" s="6" t="s">
        <v>71</v>
      </c>
      <c r="F32" s="6" t="s">
        <v>1</v>
      </c>
      <c r="G32" s="6" t="s">
        <v>72</v>
      </c>
    </row>
    <row r="33" spans="1:7" ht="35.5" customHeight="1">
      <c r="A33" s="18" t="s">
        <v>168</v>
      </c>
      <c r="B33" s="8" t="s">
        <v>366</v>
      </c>
      <c r="C33" s="20"/>
      <c r="D33" s="21" cm="1" t="str">
        <f t="array" ref="D33">IFERROR(_xlfn.LET(_xlpm.a,'F3-3 Multi-Filter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$52:$J$52),"✔ CLEAR","✘ TRY AGAIN"))),"✘ TRY AGAIN")</f>
        <v/>
      </c>
      <c r="E33" s="22"/>
      <c r="F33" s="23" cm="1" t="str">
        <f t="array" ref="F33">IF(E33="Show hint",Key!$B$52,"")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170</v>
      </c>
      <c r="B34" s="8" t="s">
        <v>369</v>
      </c>
      <c r="C34" s="20"/>
      <c r="D34" s="21" cm="1" t="str">
        <f t="array" ref="D34">IFERROR(_xlfn.LET(_xlpm.a,'F3-3 Multi-Filter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J$53),"✔ CLEAR","✘ TRY AGAIN"))),"✘ TRY AGAIN")</f>
        <v/>
      </c>
      <c r="E34" s="22"/>
      <c r="F34" s="23" cm="1" t="str">
        <f t="array" ref="F34">IF(E34="Show hint",Key!$B$53,"")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175</v>
      </c>
      <c r="B35" s="8" t="s">
        <v>372</v>
      </c>
      <c r="C35" s="20"/>
      <c r="D35" s="21" cm="1" t="str">
        <f t="array" ref="D35">IFERROR(_xlfn.LET(_xlpm.a,'F3-3 Multi-Filter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J$54),"✔ CLEAR","✘ TRY AGAIN"))),"✘ TRY AGAIN")</f>
        <v/>
      </c>
      <c r="E35" s="22"/>
      <c r="F35" s="23" cm="1" t="str">
        <f t="array" ref="F35">IF(E35="Show hint",Key!$B$54,"")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179</v>
      </c>
      <c r="B36" s="8" t="s">
        <v>394</v>
      </c>
      <c r="C36" s="11" t="s">
        <v>181</v>
      </c>
      <c r="D36" s="21" cm="1" t="str">
        <f t="array" ref="D36">IF(ISBLANK('F3-3 Arena'!$M$6),"",IF(NOT(_xlfn.ISFORMULA('F3-3 Arena'!$M$6)),"✘ That's a typed value · enter a formula",IF(ISERROR('F3-3 Arena'!$M$6),"✘ Your formula returns "&amp;IFERROR(CHOOSE(ERROR.TYPE('F3-3 Arena'!$M$6),"#NULL!","#DIV/0!","#VALUE!","#REF!","#NAME?","#NUM!","#N/A","#GETTING_DATA","#SPILL!","#CONNECT!","#BLOCKED!","#UNKNOWN!","#FIELD!","#CALC!"),"an error"),IF(NOT(AND(IFERROR(AND(ISNUMBER('F3-3 Arena'!$M$6),ABS('F3-3 Arena'!$M$6-Key!$C$55)&lt;=1E-9*MAX(1,ABS(Key!$C$55))),FALSE))),"✘ TRY AGAIN",IF(AND(OR(ISNUMBER(FIND({"=","(",",","+","-","*","/","&amp;"," ","&lt;","&gt;",":","@","^"}&amp;"COUNTIFS"&amp;"(",UPPER(_xlfn.FORMULATEXT('F3-3 Arena'!$M$6)))))),"✔ CLEAR","✘ CLOSE · right value, but use COUNTIFS")))))</f>
        <v/>
      </c>
      <c r="E36" s="22"/>
      <c r="F36" s="23" cm="1" t="str">
        <f t="array" ref="F36">IF(E36="Show hint",Key!$B$55,"")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184</v>
      </c>
      <c r="B37" s="8" t="s">
        <v>397</v>
      </c>
      <c r="C37" s="11" t="s">
        <v>186</v>
      </c>
      <c r="D37" s="21" cm="1" t="str">
        <f t="array" ref="D37">IF(ISBLANK('F3-3 Arena'!$M$7),"",IF(NOT(_xlfn.ISFORMULA('F3-3 Arena'!$M$7)),"✘ That's a typed value · enter a formula",IF(ISERROR('F3-3 Arena'!$M$7),"✘ Your formula returns "&amp;IFERROR(CHOOSE(ERROR.TYPE('F3-3 Arena'!$M$7),"#NULL!","#DIV/0!","#VALUE!","#REF!","#NAME?","#NUM!","#N/A","#GETTING_DATA","#SPILL!","#CONNECT!","#BLOCKED!","#UNKNOWN!","#FIELD!","#CALC!"),"an error"),IF(NOT(AND(IFERROR(AND(ISNUMBER('F3-3 Arena'!$M$7),ABS('F3-3 Arena'!$M$7-Key!$C$56)&lt;=1E-9*MAX(1,ABS(Key!$C$56))),FALSE))),"✘ TRY AGAIN",IF(AND(OR(ISNUMBER(FIND({"=","(",",","+","-","*","/","&amp;"," ","&lt;","&gt;",":","@","^"}&amp;"SUMIFS"&amp;"(",UPPER(_xlfn.FORMULATEXT('F3-3 Arena'!$M$7)))))),"✔ CLEAR","✘ CLOSE · right value, but use SUMIFS")))))</f>
        <v/>
      </c>
      <c r="E37" s="22"/>
      <c r="F37" s="23" cm="1" t="str">
        <f t="array" ref="F37">IF(E37="Show hint",Key!$B$56,"")</f>
        <v/>
      </c>
      <c r="G37" s="24" cm="1">
        <f t="array" ref="G37">IF(LEFT(D37,1)="✔",IF(E37="Show hint",5,10),0)</f>
        <v>0</v>
      </c>
    </row>
    <row r="38" spans="1:7" ht="19.75" customHeight="1">
      <c r="A38" s="18" t="s">
        <v>189</v>
      </c>
      <c r="B38" s="8" t="s">
        <v>400</v>
      </c>
      <c r="C38" s="11" t="s">
        <v>191</v>
      </c>
      <c r="D38" s="21" cm="1" t="str">
        <f t="array" ref="D38">IF(ISBLANK('F3-3 Arena'!$M$8),"",IF(NOT(_xlfn.ISFORMULA('F3-3 Arena'!$M$8)),"✘ That's a typed value · enter a formula",IF(ISERROR('F3-3 Arena'!$M$8),"✘ Your formula returns "&amp;IFERROR(CHOOSE(ERROR.TYPE('F3-3 Arena'!$M$8),"#NULL!","#DIV/0!","#VALUE!","#REF!","#NAME?","#NUM!","#N/A","#GETTING_DATA","#SPILL!","#CONNECT!","#BLOCKED!","#UNKNOWN!","#FIELD!","#CALC!"),"an error"),IF(NOT(AND(IFERROR(AND(ISNUMBER('F3-3 Arena'!$M$8),ABS('F3-3 Arena'!$M$8-Key!$C$57)&lt;=1E-9*MAX(1,ABS(Key!$C$57))),FALSE))),"✘ TRY AGAIN",IF(AND(OR(ISNUMBER(FIND({"=","(",",","+","-","*","/","&amp;"," ","&lt;","&gt;",":","@","^"}&amp;"AVERAGEIFS"&amp;"(",UPPER(_xlfn.FORMULATEXT('F3-3 Arena'!$M$8)))))),"✔ CLEAR","✘ CLOSE · right value, but use AVERAGEIFS")))))</f>
        <v/>
      </c>
      <c r="E38" s="22"/>
      <c r="F38" s="23" cm="1" t="str">
        <f t="array" ref="F38">IF(E38="Show hint",Key!$B$57,"")</f>
        <v/>
      </c>
      <c r="G38" s="24" cm="1">
        <f t="array" ref="G38">IF(LEFT(D38,1)="✔",IF(E38="Show hint",5,10),0)</f>
        <v>0</v>
      </c>
    </row>
  </sheetData>
  <sheetProtection sheet="1" objects="1" scenarios="1" formatColumns="0" formatRows="0"/>
  <conditionalFormatting sqref="D13:D38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5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Key!$E$49:$H$49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Key!$E$50:$H$50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Key!$E$51:$H$51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</dataValidations>
  <hyperlinks>
    <hyperlink ref="B31" location="'F3-3 Arena'!A1" display="▶ Open F3-3 Arena (or press Ctrl+PgDn)"/>
    <hyperlink ref="C36" location="'F3-3 Arena'!M6" tooltip="Go to F3-3 Arena, cell M6" display="▶ ARENA C4 (cell M6)"/>
    <hyperlink ref="C37" location="'F3-3 Arena'!M7" tooltip="Go to F3-3 Arena, cell M7" display="▶ ARENA C5 (cell M7)"/>
    <hyperlink ref="C38" location="'F3-3 Arena'!M8" tooltip="Go to F3-3 Arena, cell M8" display="▶ ARENA C6 (cell M8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11" width="13.7109375" customWidth="1"/>
    <col min="12" max="12" width="30.7109375" customWidth="1"/>
    <col min="13" max="26" width="13.7109375" customWidth="1"/>
  </cols>
  <sheetData>
    <row r="1" spans="1:13">
      <c r="A1" s="1" t="s">
        <v>279</v>
      </c>
    </row>
    <row r="2" spans="1:13">
      <c r="A2" s="3" t="s">
        <v>5</v>
      </c>
    </row>
    <row r="3" spans="1:13">
      <c r="A3" s="25" t="s">
        <v>6</v>
      </c>
      <c r="B3" s="26" t="s">
        <v>280</v>
      </c>
      <c r="D3" s="11" t="s">
        <v>281</v>
      </c>
    </row>
    <row r="5" spans="1:13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7" t="s">
        <v>47</v>
      </c>
    </row>
    <row r="6" spans="1:13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5">
        <v>40</v>
      </c>
      <c r="L6" s="5" t="s">
        <v>282</v>
      </c>
      <c r="M6" s="29"/>
    </row>
    <row r="7" spans="1:13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  <c r="L7" s="5" t="s">
        <v>283</v>
      </c>
      <c r="M7" s="29"/>
    </row>
    <row r="8" spans="1:13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  <c r="K8" s="7" t="s">
        <v>48</v>
      </c>
      <c r="L8" s="5" t="s">
        <v>284</v>
      </c>
      <c r="M8" s="29"/>
    </row>
    <row r="9" spans="1:13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  <c r="K9" s="28">
        <v>46054</v>
      </c>
    </row>
    <row r="10" spans="1:13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  <c r="K10" s="7" t="s">
        <v>49</v>
      </c>
    </row>
    <row r="11" spans="1:13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  <c r="K11" s="28">
        <v>46112</v>
      </c>
    </row>
    <row r="12" spans="1:13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</row>
    <row r="13" spans="1:13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</row>
    <row r="14" spans="1:13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</row>
    <row r="15" spans="1:13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13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8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8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8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</row>
    <row r="20" spans="2:8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</row>
    <row r="21" spans="2:8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8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8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8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8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</sheetData>
  <hyperlinks>
    <hyperlink ref="D3" location="'F3-3 Multi-Filter'!A1" display="◀ Back to F3-3 Multi-Filter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4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500</v>
      </c>
      <c r="B1" s="2"/>
      <c r="C1" s="2"/>
      <c r="D1" s="2"/>
      <c r="E1" s="2"/>
      <c r="F1" s="2"/>
      <c r="G1" s="2"/>
    </row>
    <row r="2" spans="1:7">
      <c r="A2" s="3" t="s">
        <v>501</v>
      </c>
    </row>
    <row r="3" spans="1:7" ht="26" customHeight="1">
      <c r="A3" s="14" cm="1" t="str">
        <f t="array" ref="A3">"SCORE "&amp;TEXT(SUM($G$14:$G$42),"0000")&amp;" / 0220"</f>
        <v>SCORE 0000 / 0220</v>
      </c>
      <c r="C3" s="15" cm="1" t="str">
        <f t="array" ref="C3">IF(SUM($G$14:$G$42)&gt;=220,"★★★",IF(SUM($G$14:$G$42)&gt;=220*0.8,"★★☆",IF(SUM($G$14:$G$42)&gt;=220*0.5,"★☆☆","☆☆☆")))</f>
        <v>☆☆☆</v>
      </c>
      <c r="D3" s="16" cm="1" t="str">
        <f t="array" ref="D3">REPT("█",ROUND(10*SUM($G$14:$G$42)/220,0))&amp;REPT("░",10-ROUND(10*SUM($G$14:$G$42)/220,0))&amp;"  "&amp;TEXT(SUM($G$14:$G$42)/220,"0%")</f>
        <v>░░░░░░░░░░  0%</v>
      </c>
      <c r="F3" s="17" cm="1" t="str">
        <f t="array" ref="F3">IF(SUM($G$14:$G$42)&gt;=220*0.5,"STAGE CLEAR! ▶ Next: Boss","")</f>
        <v/>
      </c>
    </row>
    <row r="5" spans="1:7" ht="22" customHeight="1">
      <c r="A5" s="4" t="s">
        <v>54</v>
      </c>
      <c r="B5" s="4"/>
      <c r="C5" s="4"/>
      <c r="D5" s="4"/>
      <c r="E5" s="4"/>
      <c r="F5" s="4"/>
      <c r="G5" s="4"/>
    </row>
    <row r="6" spans="1:7">
      <c r="A6" s="6" t="s">
        <v>55</v>
      </c>
      <c r="B6" s="6" t="s">
        <v>56</v>
      </c>
      <c r="C6" s="6" t="s">
        <v>57</v>
      </c>
      <c r="D6" s="6"/>
      <c r="E6" s="6"/>
      <c r="F6" s="6"/>
      <c r="G6" s="6"/>
    </row>
    <row r="7" spans="1:7" ht="67" customHeight="1">
      <c r="A7" s="18" t="s">
        <v>58</v>
      </c>
      <c r="B7" s="8" t="s">
        <v>410</v>
      </c>
      <c r="C7" s="19" t="s">
        <v>147</v>
      </c>
    </row>
    <row r="8" spans="1:7" ht="51.25" customHeight="1">
      <c r="A8" s="18" t="s">
        <v>61</v>
      </c>
      <c r="B8" s="8" t="s">
        <v>411</v>
      </c>
      <c r="C8" s="19" t="s">
        <v>250</v>
      </c>
    </row>
    <row r="9" spans="1:7" ht="35.5" customHeight="1">
      <c r="A9" s="18" t="s">
        <v>64</v>
      </c>
      <c r="B9" s="8" t="s">
        <v>412</v>
      </c>
      <c r="C9" s="19" t="s">
        <v>153</v>
      </c>
    </row>
    <row r="10" spans="1:7" ht="67" customHeight="1">
      <c r="A10" s="18" t="s">
        <v>413</v>
      </c>
      <c r="B10" s="8" t="s">
        <v>414</v>
      </c>
      <c r="C10" s="19" t="s">
        <v>152</v>
      </c>
    </row>
    <row r="12" spans="1:7" ht="22" customHeight="1">
      <c r="A12" s="4" t="s">
        <v>67</v>
      </c>
      <c r="B12" s="4"/>
      <c r="C12" s="4"/>
      <c r="D12" s="4"/>
      <c r="E12" s="4"/>
      <c r="F12" s="4"/>
      <c r="G12" s="4"/>
    </row>
    <row r="13" spans="1:7">
      <c r="A13" s="6" t="s">
        <v>55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1</v>
      </c>
      <c r="G13" s="6" t="s">
        <v>72</v>
      </c>
    </row>
    <row r="14" spans="1:7" ht="35.5" customHeight="1">
      <c r="A14" s="18" t="s">
        <v>79</v>
      </c>
      <c r="B14" s="8" t="s">
        <v>416</v>
      </c>
      <c r="C14" s="20"/>
      <c r="D14" s="21" cm="1" t="str">
        <f t="array" ref="D14">IFERROR(_xlfn.LET(_xlpm.a,'F3-4 Extremes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$58:$J$58),"✔ CLEAR","✘ TRY AGAIN"))),"✘ TRY AGAIN")</f>
        <v/>
      </c>
      <c r="E14" s="22"/>
      <c r="F14" s="23" cm="1" t="str">
        <f t="array" ref="F14">IF(E14="Show hint",Key!$B$58,"")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87</v>
      </c>
      <c r="B15" s="8" t="s">
        <v>418</v>
      </c>
      <c r="C15" s="20"/>
      <c r="D15" s="21" cm="1" t="str">
        <f t="array" ref="D15">IFERROR(_xlfn.LET(_xlpm.a,'F3-4 Extremes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$59:$J$59),"✔ CLEAR","✘ TRY AGAIN"))),"✘ TRY AGAIN")</f>
        <v/>
      </c>
      <c r="E15" s="22"/>
      <c r="F15" s="23" cm="1" t="str">
        <f t="array" ref="F15">IF(E15="Show hint",Key!$B$59,"")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95</v>
      </c>
      <c r="B16" s="8" t="s">
        <v>420</v>
      </c>
      <c r="C16" s="20"/>
      <c r="D16" s="21" cm="1" t="str">
        <f t="array" ref="D16">IFERROR(_xlfn.LET(_xlpm.a,'F3-4 Extremes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$60:$J$60),"✔ CLEAR","✘ TRY AGAIN"))),"✘ TRY AGAIN")</f>
        <v/>
      </c>
      <c r="E16" s="22"/>
      <c r="F16" s="23" cm="1" t="str">
        <f t="array" ref="F16">IF(E16="Show hint",Key!$B$60,"")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103</v>
      </c>
      <c r="B17" s="8" t="s">
        <v>424</v>
      </c>
      <c r="C17" s="20"/>
      <c r="D17" s="21" cm="1" t="str">
        <f t="array" ref="D17">IFERROR(_xlfn.LET(_xlpm.a,'F3-4 Extremes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$61:$E$61),"✔ CLEAR","✘ TRY AGAIN"))),"✘ TRY AGAIN")</f>
        <v/>
      </c>
      <c r="E17" s="22"/>
      <c r="F17" s="23" cm="1" t="str">
        <f t="array" ref="F17">IF(E17="Show hint",Key!$B$61,"")</f>
        <v/>
      </c>
      <c r="G17" s="24" cm="1">
        <f t="array" ref="G17">IF(LEFT(D17,1)="✔",IF(E17="Show hint",5,10),0)</f>
        <v>0</v>
      </c>
    </row>
    <row r="18" spans="1:7" ht="19.75" customHeight="1">
      <c r="A18" s="18" t="s">
        <v>111</v>
      </c>
      <c r="B18" s="8" t="s">
        <v>428</v>
      </c>
      <c r="C18" s="20"/>
      <c r="D18" s="21" cm="1" t="str">
        <f t="array" ref="D18">IFERROR(_xlfn.LET(_xlpm.a,'F3-4 Extremes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$62:$E$62),"✔ CLEAR","✘ TRY AGAIN"))),"✘ TRY AGAIN")</f>
        <v/>
      </c>
      <c r="E18" s="22"/>
      <c r="F18" s="23" cm="1" t="str">
        <f t="array" ref="F18">IF(E18="Show hint",Key!$B$62,"")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119</v>
      </c>
      <c r="B19" s="8" t="s">
        <v>433</v>
      </c>
      <c r="C19" s="20"/>
      <c r="D19" s="21" cm="1" t="str">
        <f t="array" ref="D19">IFERROR(_xlfn.LET(_xlpm.a,'F3-4 Extremes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$63:$F$63),"✔ CLEAR","✘ TRY AGAIN"))),"✘ TRY AGAIN")</f>
        <v/>
      </c>
      <c r="E19" s="22"/>
      <c r="F19" s="23" cm="1" t="str">
        <f t="array" ref="F19">IF(E19="Show hint",Key!$B$63,"")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125</v>
      </c>
      <c r="B20" s="8" t="s">
        <v>437</v>
      </c>
      <c r="C20" s="20"/>
      <c r="D20" s="21" cm="1" t="str">
        <f t="array" ref="D20">IFERROR(_xlfn.LET(_xlpm.a,'F3-4 Extremes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$64:$E$64),"✔ CLEAR","✘ TRY AGAIN"))),"✘ TRY AGAIN")</f>
        <v/>
      </c>
      <c r="E20" s="22"/>
      <c r="F20" s="23" cm="1" t="str">
        <f t="array" ref="F20">IF(E20="Show hint",Key!$B$64,"")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130</v>
      </c>
      <c r="B21" s="8" t="s">
        <v>441</v>
      </c>
      <c r="C21" s="20"/>
      <c r="D21" s="21" cm="1" t="str">
        <f t="array" ref="D21">IFERROR(_xlfn.LET(_xlpm.a,'F3-4 Extremes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$65:$E$65),"✔ CLEAR","✘ TRY AGAIN"))),"✘ TRY AGAIN")</f>
        <v/>
      </c>
      <c r="E21" s="22"/>
      <c r="F21" s="23" cm="1" t="str">
        <f t="array" ref="F21">IF(E21="Show hint",Key!$B$65,"")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135</v>
      </c>
      <c r="B22" s="8" t="s">
        <v>444</v>
      </c>
      <c r="C22" s="20"/>
      <c r="D22" s="21" cm="1" t="str">
        <f t="array" ref="D22">IFERROR(_xlfn.LET(_xlpm.a,'F3-4 Extremes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E$66),"✔ CLEAR","✘ TRY AGAIN"))),"✘ TRY AGAIN")</f>
        <v/>
      </c>
      <c r="E22" s="22"/>
      <c r="F22" s="23" cm="1" t="str">
        <f t="array" ref="F22">IF(E22="Show hint",Key!$B$66,"")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140</v>
      </c>
      <c r="B23" s="8" t="s">
        <v>449</v>
      </c>
      <c r="C23" s="20"/>
      <c r="D23" s="21" cm="1" t="str">
        <f t="array" ref="D23">IFERROR(_xlfn.LET(_xlpm.a,'F3-4 Extremes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F$67),"✔ CLEAR","✘ TRY AGAIN"))),"✘ TRY AGAIN")</f>
        <v/>
      </c>
      <c r="E23" s="22"/>
      <c r="F23" s="23" cm="1" t="str">
        <f t="array" ref="F23">IF(E23="Show hint",Key!$B$67,"")</f>
        <v/>
      </c>
      <c r="G23" s="24" cm="1">
        <f t="array" ref="G23">IF(LEFT(D23,1)="✔",IF(E23="Show hint",5,10),0)</f>
        <v>0</v>
      </c>
    </row>
    <row r="25" spans="1:7" ht="22" customHeight="1">
      <c r="A25" s="4" t="s">
        <v>142</v>
      </c>
      <c r="B25" s="4"/>
      <c r="C25" s="4"/>
      <c r="D25" s="4"/>
      <c r="E25" s="4"/>
      <c r="F25" s="4"/>
      <c r="G25" s="4"/>
    </row>
    <row r="26" spans="1:7">
      <c r="A26" s="6" t="s">
        <v>55</v>
      </c>
      <c r="B26" s="6" t="s">
        <v>68</v>
      </c>
      <c r="C26" s="6" t="s">
        <v>69</v>
      </c>
      <c r="D26" s="6" t="s">
        <v>70</v>
      </c>
      <c r="E26" s="6" t="s">
        <v>71</v>
      </c>
      <c r="F26" s="6" t="s">
        <v>1</v>
      </c>
      <c r="G26" s="6" t="s">
        <v>72</v>
      </c>
    </row>
    <row r="27" spans="1:7" ht="35.5" customHeight="1">
      <c r="A27" s="18" t="s">
        <v>148</v>
      </c>
      <c r="B27" s="8" t="s">
        <v>452</v>
      </c>
      <c r="C27" s="20"/>
      <c r="D27" s="21" cm="1" t="str">
        <f t="array" ref="D27">IFERROR(IF('F3-4 Extremes'!$C$27&amp;""="","",IF('F3-4 Extremes'!$C$27&amp;""=Key!$C$68&amp;"","✔ CLEAR","✘ TRY AGAIN")),"✘ TRY AGAIN")</f>
        <v/>
      </c>
      <c r="E27" s="22"/>
      <c r="F27" s="23" cm="1" t="str">
        <f t="array" ref="F27">IF(E27="Show hint",Key!$B$68,"")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154</v>
      </c>
      <c r="B28" s="8" t="s">
        <v>455</v>
      </c>
      <c r="C28" s="20"/>
      <c r="D28" s="21" cm="1" t="str">
        <f t="array" ref="D28">IFERROR(IF('F3-4 Extremes'!$C$28&amp;""="","",IF('F3-4 Extremes'!$C$28&amp;""=Key!$C$69&amp;"","✔ CLEAR","✘ TRY AGAIN")),"✘ TRY AGAIN")</f>
        <v/>
      </c>
      <c r="E28" s="22"/>
      <c r="F28" s="23" cm="1" t="str">
        <f t="array" ref="F28">IF(E28="Show hint",Key!$B$69,"")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158</v>
      </c>
      <c r="B29" s="8" t="s">
        <v>458</v>
      </c>
      <c r="C29" s="20"/>
      <c r="D29" s="21" cm="1" t="str">
        <f t="array" ref="D29">IFERROR(IF('F3-4 Extremes'!$C$29&amp;""="","",IF('F3-4 Extremes'!$C$29&amp;""=Key!$C$70&amp;"","✔ CLEAR","✘ TRY AGAIN")),"✘ TRY AGAIN")</f>
        <v/>
      </c>
      <c r="E29" s="22"/>
      <c r="F29" s="23" cm="1" t="str">
        <f t="array" ref="F29">IF(E29="Show hint",Key!$B$70,"")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461</v>
      </c>
      <c r="B30" s="8" t="s">
        <v>462</v>
      </c>
      <c r="C30" s="20"/>
      <c r="D30" s="21" cm="1" t="str">
        <f t="array" ref="D30">IFERROR(IF('F3-4 Extremes'!$C$30&amp;""="","",IF('F3-4 Extremes'!$C$30&amp;""=Key!$C$71&amp;"","✔ CLEAR","✘ TRY AGAIN")),"✘ TRY AGAIN")</f>
        <v/>
      </c>
      <c r="E30" s="22"/>
      <c r="F30" s="23" cm="1" t="str">
        <f t="array" ref="F30">IF(E30="Show hint",Key!$B$71,"")</f>
        <v/>
      </c>
      <c r="G30" s="24" cm="1">
        <f t="array" ref="G30">IF(LEFT(D30,1)="✔",IF(E30="Show hint",5,10),0)</f>
        <v>0</v>
      </c>
    </row>
    <row r="32" spans="1:7" ht="22" customHeight="1">
      <c r="A32" s="4" t="s">
        <v>160</v>
      </c>
      <c r="B32" s="4"/>
      <c r="C32" s="4"/>
      <c r="D32" s="4"/>
      <c r="E32" s="4"/>
      <c r="F32" s="4"/>
      <c r="G32" s="4"/>
    </row>
    <row r="33" spans="1:7">
      <c r="B33" s="11" t="s">
        <v>463</v>
      </c>
    </row>
    <row r="34" spans="1:7">
      <c r="A34" s="6" t="s">
        <v>55</v>
      </c>
      <c r="B34" s="6" t="s">
        <v>68</v>
      </c>
      <c r="C34" s="6" t="s">
        <v>69</v>
      </c>
      <c r="D34" s="6" t="s">
        <v>70</v>
      </c>
      <c r="E34" s="6" t="s">
        <v>71</v>
      </c>
      <c r="F34" s="6" t="s">
        <v>1</v>
      </c>
      <c r="G34" s="6" t="s">
        <v>72</v>
      </c>
    </row>
    <row r="35" spans="1:7" ht="35.5" customHeight="1">
      <c r="A35" s="18" t="s">
        <v>168</v>
      </c>
      <c r="B35" s="8" t="s">
        <v>452</v>
      </c>
      <c r="C35" s="20"/>
      <c r="D35" s="21" cm="1" t="str">
        <f t="array" ref="D35">IFERROR(_xlfn.LET(_xlpm.a,'F3-4 Extremes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$72:$J$72),"✔ CLEAR","✘ TRY AGAIN"))),"✘ TRY AGAIN")</f>
        <v/>
      </c>
      <c r="E35" s="22"/>
      <c r="F35" s="23" cm="1" t="str">
        <f t="array" ref="F35">IF(E35="Show hint",Key!$B$72,"")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170</v>
      </c>
      <c r="B36" s="8" t="s">
        <v>455</v>
      </c>
      <c r="C36" s="20"/>
      <c r="D36" s="21" cm="1" t="str">
        <f t="array" ref="D36">IFERROR(_xlfn.LET(_xlpm.a,'F3-4 Extremes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$73:$J$73),"✔ CLEAR","✘ TRY AGAIN"))),"✘ TRY AGAIN")</f>
        <v/>
      </c>
      <c r="E36" s="22"/>
      <c r="F36" s="23" cm="1" t="str">
        <f t="array" ref="F36">IF(E36="Show hint",Key!$B$73,"")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175</v>
      </c>
      <c r="B37" s="8" t="s">
        <v>479</v>
      </c>
      <c r="C37" s="20"/>
      <c r="D37" s="21" cm="1" t="str">
        <f t="array" ref="D37">IFERROR(_xlfn.LET(_xlpm.a,'F3-4 Extremes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$74:$F$74),"✔ CLEAR","✘ TRY AGAIN"))),"✘ TRY AGAIN")</f>
        <v/>
      </c>
      <c r="E37" s="22"/>
      <c r="F37" s="23" cm="1" t="str">
        <f t="array" ref="F37">IF(E37="Show hint",Key!$B$74,"")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179</v>
      </c>
      <c r="B38" s="8" t="s">
        <v>482</v>
      </c>
      <c r="C38" s="20"/>
      <c r="D38" s="21" cm="1" t="str">
        <f t="array" ref="D38">IFERROR(_xlfn.LET(_xlpm.a,'F3-4 Extremes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$75:$F$75),"✔ CLEAR","✘ TRY AGAIN"))),"✘ TRY AGAIN")</f>
        <v/>
      </c>
      <c r="E38" s="22"/>
      <c r="F38" s="23" cm="1" t="str">
        <f t="array" ref="F38">IF(E38="Show hint",Key!$B$75,"")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184</v>
      </c>
      <c r="B39" s="8" t="s">
        <v>485</v>
      </c>
      <c r="C39" s="11" t="s">
        <v>486</v>
      </c>
      <c r="D39" s="21" cm="1" t="str">
        <f t="array" ref="D39">IF(ISBLANK('F3-4 Arena'!$M$6),"",IF(NOT(_xlfn.ISFORMULA('F3-4 Arena'!$M$6)),"✘ That's a typed value · enter a formula",IF(ISERROR('F3-4 Arena'!$M$6),"✘ Your formula returns "&amp;IFERROR(CHOOSE(ERROR.TYPE('F3-4 Arena'!$M$6),"#NULL!","#DIV/0!","#VALUE!","#REF!","#NAME?","#NUM!","#N/A","#GETTING_DATA","#SPILL!","#CONNECT!","#BLOCKED!","#UNKNOWN!","#FIELD!","#CALC!"),"an error"),IF(NOT(AND(IFERROR(AND(ISNUMBER('F3-4 Arena'!$M$6),ABS('F3-4 Arena'!$M$6-Key!$C$76)&lt;=1E-9*MAX(1,ABS(Key!$C$76))),FALSE))),"✘ TRY AGAIN",IF(AND(OR(ISNUMBER(FIND({"=","(",",","+","-","*","/","&amp;"," ","&lt;","&gt;",":","@","^"}&amp;"MAXIFS"&amp;"(",UPPER(_xlfn.FORMULATEXT('F3-4 Arena'!$M$6)))))),"✔ CLEAR","✘ CLOSE · right value, but use MAXIFS")))))</f>
        <v/>
      </c>
      <c r="E39" s="22"/>
      <c r="F39" s="23" cm="1" t="str">
        <f t="array" ref="F39">IF(E39="Show hint",Key!$B$76,"")</f>
        <v/>
      </c>
      <c r="G39" s="24" cm="1">
        <f t="array" ref="G39">IF(LEFT(D39,1)="✔",IF(E39="Show hint",5,10),0)</f>
        <v>0</v>
      </c>
    </row>
    <row r="40" spans="1:7" ht="35.5" customHeight="1">
      <c r="A40" s="18" t="s">
        <v>189</v>
      </c>
      <c r="B40" s="8" t="s">
        <v>489</v>
      </c>
      <c r="C40" s="11" t="s">
        <v>490</v>
      </c>
      <c r="D40" s="21" cm="1" t="str">
        <f t="array" ref="D40">IF(ISBLANK('F3-4 Arena'!$M$7),"",IF(NOT(_xlfn.ISFORMULA('F3-4 Arena'!$M$7)),"✘ That's a typed value · enter a formula",IF(ISERROR('F3-4 Arena'!$M$7),"✘ Your formula returns "&amp;IFERROR(CHOOSE(ERROR.TYPE('F3-4 Arena'!$M$7),"#NULL!","#DIV/0!","#VALUE!","#REF!","#NAME?","#NUM!","#N/A","#GETTING_DATA","#SPILL!","#CONNECT!","#BLOCKED!","#UNKNOWN!","#FIELD!","#CALC!"),"an error"),IF(NOT(AND(IFERROR(AND(ISNUMBER('F3-4 Arena'!$M$7),ABS('F3-4 Arena'!$M$7-Key!$C$77)&lt;=1E-9*MAX(1,ABS(Key!$C$77))),FALSE))),"✘ TRY AGAIN",IF(AND(OR(ISNUMBER(FIND({"=","(",",","+","-","*","/","&amp;"," ","&lt;","&gt;",":","@","^"}&amp;"MINIFS"&amp;"(",UPPER(_xlfn.FORMULATEXT('F3-4 Arena'!$M$7)))))),"✔ CLEAR","✘ CLOSE · right value, but use MINIFS")))))</f>
        <v/>
      </c>
      <c r="E40" s="22"/>
      <c r="F40" s="23" cm="1" t="str">
        <f t="array" ref="F40">IF(E40="Show hint",Key!$B$77,"")</f>
        <v/>
      </c>
      <c r="G40" s="24" cm="1">
        <f t="array" ref="G40">IF(LEFT(D40,1)="✔",IF(E40="Show hint",5,10),0)</f>
        <v>0</v>
      </c>
    </row>
    <row r="41" spans="1:7" ht="51.25" customHeight="1">
      <c r="A41" s="18" t="s">
        <v>194</v>
      </c>
      <c r="B41" s="8" t="s">
        <v>493</v>
      </c>
      <c r="C41" s="11" t="s">
        <v>494</v>
      </c>
      <c r="D41" s="21" cm="1" t="str">
        <f t="array" ref="D41">IF(ISBLANK('F3-4 Arena'!$M$8),"",IF(NOT(_xlfn.ISFORMULA('F3-4 Arena'!$M$8)),"✘ That's a typed value · enter a formula",IF(ISERROR('F3-4 Arena'!$M$8),"✘ Your formula returns "&amp;IFERROR(CHOOSE(ERROR.TYPE('F3-4 Arena'!$M$8),"#NULL!","#DIV/0!","#VALUE!","#REF!","#NAME?","#NUM!","#N/A","#GETTING_DATA","#SPILL!","#CONNECT!","#BLOCKED!","#UNKNOWN!","#FIELD!","#CALC!"),"an error"),IF(NOT(AND(IFERROR(AND(ISNUMBER('F3-4 Arena'!$M$8),ABS('F3-4 Arena'!$M$8-Key!$C$78)&lt;=1E-9*MAX(1,ABS(Key!$C$78))),FALSE))),"✘ TRY AGAIN",IF(AND(OR(ISNUMBER(FIND({"=","(",",","+","-","*","/","&amp;"," ","&lt;","&gt;",":","@","^"}&amp;"COUNTIF"&amp;"(",UPPER(_xlfn.FORMULATEXT('F3-4 Arena'!$M$8)))))),IF(ISNUMBER(FIND("&amp;",_xlfn.FORMULATEXT('F3-4 Arena'!$M$8))),"✔ CLEAR","✘ CLOSE · your formula needs &amp;"),"✘ CLOSE · right value, but use COUNTIF")))))</f>
        <v/>
      </c>
      <c r="E41" s="22"/>
      <c r="F41" s="23" cm="1" t="str">
        <f t="array" ref="F41">IF(E41="Show hint",Key!$B$78,"")</f>
        <v/>
      </c>
      <c r="G41" s="24" cm="1">
        <f t="array" ref="G41">IF(LEFT(D41,1)="✔",IF(E41="Show hint",5,10),0)</f>
        <v>0</v>
      </c>
    </row>
    <row r="42" spans="1:7" ht="51.25" customHeight="1">
      <c r="A42" s="18" t="s">
        <v>497</v>
      </c>
      <c r="B42" s="8" t="s">
        <v>498</v>
      </c>
      <c r="C42" s="11" t="s">
        <v>499</v>
      </c>
      <c r="D42" s="21" cm="1" t="str">
        <f t="array" ref="D42">IF(ISBLANK('F3-4 Arena'!$M$9),"",IF(NOT(_xlfn.ISFORMULA('F3-4 Arena'!$M$9)),"✘ That's a typed value · enter a formula",IF(ISERROR('F3-4 Arena'!$M$9),"✘ Your formula returns "&amp;IFERROR(CHOOSE(ERROR.TYPE('F3-4 Arena'!$M$9),"#NULL!","#DIV/0!","#VALUE!","#REF!","#NAME?","#NUM!","#N/A","#GETTING_DATA","#SPILL!","#CONNECT!","#BLOCKED!","#UNKNOWN!","#FIELD!","#CALC!"),"an error"),IF(NOT(AND(IFERROR(AND(ISNUMBER('F3-4 Arena'!$M$9),ABS('F3-4 Arena'!$M$9-Key!$C$79)&lt;=1E-9*MAX(1,ABS(Key!$C$79))),FALSE))),"✘ TRY AGAIN",IF(AND(OR(ISNUMBER(FIND({"=","(",",","+","-","*","/","&amp;"," ","&lt;","&gt;",":","@","^"}&amp;"SUMIFS"&amp;"(",UPPER(_xlfn.FORMULATEXT('F3-4 Arena'!$M$9)))))),IF(ISNUMBER(FIND("&amp;",_xlfn.FORMULATEXT('F3-4 Arena'!$M$9))),"✔ CLEAR","✘ CLOSE · your formula needs &amp;"),"✘ CLOSE · right value, but use SUMIFS")))))</f>
        <v/>
      </c>
      <c r="E42" s="22"/>
      <c r="F42" s="23" cm="1" t="str">
        <f t="array" ref="F42">IF(E42="Show hint",Key!$B$79,"")</f>
        <v/>
      </c>
      <c r="G42" s="24" cm="1">
        <f t="array" ref="G42">IF(LEFT(D42,1)="✔",IF(E42="Show hint",5,10),0)</f>
        <v>0</v>
      </c>
    </row>
  </sheetData>
  <sheetProtection sheet="1" objects="1" scenarios="1" formatColumns="0" formatRows="0"/>
  <conditionalFormatting sqref="D14:D42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40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Key!$E$68:$H$68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Key!$E$69:$H$69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Key!$E$70:$H$70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Key!$E$71:$H$71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</dataValidations>
  <hyperlinks>
    <hyperlink ref="B33" location="'F3-4 Arena'!A1" display="▶ Open F3-4 Arena (or press Ctrl+PgDn)"/>
    <hyperlink ref="C39" location="'F3-4 Arena'!M6" tooltip="Go to F3-4 Arena, cell M6" display="▶ ARENA C5 (cell M6)"/>
    <hyperlink ref="C40" location="'F3-4 Arena'!M7" tooltip="Go to F3-4 Arena, cell M7" display="▶ ARENA C6 (cell M7)"/>
    <hyperlink ref="C41" location="'F3-4 Arena'!M8" tooltip="Go to F3-4 Arena, cell M8" display="▶ ARENA C7 (cell M8)"/>
    <hyperlink ref="C42" location="'F3-4 Arena'!M9" tooltip="Go to F3-4 Arena, cell M9" display="▶ ARENA C8 (cell M9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11" width="13.7109375" customWidth="1"/>
    <col min="12" max="12" width="30.7109375" customWidth="1"/>
    <col min="13" max="26" width="13.7109375" customWidth="1"/>
  </cols>
  <sheetData>
    <row r="1" spans="1:13">
      <c r="A1" s="1" t="s">
        <v>403</v>
      </c>
    </row>
    <row r="2" spans="1:13">
      <c r="A2" s="3" t="s">
        <v>5</v>
      </c>
    </row>
    <row r="3" spans="1:13">
      <c r="A3" s="25" t="s">
        <v>6</v>
      </c>
      <c r="B3" s="26" t="s">
        <v>404</v>
      </c>
      <c r="D3" s="11" t="s">
        <v>405</v>
      </c>
    </row>
    <row r="5" spans="1:13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7" t="s">
        <v>47</v>
      </c>
    </row>
    <row r="6" spans="1:13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5">
        <v>40</v>
      </c>
      <c r="L6" s="5" t="s">
        <v>406</v>
      </c>
      <c r="M6" s="29"/>
    </row>
    <row r="7" spans="1:13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  <c r="L7" s="5" t="s">
        <v>407</v>
      </c>
      <c r="M7" s="29"/>
    </row>
    <row r="8" spans="1:13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  <c r="K8" s="7" t="s">
        <v>48</v>
      </c>
      <c r="L8" s="5" t="s">
        <v>408</v>
      </c>
      <c r="M8" s="29"/>
    </row>
    <row r="9" spans="1:13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  <c r="K9" s="28">
        <v>46054</v>
      </c>
      <c r="L9" s="5" t="s">
        <v>409</v>
      </c>
      <c r="M9" s="29"/>
    </row>
    <row r="10" spans="1:13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  <c r="K10" s="7" t="s">
        <v>49</v>
      </c>
    </row>
    <row r="11" spans="1:13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  <c r="K11" s="28">
        <v>46112</v>
      </c>
    </row>
    <row r="12" spans="1:13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</row>
    <row r="13" spans="1:13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</row>
    <row r="14" spans="1:13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</row>
    <row r="15" spans="1:13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13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8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8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8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</row>
    <row r="20" spans="2:8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</row>
    <row r="21" spans="2:8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8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8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8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8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</sheetData>
  <hyperlinks>
    <hyperlink ref="D3" location="'F3-4 Extremes'!A1" display="◀ Back to F3-4 Extremes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572</v>
      </c>
      <c r="B1" s="2"/>
      <c r="C1" s="2"/>
      <c r="D1" s="2"/>
      <c r="E1" s="2"/>
      <c r="F1" s="2"/>
      <c r="G1" s="2"/>
    </row>
    <row r="2" spans="1:7">
      <c r="A2" s="3" t="s">
        <v>573</v>
      </c>
    </row>
    <row r="3" spans="1:7" ht="26" customHeight="1">
      <c r="A3" s="14" cm="1" t="str">
        <f t="array" ref="A3">"SCORE "&amp;TEXT(SUM($G$14:$G$33),"0000")&amp;" / 0160"</f>
        <v>SCORE 0000 / 0160</v>
      </c>
      <c r="C3" s="15" cm="1" t="str">
        <f t="array" ref="C3">IF(SUM($G$14:$G$33)&gt;=160,"★★★",IF(SUM($G$14:$G$33)&gt;=160*0.8,"★★☆",IF(SUM($G$14:$G$33)&gt;=160*0.5,"★☆☆","☆☆☆")))</f>
        <v>☆☆☆</v>
      </c>
      <c r="D3" s="16" cm="1" t="str">
        <f t="array" ref="D3">REPT("█",ROUND(10*SUM($G$14:$G$33)/160,0))&amp;REPT("░",10-ROUND(10*SUM($G$14:$G$33)/160,0))&amp;"  "&amp;TEXT(SUM($G$14:$G$33)/160,"0%")</f>
        <v>░░░░░░░░░░  0%</v>
      </c>
    </row>
    <row r="5" spans="1:7" ht="22" customHeight="1">
      <c r="A5" s="4" t="s">
        <v>511</v>
      </c>
      <c r="B5" s="4"/>
      <c r="C5" s="4"/>
      <c r="D5" s="4"/>
      <c r="E5" s="4"/>
      <c r="F5" s="4"/>
      <c r="G5" s="4"/>
    </row>
    <row r="6" spans="1:7">
      <c r="B6" s="7" t="s">
        <v>512</v>
      </c>
      <c r="C6" s="30"/>
    </row>
    <row r="7" spans="1:7">
      <c r="B7" s="7" t="s">
        <v>513</v>
      </c>
      <c r="C7" s="30"/>
    </row>
    <row r="8" spans="1:7">
      <c r="B8" s="7" t="s">
        <v>514</v>
      </c>
      <c r="C8" s="31" cm="1" t="str">
        <f t="array" ref="C8">IF(OR(C6="",C7=""),"",ROUND(MOD(C7-C6,1)*1440,0))</f>
        <v/>
      </c>
    </row>
    <row r="9" spans="1:7">
      <c r="B9" s="7" t="s">
        <v>515</v>
      </c>
      <c r="C9" s="31">
        <v>15</v>
      </c>
    </row>
    <row r="10" spans="1:7">
      <c r="B10" s="7" t="s">
        <v>516</v>
      </c>
      <c r="C10" s="12" cm="1" t="str">
        <f t="array" ref="C10">IF(AND(SUM('F3-1 Counters'!$G$13:$G$39)&gt;=200*0.5,SUM('F3-2 Money Bags'!$G$12:$G$35)&gt;=170*0.5,SUM('F3-3 Multi-Filter'!$G$13:$G$38)&gt;=190*0.5,SUM('F3-4 Extremes'!$G$14:$G$42)&gt;=220*0.5),"OPEN","LOCKED")</f>
        <v>LOCKED</v>
      </c>
      <c r="D10" s="32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517</v>
      </c>
      <c r="B12" s="4"/>
      <c r="C12" s="4"/>
      <c r="D12" s="4"/>
      <c r="E12" s="4"/>
      <c r="F12" s="4"/>
      <c r="G12" s="4"/>
    </row>
    <row r="13" spans="1:7">
      <c r="A13" s="6" t="s">
        <v>55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1</v>
      </c>
      <c r="G13" s="6" t="s">
        <v>72</v>
      </c>
    </row>
    <row r="14" spans="1:7" ht="35.5" customHeight="1">
      <c r="A14" s="18" t="s">
        <v>519</v>
      </c>
      <c r="B14" s="32" cm="1" t="str">
        <f t="array" ref="B14">IF($C$10="OPEN","Which function returns the largest value that meets conditions?  (from F3-4 Extremes)","LOCKED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$80:$J$80),"✔ CLEAR","✘ TRY AGAIN"))),"✘ TRY AGAIN"),"LOCKED")</f>
        <v>LOCKED</v>
      </c>
      <c r="E14" s="22"/>
      <c r="F14" s="23" cm="1" t="str">
        <f t="array" ref="F14">IF(E14="Show hint",Key!$B$80,"")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521</v>
      </c>
      <c r="B15" s="32" cm="1" t="str">
        <f t="array" ref="B15">IF($C$10="OPEN","Which function returns the smallest value that meets conditions?  (from F3-4 Extremes)","LOCKED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J$81),"✔ CLEAR","✘ TRY AGAIN"))),"✘ TRY AGAIN"),"LOCKED")</f>
        <v>LOCKED</v>
      </c>
      <c r="E15" s="22"/>
      <c r="F15" s="23" cm="1" t="str">
        <f t="array" ref="F15">IF(E15="Show hint",Key!$B$81,"")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523</v>
      </c>
      <c r="B16" s="32" cm="1" t="str">
        <f t="array" ref="B16">IF($C$10="OPEN","Which character joins ""&gt;="" to a cell reference in criteria?  (from F3-4 Extremes)","LOCKED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$82:$F$82),"✔ CLEAR","✘ TRY AGAIN"))),"✘ TRY AGAIN"),"LOCKED")</f>
        <v>LOCKED</v>
      </c>
      <c r="E16" s="22"/>
      <c r="F16" s="23" cm="1" t="str">
        <f t="array" ref="F16">IF(E16="Show hint",Key!$B$82,"")</f>
        <v/>
      </c>
      <c r="G16" s="24" cm="1">
        <f t="array" ref="G16">IF(LEFT(D16,1)="✔",IF(E16="Show hint",5,10),0)</f>
        <v>0</v>
      </c>
    </row>
    <row r="17" spans="1:7" ht="51.25" customHeight="1">
      <c r="A17" s="18" t="s">
        <v>358</v>
      </c>
      <c r="B17" s="32" cm="1" t="str">
        <f t="array" ref="B17">IF($C$10="OPEN","How many range/criteria pairs do you need for 'dates between a start and an end'?  (from F3-4 Extremes)","LOCKED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$83:$F$83),"✔ CLEAR","✘ TRY AGAIN"))),"✘ TRY AGAIN"),"LOCKED")</f>
        <v>LOCKED</v>
      </c>
      <c r="E17" s="22"/>
      <c r="F17" s="23" cm="1" t="str">
        <f t="array" ref="F17">IF(E17="Show hint",Key!$B$83,"")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526</v>
      </c>
      <c r="B18" s="32" cm="1" t="str">
        <f t="array" ref="B18">IF($C$10="OPEN","Which function counts cells that meet one condition?  (from F3-1 Counters)","LOCKED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$84:$J$84),"✔ CLEAR","✘ TRY AGAIN"))),"✘ TRY AGAIN"),"LOCKED")</f>
        <v>LOCKED</v>
      </c>
      <c r="E18" s="22"/>
      <c r="F18" s="23" cm="1" t="str">
        <f t="array" ref="F18">IF(E18="Show hint",Key!$B$84,"")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528</v>
      </c>
      <c r="B19" s="32" cm="1" t="str">
        <f t="array" ref="B19">IF($C$10="OPEN","Type the COUNTIF criteria for ""greater than 50"", quotes included.  (from F3-1 Counters)","LOCKED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$85:$E$85),"✔ CLEAR","✘ TRY AGAIN"))),"✘ TRY AGAIN"),"LOCKED")</f>
        <v>LOCKED</v>
      </c>
      <c r="E19" s="22"/>
      <c r="F19" s="23" cm="1" t="str">
        <f t="array" ref="F19">IF(E19="Show hint",Key!$B$85,"")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530</v>
      </c>
      <c r="B20" s="32" cm="1" t="str">
        <f t="array" ref="B20">IF($C$10="OPEN","Which wildcard matches any number of characters?  (from F3-1 Counters)","LOCKED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$86:$F$86),"✔ CLEAR","✘ TRY AGAIN"))),"✘ TRY AGAIN"),"LOCKED")</f>
        <v>LOCKED</v>
      </c>
      <c r="E20" s="22"/>
      <c r="F20" s="23" cm="1" t="str">
        <f t="array" ref="F20">IF(E20="Show hint",Key!$B$86,"")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540</v>
      </c>
      <c r="B21" s="32" cm="1" t="str">
        <f t="array" ref="B21">IF($C$10="OPEN","Which keys type the current time as a fixed value?  (from S2-3 Stamps &amp; Smart Fill)","LOCKED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$87:$K$87),"✔ CLEAR","✘ TRY AGAIN"))),"✘ TRY AGAIN"),"LOCKED")</f>
        <v>LOCKED</v>
      </c>
      <c r="E21" s="22"/>
      <c r="F21" s="23" cm="1" t="str">
        <f t="array" ref="F21">IF(E21="Show hint",Key!$B$87,"")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541</v>
      </c>
      <c r="B23" s="4"/>
      <c r="C23" s="4"/>
      <c r="D23" s="4"/>
      <c r="E23" s="4"/>
      <c r="F23" s="4"/>
      <c r="G23" s="4"/>
    </row>
    <row r="24" spans="1:7">
      <c r="B24" s="11" t="s">
        <v>542</v>
      </c>
    </row>
    <row r="25" spans="1:7">
      <c r="A25" s="6" t="s">
        <v>55</v>
      </c>
      <c r="B25" s="6" t="s">
        <v>68</v>
      </c>
      <c r="C25" s="6" t="s">
        <v>69</v>
      </c>
      <c r="D25" s="6" t="s">
        <v>70</v>
      </c>
      <c r="E25" s="6" t="s">
        <v>71</v>
      </c>
      <c r="F25" s="6" t="s">
        <v>1</v>
      </c>
      <c r="G25" s="6" t="s">
        <v>72</v>
      </c>
    </row>
    <row r="26" spans="1:7" ht="35.5" customHeight="1">
      <c r="A26" s="18" t="s">
        <v>545</v>
      </c>
      <c r="B26" s="32" cm="1" t="str">
        <f t="array" ref="B26">IF($C$10="OPEN","In M6 count the North orders.","LOCKED · earn ★ on every stage to open the Boss gate")</f>
        <v>LOCKED · earn ★ on every stage to open the Boss gate</v>
      </c>
      <c r="C26" s="11" t="s">
        <v>546</v>
      </c>
      <c r="D26" s="21" cm="1" t="str">
        <f t="array" ref="D26">IF($C$10="OPEN",IF(ISBLANK('Boss Arena'!$M$6),"",IF(NOT(_xlfn.ISFORMULA('Boss Arena'!$M$6)),"✘ That's a typed value · enter a formula",IF(ISERROR('Boss Arena'!$M$6),"✘ Your formula returns "&amp;IFERROR(CHOOSE(ERROR.TYPE('Boss Arena'!$M$6),"#NULL!","#DIV/0!","#VALUE!","#REF!","#NAME?","#NUM!","#N/A","#GETTING_DATA","#SPILL!","#CONNECT!","#BLOCKED!","#UNKNOWN!","#FIELD!","#CALC!"),"an error"),IF(NOT(AND(IFERROR(AND(ISNUMBER('Boss Arena'!$M$6),ABS('Boss Arena'!$M$6-Key!$C$88)&lt;=1E-9*MAX(1,ABS(Key!$C$88))),FALSE))),"✘ TRY AGAIN",IF(AND(OR(ISNUMBER(FIND({"=","(",",","+","-","*","/","&amp;"," ","&lt;","&gt;",":","@","^"}&amp;"COUNTIF"&amp;"(",UPPER(_xlfn.FORMULATEXT('Boss Arena'!$M$6)))))),"✔ CLEAR","✘ CLOSE · right value, but use COUNTIF"))))),"LOCKED")</f>
        <v>LOCKED</v>
      </c>
      <c r="E26" s="22"/>
      <c r="F26" s="23" cm="1" t="str">
        <f t="array" ref="F26">IF(E26="Show hint",Key!$B$88,"")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549</v>
      </c>
      <c r="B27" s="32" cm="1" t="str">
        <f t="array" ref="B27">IF($C$10="OPEN","In M7 add the Revenue of all Gadget orders.","LOCKED · earn ★ on every stage to open the Boss gate")</f>
        <v>LOCKED · earn ★ on every stage to open the Boss gate</v>
      </c>
      <c r="C27" s="11" t="s">
        <v>550</v>
      </c>
      <c r="D27" s="21" cm="1" t="str">
        <f t="array" ref="D27">IF($C$10="OPEN",IF(ISBLANK('Boss Arena'!$M$7),"",IF(NOT(_xlfn.ISFORMULA('Boss Arena'!$M$7)),"✘ That's a typed value · enter a formula",IF(ISERROR('Boss Arena'!$M$7),"✘ Your formula returns "&amp;IFERROR(CHOOSE(ERROR.TYPE('Boss Arena'!$M$7),"#NULL!","#DIV/0!","#VALUE!","#REF!","#NAME?","#NUM!","#N/A","#GETTING_DATA","#SPILL!","#CONNECT!","#BLOCKED!","#UNKNOWN!","#FIELD!","#CALC!"),"an error"),IF(NOT(AND(IFERROR(AND(ISNUMBER('Boss Arena'!$M$7),ABS('Boss Arena'!$M$7-Key!$C$89)&lt;=1E-9*MAX(1,ABS(Key!$C$89))),FALSE))),"✘ TRY AGAIN",IF(AND(OR(ISNUMBER(FIND({"=","(",",","+","-","*","/","&amp;"," ","&lt;","&gt;",":","@","^"}&amp;"SUMIF"&amp;"(",UPPER(_xlfn.FORMULATEXT('Boss Arena'!$M$7)))))),"✔ CLEAR","✘ CLOSE · right value, but use SUMIF"))))),"LOCKED")</f>
        <v>LOCKED</v>
      </c>
      <c r="E27" s="22"/>
      <c r="F27" s="23" cm="1" t="str">
        <f t="array" ref="F27">IF(E27="Show hint",Key!$B$89,"")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552</v>
      </c>
      <c r="B28" s="32" cm="1" t="str">
        <f t="array" ref="B28">IF($C$10="OPEN","In M8 average Lee's Units.","LOCKED · earn ★ on every stage to open the Boss gate")</f>
        <v>LOCKED · earn ★ on every stage to open the Boss gate</v>
      </c>
      <c r="C28" s="11" t="s">
        <v>553</v>
      </c>
      <c r="D28" s="21" cm="1" t="str">
        <f t="array" ref="D28">IF($C$10="OPEN",IF(ISBLANK('Boss Arena'!$M$8),"",IF(NOT(_xlfn.ISFORMULA('Boss Arena'!$M$8)),"✘ That's a typed value · enter a formula",IF(ISERROR('Boss Arena'!$M$8),"✘ Your formula returns "&amp;IFERROR(CHOOSE(ERROR.TYPE('Boss Arena'!$M$8),"#NULL!","#DIV/0!","#VALUE!","#REF!","#NAME?","#NUM!","#N/A","#GETTING_DATA","#SPILL!","#CONNECT!","#BLOCKED!","#UNKNOWN!","#FIELD!","#CALC!"),"an error"),IF(NOT(AND(IFERROR(AND(ISNUMBER('Boss Arena'!$M$8),ABS('Boss Arena'!$M$8-Key!$C$90)&lt;=1E-9*MAX(1,ABS(Key!$C$90))),FALSE))),"✘ TRY AGAIN",IF(AND(OR(ISNUMBER(FIND({"=","(",",","+","-","*","/","&amp;"," ","&lt;","&gt;",":","@","^"}&amp;"AVERAGEIF"&amp;"(",UPPER(_xlfn.FORMULATEXT('Boss Arena'!$M$8)))))),"✔ CLEAR","✘ CLOSE · right value, but use AVERAGEIF"))))),"LOCKED")</f>
        <v>LOCKED</v>
      </c>
      <c r="E28" s="22"/>
      <c r="F28" s="23" cm="1" t="str">
        <f t="array" ref="F28">IF(E28="Show hint",Key!$B$90,"")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556</v>
      </c>
      <c r="B29" s="32" cm="1" t="str">
        <f t="array" ref="B29">IF($C$10="OPEN","In M9 count South orders with more than 20 units.","LOCKED · earn ★ on every stage to open the Boss gate")</f>
        <v>LOCKED · earn ★ on every stage to open the Boss gate</v>
      </c>
      <c r="C29" s="11" t="s">
        <v>557</v>
      </c>
      <c r="D29" s="21" cm="1" t="str">
        <f t="array" ref="D29">IF($C$10="OPEN",IF(ISBLANK('Boss Arena'!$M$9),"",IF(NOT(_xlfn.ISFORMULA('Boss Arena'!$M$9)),"✘ That's a typed value · enter a formula",IF(ISERROR('Boss Arena'!$M$9),"✘ Your formula returns "&amp;IFERROR(CHOOSE(ERROR.TYPE('Boss Arena'!$M$9),"#NULL!","#DIV/0!","#VALUE!","#REF!","#NAME?","#NUM!","#N/A","#GETTING_DATA","#SPILL!","#CONNECT!","#BLOCKED!","#UNKNOWN!","#FIELD!","#CALC!"),"an error"),IF(NOT(AND(IFERROR(AND(ISNUMBER('Boss Arena'!$M$9),ABS('Boss Arena'!$M$9-Key!$C$91)&lt;=1E-9*MAX(1,ABS(Key!$C$91))),FALSE))),"✘ TRY AGAIN",IF(AND(OR(ISNUMBER(FIND({"=","(",",","+","-","*","/","&amp;"," ","&lt;","&gt;",":","@","^"}&amp;"COUNTIFS"&amp;"(",UPPER(_xlfn.FORMULATEXT('Boss Arena'!$M$9)))))),"✔ CLEAR","✘ CLOSE · right value, but use COUNTIFS"))))),"LOCKED")</f>
        <v>LOCKED</v>
      </c>
      <c r="E29" s="22"/>
      <c r="F29" s="23" cm="1" t="str">
        <f t="array" ref="F29">IF(E29="Show hint",Key!$B$91,"")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560</v>
      </c>
      <c r="B30" s="32" cm="1" t="str">
        <f t="array" ref="B30">IF($C$10="OPEN","In M10 add the Revenue of Raj's Gizmo orders.","LOCKED · earn ★ on every stage to open the Boss gate")</f>
        <v>LOCKED · earn ★ on every stage to open the Boss gate</v>
      </c>
      <c r="C30" s="11" t="s">
        <v>561</v>
      </c>
      <c r="D30" s="21" cm="1" t="str">
        <f t="array" ref="D30">IF($C$10="OPEN",IF(ISBLANK('Boss Arena'!$M$10),"",IF(NOT(_xlfn.ISFORMULA('Boss Arena'!$M$10)),"✘ That's a typed value · enter a formula",IF(ISERROR('Boss Arena'!$M$10),"✘ Your formula returns "&amp;IFERROR(CHOOSE(ERROR.TYPE('Boss Arena'!$M$10),"#NULL!","#DIV/0!","#VALUE!","#REF!","#NAME?","#NUM!","#N/A","#GETTING_DATA","#SPILL!","#CONNECT!","#BLOCKED!","#UNKNOWN!","#FIELD!","#CALC!"),"an error"),IF(NOT(AND(IFERROR(AND(ISNUMBER('Boss Arena'!$M$10),ABS('Boss Arena'!$M$10-Key!$C$92)&lt;=1E-9*MAX(1,ABS(Key!$C$92))),FALSE))),"✘ TRY AGAIN",IF(AND(OR(ISNUMBER(FIND({"=","(",",","+","-","*","/","&amp;"," ","&lt;","&gt;",":","@","^"}&amp;"SUMIFS"&amp;"(",UPPER(_xlfn.FORMULATEXT('Boss Arena'!$M$10)))))),"✔ CLEAR","✘ CLOSE · right value, but use SUMIFS"))))),"LOCKED")</f>
        <v>LOCKED</v>
      </c>
      <c r="E30" s="22"/>
      <c r="F30" s="23" cm="1" t="str">
        <f t="array" ref="F30">IF(E30="Show hint",Key!$B$92,"")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563</v>
      </c>
      <c r="B31" s="32" cm="1" t="str">
        <f t="array" ref="B31">IF($C$10="OPEN","In M11 find the smallest Units among East orders.","LOCKED · earn ★ on every stage to open the Boss gate")</f>
        <v>LOCKED · earn ★ on every stage to open the Boss gate</v>
      </c>
      <c r="C31" s="11" t="s">
        <v>564</v>
      </c>
      <c r="D31" s="21" cm="1" t="str">
        <f t="array" ref="D31">IF($C$10="OPEN",IF(ISBLANK('Boss Arena'!$M$11),"",IF(NOT(_xlfn.ISFORMULA('Boss Arena'!$M$11)),"✘ That's a typed value · enter a formula",IF(ISERROR('Boss Arena'!$M$11),"✘ Your formula returns "&amp;IFERROR(CHOOSE(ERROR.TYPE('Boss Arena'!$M$11),"#NULL!","#DIV/0!","#VALUE!","#REF!","#NAME?","#NUM!","#N/A","#GETTING_DATA","#SPILL!","#CONNECT!","#BLOCKED!","#UNKNOWN!","#FIELD!","#CALC!"),"an error"),IF(NOT(AND(IFERROR(AND(ISNUMBER('Boss Arena'!$M$11),ABS('Boss Arena'!$M$11-Key!$C$93)&lt;=1E-9*MAX(1,ABS(Key!$C$93))),FALSE))),"✘ TRY AGAIN",IF(AND(OR(ISNUMBER(FIND({"=","(",",","+","-","*","/","&amp;"," ","&lt;","&gt;",":","@","^"}&amp;"MINIFS"&amp;"(",UPPER(_xlfn.FORMULATEXT('Boss Arena'!$M$11)))))),"✔ CLEAR","✘ CLOSE · right value, but use MINIFS"))))),"LOCKED")</f>
        <v>LOCKED</v>
      </c>
      <c r="E31" s="22"/>
      <c r="F31" s="23" cm="1" t="str">
        <f t="array" ref="F31">IF(E31="Show hint",Key!$B$93,"")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566</v>
      </c>
      <c r="B32" s="32" cm="1" t="str">
        <f t="array" ref="B32">IF($C$10="OPEN","In M12 count orders with Units ≥ K6, building the criteria with ""&gt;=""&amp;K6.","LOCKED · earn ★ on every stage to open the Boss gate")</f>
        <v>LOCKED · earn ★ on every stage to open the Boss gate</v>
      </c>
      <c r="C32" s="11" t="s">
        <v>567</v>
      </c>
      <c r="D32" s="21" cm="1" t="str">
        <f t="array" ref="D32">IF($C$10="OPEN",IF(ISBLANK('Boss Arena'!$M$12),"",IF(NOT(_xlfn.ISFORMULA('Boss Arena'!$M$12)),"✘ That's a typed value · enter a formula",IF(ISERROR('Boss Arena'!$M$12),"✘ Your formula returns "&amp;IFERROR(CHOOSE(ERROR.TYPE('Boss Arena'!$M$12),"#NULL!","#DIV/0!","#VALUE!","#REF!","#NAME?","#NUM!","#N/A","#GETTING_DATA","#SPILL!","#CONNECT!","#BLOCKED!","#UNKNOWN!","#FIELD!","#CALC!"),"an error"),IF(NOT(AND(IFERROR(AND(ISNUMBER('Boss Arena'!$M$12),ABS('Boss Arena'!$M$12-Key!$C$94)&lt;=1E-9*MAX(1,ABS(Key!$C$94))),FALSE))),"✘ TRY AGAIN",IF(AND(OR(ISNUMBER(FIND({"=","(",",","+","-","*","/","&amp;"," ","&lt;","&gt;",":","@","^"}&amp;"COUNTIFS"&amp;"(",UPPER(_xlfn.FORMULATEXT('Boss Arena'!$M$12)))))),IF(ISNUMBER(FIND("&amp;",_xlfn.FORMULATEXT('Boss Arena'!$M$12))),"✔ CLEAR","✘ CLOSE · your formula needs &amp;"),"✘ CLOSE · right value, but use COUNTIFS"))))),"LOCKED")</f>
        <v>LOCKED</v>
      </c>
      <c r="E32" s="22"/>
      <c r="F32" s="23" cm="1" t="str">
        <f t="array" ref="F32">IF(E32="Show hint",Key!$B$94,"")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570</v>
      </c>
      <c r="B33" s="32" cm="1" t="str">
        <f t="array" ref="B33">IF($C$10="OPEN","In M13 add the Revenue dated from K9 to K11.","LOCKED · earn ★ on every stage to open the Boss gate")</f>
        <v>LOCKED · earn ★ on every stage to open the Boss gate</v>
      </c>
      <c r="C33" s="11" t="s">
        <v>571</v>
      </c>
      <c r="D33" s="21" cm="1" t="str">
        <f t="array" ref="D33">IF($C$10="OPEN",IF(ISBLANK('Boss Arena'!$M$13),"",IF(NOT(_xlfn.ISFORMULA('Boss Arena'!$M$13)),"✘ That's a typed value · enter a formula",IF(ISERROR('Boss Arena'!$M$13),"✘ Your formula returns "&amp;IFERROR(CHOOSE(ERROR.TYPE('Boss Arena'!$M$13),"#NULL!","#DIV/0!","#VALUE!","#REF!","#NAME?","#NUM!","#N/A","#GETTING_DATA","#SPILL!","#CONNECT!","#BLOCKED!","#UNKNOWN!","#FIELD!","#CALC!"),"an error"),IF(NOT(AND(IFERROR(AND(ISNUMBER('Boss Arena'!$M$13),ABS('Boss Arena'!$M$13-Key!$C$95)&lt;=1E-9*MAX(1,ABS(Key!$C$95))),FALSE))),"✘ TRY AGAIN",IF(AND(OR(ISNUMBER(FIND({"=","(",",","+","-","*","/","&amp;"," ","&lt;","&gt;",":","@","^"}&amp;"SUMIFS"&amp;"(",UPPER(_xlfn.FORMULATEXT('Boss Arena'!$M$13)))))),IF(ISNUMBER(FIND("&amp;",_xlfn.FORMULATEXT('Boss Arena'!$M$13))),"✔ CLEAR","✘ CLOSE · your formula needs &amp;"),"✘ CLOSE · right value, but use SUMIFS"))))),"LOCKED")</f>
        <v>LOCKED</v>
      </c>
      <c r="E33" s="22"/>
      <c r="F33" s="23" cm="1" t="str">
        <f t="array" ref="F33">IF(E33="Show hint",Key!$B$95,"")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4:D33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6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4" location="'Boss Arena'!A1" display="▶ Open Boss Arena (or press Ctrl+PgDn)"/>
    <hyperlink ref="C26" location="'Boss Arena'!M6" tooltip="Go to Boss Arena, cell M6" display="▶ ARENA B1 (cell M6)"/>
    <hyperlink ref="C27" location="'Boss Arena'!M7" tooltip="Go to Boss Arena, cell M7" display="▶ ARENA B2 (cell M7)"/>
    <hyperlink ref="C28" location="'Boss Arena'!M8" tooltip="Go to Boss Arena, cell M8" display="▶ ARENA B3 (cell M8)"/>
    <hyperlink ref="C29" location="'Boss Arena'!M9" tooltip="Go to Boss Arena, cell M9" display="▶ ARENA B4 (cell M9)"/>
    <hyperlink ref="C30" location="'Boss Arena'!M10" tooltip="Go to Boss Arena, cell M10" display="▶ ARENA B5 (cell M10)"/>
    <hyperlink ref="C31" location="'Boss Arena'!M11" tooltip="Go to Boss Arena, cell M11" display="▶ ARENA B6 (cell M11)"/>
    <hyperlink ref="C32" location="'Boss Arena'!M12" tooltip="Go to Boss Arena, cell M12" display="▶ ARENA B7 (cell M12)"/>
    <hyperlink ref="C33" location="'Boss Arena'!M13" tooltip="Go to Boss Arena, cell M13" display="▶ ARENA B8 (cell M13)"/>
  </hyperlink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11" width="13.7109375" customWidth="1"/>
    <col min="12" max="12" width="30.7109375" customWidth="1"/>
    <col min="13" max="26" width="13.7109375" customWidth="1"/>
  </cols>
  <sheetData>
    <row r="1" spans="1:13">
      <c r="A1" s="1" t="s">
        <v>502</v>
      </c>
    </row>
    <row r="2" spans="1:13">
      <c r="A2" s="3" t="s">
        <v>5</v>
      </c>
    </row>
    <row r="3" spans="1:13">
      <c r="A3" s="25" t="s">
        <v>6</v>
      </c>
      <c r="B3" s="26" t="s">
        <v>503</v>
      </c>
      <c r="D3" s="11" t="s">
        <v>504</v>
      </c>
    </row>
    <row r="5" spans="1:13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7" t="s">
        <v>47</v>
      </c>
    </row>
    <row r="6" spans="1:13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5">
        <v>40</v>
      </c>
      <c r="L6" s="5" t="s">
        <v>505</v>
      </c>
      <c r="M6" s="29"/>
    </row>
    <row r="7" spans="1:13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  <c r="L7" s="5" t="s">
        <v>506</v>
      </c>
      <c r="M7" s="29"/>
    </row>
    <row r="8" spans="1:13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  <c r="K8" s="7" t="s">
        <v>48</v>
      </c>
      <c r="L8" s="5" t="s">
        <v>507</v>
      </c>
      <c r="M8" s="29"/>
    </row>
    <row r="9" spans="1:13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  <c r="K9" s="28">
        <v>46054</v>
      </c>
      <c r="L9" s="5" t="s">
        <v>508</v>
      </c>
      <c r="M9" s="29"/>
    </row>
    <row r="10" spans="1:13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  <c r="K10" s="7" t="s">
        <v>49</v>
      </c>
      <c r="L10" s="5" t="s">
        <v>509</v>
      </c>
      <c r="M10" s="29"/>
    </row>
    <row r="11" spans="1:13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  <c r="K11" s="28">
        <v>46112</v>
      </c>
      <c r="L11" s="5" t="s">
        <v>510</v>
      </c>
      <c r="M11" s="29"/>
    </row>
    <row r="12" spans="1:13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  <c r="L12" s="5" t="s">
        <v>408</v>
      </c>
      <c r="M12" s="29"/>
    </row>
    <row r="13" spans="1:13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  <c r="L13" s="5" t="s">
        <v>409</v>
      </c>
      <c r="M13" s="29"/>
    </row>
    <row r="14" spans="1:13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</row>
    <row r="15" spans="1:13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13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8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8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8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</row>
    <row r="20" spans="2:8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</row>
    <row r="21" spans="2:8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8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8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8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8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</sheetData>
  <hyperlinks>
    <hyperlink ref="D3" location="Boss!A1" display="◀ Back to Boss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610</v>
      </c>
      <c r="B1" s="2"/>
      <c r="C1" s="2"/>
      <c r="D1" s="2"/>
    </row>
    <row r="2" spans="1:4">
      <c r="A2" s="3" t="s">
        <v>611</v>
      </c>
    </row>
    <row r="4" spans="1:4">
      <c r="A4" s="6" t="s">
        <v>583</v>
      </c>
      <c r="B4" s="6" t="s">
        <v>57</v>
      </c>
      <c r="C4" s="6" t="s">
        <v>612</v>
      </c>
      <c r="D4" s="6" t="s">
        <v>613</v>
      </c>
    </row>
    <row r="5" spans="1:4" ht="19.75" customHeight="1">
      <c r="A5" s="18" t="s">
        <v>589</v>
      </c>
      <c r="B5" s="19" t="s">
        <v>60</v>
      </c>
      <c r="C5" s="8" t="s">
        <v>614</v>
      </c>
      <c r="D5" s="8" t="s">
        <v>615</v>
      </c>
    </row>
    <row r="6" spans="1:4" ht="35.5" customHeight="1">
      <c r="A6" s="18" t="s">
        <v>589</v>
      </c>
      <c r="B6" s="19" t="s">
        <v>63</v>
      </c>
      <c r="C6" s="8" t="s">
        <v>616</v>
      </c>
      <c r="D6" s="8" t="s">
        <v>617</v>
      </c>
    </row>
    <row r="7" spans="1:4" ht="35.5" customHeight="1">
      <c r="A7" s="18" t="s">
        <v>589</v>
      </c>
      <c r="B7" s="19" t="s">
        <v>66</v>
      </c>
      <c r="C7" s="8" t="s">
        <v>618</v>
      </c>
      <c r="D7" s="8" t="s">
        <v>619</v>
      </c>
    </row>
    <row r="8" spans="1:4" ht="35.5" customHeight="1">
      <c r="A8" s="18" t="s">
        <v>592</v>
      </c>
      <c r="B8" s="19" t="s">
        <v>145</v>
      </c>
      <c r="C8" s="8" t="s">
        <v>620</v>
      </c>
      <c r="D8" s="8" t="s">
        <v>621</v>
      </c>
    </row>
    <row r="9" spans="1:4" ht="35.5" customHeight="1">
      <c r="A9" s="18" t="s">
        <v>592</v>
      </c>
      <c r="B9" s="19" t="s">
        <v>207</v>
      </c>
      <c r="C9" s="8" t="s">
        <v>622</v>
      </c>
      <c r="D9" s="8" t="s">
        <v>623</v>
      </c>
    </row>
    <row r="10" spans="1:4" ht="35.5" customHeight="1">
      <c r="A10" s="18" t="s">
        <v>595</v>
      </c>
      <c r="B10" s="19" t="s">
        <v>146</v>
      </c>
      <c r="C10" s="8" t="s">
        <v>624</v>
      </c>
      <c r="D10" s="8" t="s">
        <v>625</v>
      </c>
    </row>
    <row r="11" spans="1:4" ht="35.5" customHeight="1">
      <c r="A11" s="18" t="s">
        <v>595</v>
      </c>
      <c r="B11" s="19" t="s">
        <v>287</v>
      </c>
      <c r="C11" s="8" t="s">
        <v>626</v>
      </c>
      <c r="D11" s="8" t="s">
        <v>627</v>
      </c>
    </row>
    <row r="12" spans="1:4" ht="35.5" customHeight="1">
      <c r="A12" s="18" t="s">
        <v>595</v>
      </c>
      <c r="B12" s="19" t="s">
        <v>289</v>
      </c>
      <c r="C12" s="8" t="s">
        <v>628</v>
      </c>
      <c r="D12" s="8" t="s">
        <v>629</v>
      </c>
    </row>
    <row r="13" spans="1:4" ht="35.5" customHeight="1">
      <c r="A13" s="18" t="s">
        <v>598</v>
      </c>
      <c r="B13" s="19" t="s">
        <v>147</v>
      </c>
      <c r="C13" s="8" t="s">
        <v>630</v>
      </c>
      <c r="D13" s="8" t="s">
        <v>631</v>
      </c>
    </row>
    <row r="14" spans="1:4" ht="35.5" customHeight="1">
      <c r="A14" s="18" t="s">
        <v>598</v>
      </c>
      <c r="B14" s="19" t="s">
        <v>250</v>
      </c>
      <c r="C14" s="8" t="s">
        <v>632</v>
      </c>
      <c r="D14" s="8" t="s">
        <v>633</v>
      </c>
    </row>
    <row r="15" spans="1:4" ht="35.5" customHeight="1">
      <c r="A15" s="18" t="s">
        <v>598</v>
      </c>
      <c r="B15" s="19" t="s">
        <v>153</v>
      </c>
      <c r="C15" s="8" t="s">
        <v>634</v>
      </c>
      <c r="D15" s="8" t="s">
        <v>635</v>
      </c>
    </row>
    <row r="16" spans="1:4" ht="35.5" customHeight="1">
      <c r="A16" s="18" t="s">
        <v>598</v>
      </c>
      <c r="B16" s="19" t="s">
        <v>152</v>
      </c>
      <c r="C16" s="8" t="s">
        <v>636</v>
      </c>
      <c r="D16" s="8" t="s">
        <v>637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9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E1" t="s">
        <v>3</v>
      </c>
    </row>
    <row r="2" spans="1:10">
      <c r="A2" t="s">
        <v>73</v>
      </c>
      <c r="B2" t="s">
        <v>74</v>
      </c>
      <c r="E2" t="s">
        <v>75</v>
      </c>
      <c r="F2" t="s">
        <v>76</v>
      </c>
      <c r="G2" t="s">
        <v>77</v>
      </c>
      <c r="H2" t="s">
        <v>78</v>
      </c>
    </row>
    <row r="3" spans="1:10">
      <c r="A3" t="s">
        <v>81</v>
      </c>
      <c r="B3" t="s">
        <v>82</v>
      </c>
      <c r="E3" t="s">
        <v>83</v>
      </c>
      <c r="F3" t="s">
        <v>84</v>
      </c>
      <c r="G3" t="s">
        <v>85</v>
      </c>
      <c r="H3" t="s">
        <v>86</v>
      </c>
    </row>
    <row r="4" spans="1:10">
      <c r="A4" t="s">
        <v>89</v>
      </c>
      <c r="B4" t="s">
        <v>90</v>
      </c>
      <c r="E4" t="s">
        <v>91</v>
      </c>
      <c r="F4" t="s">
        <v>92</v>
      </c>
      <c r="G4" t="s">
        <v>93</v>
      </c>
      <c r="H4" t="s">
        <v>94</v>
      </c>
    </row>
    <row r="5" spans="1:10">
      <c r="A5" t="s">
        <v>97</v>
      </c>
      <c r="B5" t="s">
        <v>98</v>
      </c>
      <c r="E5" t="s">
        <v>99</v>
      </c>
      <c r="F5" t="s">
        <v>100</v>
      </c>
      <c r="G5" t="s">
        <v>101</v>
      </c>
      <c r="H5" t="s">
        <v>102</v>
      </c>
    </row>
    <row r="6" spans="1:10">
      <c r="A6" t="s">
        <v>105</v>
      </c>
      <c r="B6" t="s">
        <v>106</v>
      </c>
      <c r="E6" t="s">
        <v>107</v>
      </c>
      <c r="F6" t="s">
        <v>108</v>
      </c>
      <c r="G6" t="s">
        <v>109</v>
      </c>
      <c r="H6" t="s">
        <v>110</v>
      </c>
    </row>
    <row r="7" spans="1:10">
      <c r="A7" t="s">
        <v>113</v>
      </c>
      <c r="B7" t="s">
        <v>114</v>
      </c>
      <c r="E7" t="s">
        <v>115</v>
      </c>
      <c r="F7" t="s">
        <v>116</v>
      </c>
      <c r="G7" t="s">
        <v>117</v>
      </c>
      <c r="H7" t="s">
        <v>118</v>
      </c>
    </row>
    <row r="8" spans="1:10">
      <c r="A8" t="s">
        <v>121</v>
      </c>
      <c r="B8" t="s">
        <v>122</v>
      </c>
      <c r="E8" t="s">
        <v>123</v>
      </c>
      <c r="F8" t="s">
        <v>124</v>
      </c>
    </row>
    <row r="9" spans="1:10">
      <c r="A9" t="s">
        <v>127</v>
      </c>
      <c r="B9" t="s">
        <v>128</v>
      </c>
      <c r="E9" t="s">
        <v>129</v>
      </c>
    </row>
    <row r="10" spans="1:10">
      <c r="A10" t="s">
        <v>132</v>
      </c>
      <c r="B10" t="s">
        <v>133</v>
      </c>
      <c r="E10" t="s">
        <v>134</v>
      </c>
    </row>
    <row r="11" spans="1:10">
      <c r="A11" t="s">
        <v>137</v>
      </c>
      <c r="B11" t="s">
        <v>138</v>
      </c>
      <c r="E11" t="s">
        <v>139</v>
      </c>
    </row>
    <row r="12" spans="1:10">
      <c r="A12" t="s">
        <v>143</v>
      </c>
      <c r="B12" t="s">
        <v>144</v>
      </c>
      <c r="C12" t="s">
        <v>60</v>
      </c>
      <c r="E12" t="s">
        <v>145</v>
      </c>
      <c r="F12" t="s">
        <v>146</v>
      </c>
      <c r="G12" t="s">
        <v>147</v>
      </c>
      <c r="H12" t="s">
        <v>60</v>
      </c>
    </row>
    <row r="13" spans="1:10">
      <c r="A13" t="s">
        <v>150</v>
      </c>
      <c r="B13" t="s">
        <v>151</v>
      </c>
      <c r="C13" t="s">
        <v>63</v>
      </c>
      <c r="E13" t="s">
        <v>152</v>
      </c>
      <c r="F13" t="s">
        <v>66</v>
      </c>
      <c r="G13" t="s">
        <v>153</v>
      </c>
      <c r="H13" t="s">
        <v>63</v>
      </c>
    </row>
    <row r="14" spans="1:10">
      <c r="A14" t="s">
        <v>156</v>
      </c>
      <c r="B14" t="s">
        <v>157</v>
      </c>
      <c r="C14" t="s">
        <v>66</v>
      </c>
      <c r="E14" t="s">
        <v>153</v>
      </c>
      <c r="F14" t="s">
        <v>66</v>
      </c>
      <c r="G14" t="s">
        <v>152</v>
      </c>
      <c r="H14" t="s">
        <v>63</v>
      </c>
    </row>
    <row r="15" spans="1:10">
      <c r="A15" t="s">
        <v>162</v>
      </c>
      <c r="B15" t="s">
        <v>144</v>
      </c>
      <c r="E15" t="s">
        <v>163</v>
      </c>
      <c r="F15" t="s">
        <v>164</v>
      </c>
      <c r="G15" t="s">
        <v>165</v>
      </c>
      <c r="H15" t="s">
        <v>60</v>
      </c>
      <c r="I15" t="s">
        <v>166</v>
      </c>
      <c r="J15" t="s">
        <v>167</v>
      </c>
    </row>
    <row r="16" spans="1:10">
      <c r="A16" t="s">
        <v>169</v>
      </c>
      <c r="B16" t="s">
        <v>151</v>
      </c>
      <c r="E16" t="s">
        <v>63</v>
      </c>
    </row>
    <row r="17" spans="1:10">
      <c r="A17" t="s">
        <v>172</v>
      </c>
      <c r="B17" t="s">
        <v>157</v>
      </c>
      <c r="E17" t="s">
        <v>173</v>
      </c>
      <c r="F17" t="s">
        <v>174</v>
      </c>
    </row>
    <row r="18" spans="1:10">
      <c r="A18" t="s">
        <v>177</v>
      </c>
      <c r="B18" t="s">
        <v>178</v>
      </c>
      <c r="C18" cm="1">
        <f t="array" ref="C18">COUNTIF('F3-1 Arena'!$D$6:$D$25,"East")</f>
        <v>7</v>
      </c>
    </row>
    <row r="19" spans="1:10">
      <c r="A19" t="s">
        <v>182</v>
      </c>
      <c r="B19" t="s">
        <v>183</v>
      </c>
      <c r="C19" cm="1">
        <f t="array" ref="C19">COUNTIF('F3-1 Arena'!$G$6:$G$25,"&gt;50")</f>
        <v>5</v>
      </c>
    </row>
    <row r="20" spans="1:10">
      <c r="A20" t="s">
        <v>187</v>
      </c>
      <c r="B20" t="s">
        <v>188</v>
      </c>
      <c r="C20" cm="1">
        <f t="array" ref="C20">COUNTIF('F3-1 Arena'!$F$6:$F$25,"G*")</f>
        <v>13</v>
      </c>
    </row>
    <row r="21" spans="1:10">
      <c r="A21" t="s">
        <v>192</v>
      </c>
      <c r="B21" t="s">
        <v>193</v>
      </c>
      <c r="C21" cm="1">
        <f t="array" ref="C21">COUNTIF('F3-1 Arena'!$D$6:$D$25,"&lt;&gt;East")</f>
        <v>13</v>
      </c>
    </row>
    <row r="22" spans="1:10">
      <c r="A22" t="s">
        <v>208</v>
      </c>
      <c r="B22" t="s">
        <v>144</v>
      </c>
      <c r="E22" t="s">
        <v>163</v>
      </c>
      <c r="F22" t="s">
        <v>164</v>
      </c>
      <c r="G22" t="s">
        <v>165</v>
      </c>
      <c r="H22" t="s">
        <v>60</v>
      </c>
      <c r="I22" t="s">
        <v>166</v>
      </c>
      <c r="J22" t="s">
        <v>167</v>
      </c>
    </row>
    <row r="23" spans="1:10">
      <c r="A23" t="s">
        <v>210</v>
      </c>
      <c r="B23" t="s">
        <v>151</v>
      </c>
      <c r="E23" t="s">
        <v>63</v>
      </c>
    </row>
    <row r="24" spans="1:10">
      <c r="A24" t="s">
        <v>212</v>
      </c>
      <c r="B24" t="s">
        <v>157</v>
      </c>
      <c r="E24" t="s">
        <v>173</v>
      </c>
      <c r="F24" t="s">
        <v>174</v>
      </c>
    </row>
    <row r="25" spans="1:10">
      <c r="A25" t="s">
        <v>214</v>
      </c>
      <c r="B25" t="s">
        <v>215</v>
      </c>
      <c r="E25" t="s">
        <v>216</v>
      </c>
      <c r="F25" t="s">
        <v>217</v>
      </c>
    </row>
    <row r="26" spans="1:10">
      <c r="A26" t="s">
        <v>219</v>
      </c>
      <c r="B26" t="s">
        <v>220</v>
      </c>
      <c r="E26" t="s">
        <v>221</v>
      </c>
      <c r="F26" t="s">
        <v>222</v>
      </c>
    </row>
    <row r="27" spans="1:10">
      <c r="A27" t="s">
        <v>224</v>
      </c>
      <c r="B27" t="s">
        <v>225</v>
      </c>
      <c r="E27" t="s">
        <v>226</v>
      </c>
      <c r="F27" t="s">
        <v>227</v>
      </c>
    </row>
    <row r="28" spans="1:10">
      <c r="A28" t="s">
        <v>229</v>
      </c>
      <c r="B28" t="s">
        <v>230</v>
      </c>
      <c r="E28" t="s">
        <v>231</v>
      </c>
    </row>
    <row r="29" spans="1:10">
      <c r="A29" t="s">
        <v>233</v>
      </c>
      <c r="B29" t="s">
        <v>234</v>
      </c>
      <c r="E29" t="s">
        <v>235</v>
      </c>
    </row>
    <row r="30" spans="1:10">
      <c r="A30" t="s">
        <v>237</v>
      </c>
      <c r="B30" t="s">
        <v>238</v>
      </c>
      <c r="E30" t="s">
        <v>239</v>
      </c>
    </row>
    <row r="31" spans="1:10">
      <c r="A31" t="s">
        <v>241</v>
      </c>
      <c r="B31" t="s">
        <v>242</v>
      </c>
      <c r="E31" t="s">
        <v>243</v>
      </c>
    </row>
    <row r="32" spans="1:10">
      <c r="A32" t="s">
        <v>245</v>
      </c>
      <c r="B32" t="s">
        <v>246</v>
      </c>
      <c r="C32" t="s">
        <v>145</v>
      </c>
      <c r="E32" t="s">
        <v>60</v>
      </c>
      <c r="F32" t="s">
        <v>146</v>
      </c>
      <c r="G32" t="s">
        <v>145</v>
      </c>
      <c r="H32" t="s">
        <v>207</v>
      </c>
    </row>
    <row r="33" spans="1:20">
      <c r="A33" t="s">
        <v>248</v>
      </c>
      <c r="B33" t="s">
        <v>249</v>
      </c>
      <c r="C33" t="s">
        <v>207</v>
      </c>
      <c r="E33" t="s">
        <v>145</v>
      </c>
      <c r="F33" t="s">
        <v>207</v>
      </c>
      <c r="G33" t="s">
        <v>250</v>
      </c>
      <c r="H33" t="s">
        <v>60</v>
      </c>
    </row>
    <row r="34" spans="1:20">
      <c r="A34" t="s">
        <v>253</v>
      </c>
      <c r="B34" t="s">
        <v>246</v>
      </c>
      <c r="E34" t="s">
        <v>254</v>
      </c>
      <c r="F34" t="s">
        <v>255</v>
      </c>
      <c r="G34" t="s">
        <v>256</v>
      </c>
      <c r="H34" t="s">
        <v>145</v>
      </c>
      <c r="I34" t="s">
        <v>257</v>
      </c>
      <c r="J34" t="s">
        <v>258</v>
      </c>
    </row>
    <row r="35" spans="1:20">
      <c r="A35" t="s">
        <v>259</v>
      </c>
      <c r="B35" t="s">
        <v>249</v>
      </c>
      <c r="E35" t="s">
        <v>260</v>
      </c>
      <c r="F35" t="s">
        <v>261</v>
      </c>
      <c r="G35" t="s">
        <v>262</v>
      </c>
      <c r="H35" t="s">
        <v>207</v>
      </c>
      <c r="I35" t="s">
        <v>263</v>
      </c>
      <c r="J35" t="s">
        <v>264</v>
      </c>
    </row>
    <row r="36" spans="1:20">
      <c r="A36" t="s">
        <v>265</v>
      </c>
      <c r="B36" t="s">
        <v>266</v>
      </c>
      <c r="C36" cm="1">
        <f t="array" ref="C36">SUMIF('F3-2 Arena'!$D$6:$D$25,"West",'F3-2 Arena'!$H$6:$H$25)</f>
        <v>6050</v>
      </c>
    </row>
    <row r="37" spans="1:20">
      <c r="A37" t="s">
        <v>269</v>
      </c>
      <c r="B37" t="s">
        <v>270</v>
      </c>
      <c r="C37" cm="1">
        <f t="array" ref="C37">AVERAGEIF('F3-2 Arena'!$E$6:$E$25,"Kim",'F3-2 Arena'!$G$6:$G$25)</f>
        <v>34.166666666666664</v>
      </c>
    </row>
    <row r="38" spans="1:20">
      <c r="A38" t="s">
        <v>273</v>
      </c>
      <c r="B38" t="s">
        <v>274</v>
      </c>
      <c r="C38" cm="1">
        <f t="array" ref="C38">SUMIF('F3-2 Arena'!$G$6:$G$25,"&gt;=40",'F3-2 Arena'!$H$6:$H$25)</f>
        <v>24250</v>
      </c>
    </row>
    <row r="39" spans="1:20">
      <c r="A39" t="s">
        <v>290</v>
      </c>
      <c r="B39" t="s">
        <v>246</v>
      </c>
      <c r="E39" t="s">
        <v>254</v>
      </c>
      <c r="F39" t="s">
        <v>255</v>
      </c>
      <c r="G39" t="s">
        <v>256</v>
      </c>
      <c r="H39" t="s">
        <v>145</v>
      </c>
      <c r="I39" t="s">
        <v>257</v>
      </c>
      <c r="J39" t="s">
        <v>258</v>
      </c>
    </row>
    <row r="40" spans="1:20">
      <c r="A40" t="s">
        <v>292</v>
      </c>
      <c r="B40" t="s">
        <v>249</v>
      </c>
      <c r="E40" t="s">
        <v>260</v>
      </c>
      <c r="F40" t="s">
        <v>261</v>
      </c>
      <c r="G40" t="s">
        <v>262</v>
      </c>
      <c r="H40" t="s">
        <v>207</v>
      </c>
      <c r="I40" t="s">
        <v>263</v>
      </c>
      <c r="J40" t="s">
        <v>264</v>
      </c>
    </row>
    <row r="41" spans="1:20">
      <c r="A41" t="s">
        <v>294</v>
      </c>
      <c r="B41" t="s">
        <v>295</v>
      </c>
      <c r="E41" t="s">
        <v>296</v>
      </c>
    </row>
    <row r="42" spans="1:20">
      <c r="A42" t="s">
        <v>298</v>
      </c>
      <c r="B42" t="s">
        <v>299</v>
      </c>
      <c r="E42" t="s">
        <v>300</v>
      </c>
      <c r="F42" t="s">
        <v>301</v>
      </c>
      <c r="G42" t="s">
        <v>302</v>
      </c>
      <c r="H42" t="s">
        <v>303</v>
      </c>
    </row>
    <row r="43" spans="1:20">
      <c r="A43" t="s">
        <v>305</v>
      </c>
      <c r="B43" t="s">
        <v>306</v>
      </c>
      <c r="E43" t="s">
        <v>307</v>
      </c>
      <c r="F43" t="s">
        <v>308</v>
      </c>
      <c r="G43" t="s">
        <v>309</v>
      </c>
      <c r="H43" t="s">
        <v>310</v>
      </c>
    </row>
    <row r="44" spans="1:20">
      <c r="A44" t="s">
        <v>312</v>
      </c>
      <c r="B44" t="s">
        <v>313</v>
      </c>
      <c r="E44" t="s">
        <v>314</v>
      </c>
      <c r="F44" t="s">
        <v>315</v>
      </c>
    </row>
    <row r="45" spans="1:20">
      <c r="A45" t="s">
        <v>317</v>
      </c>
      <c r="B45" t="s">
        <v>318</v>
      </c>
      <c r="E45" t="s">
        <v>319</v>
      </c>
      <c r="F45" t="s">
        <v>320</v>
      </c>
      <c r="G45" t="s">
        <v>321</v>
      </c>
      <c r="H45" t="s">
        <v>322</v>
      </c>
      <c r="I45" t="s">
        <v>323</v>
      </c>
      <c r="J45" t="s">
        <v>324</v>
      </c>
      <c r="K45" t="s">
        <v>325</v>
      </c>
      <c r="L45" t="s">
        <v>326</v>
      </c>
      <c r="M45" t="s">
        <v>327</v>
      </c>
      <c r="N45" t="s">
        <v>328</v>
      </c>
      <c r="O45" t="s">
        <v>329</v>
      </c>
      <c r="P45" t="s">
        <v>330</v>
      </c>
      <c r="Q45" t="s">
        <v>331</v>
      </c>
      <c r="R45" t="s">
        <v>332</v>
      </c>
      <c r="S45" t="s">
        <v>333</v>
      </c>
      <c r="T45" t="s">
        <v>334</v>
      </c>
    </row>
    <row r="46" spans="1:20">
      <c r="A46" t="s">
        <v>336</v>
      </c>
      <c r="B46" t="s">
        <v>337</v>
      </c>
      <c r="E46" t="s">
        <v>338</v>
      </c>
      <c r="F46" t="s">
        <v>339</v>
      </c>
      <c r="G46" t="s">
        <v>340</v>
      </c>
      <c r="H46" t="s">
        <v>341</v>
      </c>
      <c r="I46" t="s">
        <v>342</v>
      </c>
      <c r="J46" t="s">
        <v>343</v>
      </c>
      <c r="K46" t="s">
        <v>344</v>
      </c>
      <c r="L46" t="s">
        <v>345</v>
      </c>
      <c r="M46" t="s">
        <v>346</v>
      </c>
      <c r="N46" t="s">
        <v>347</v>
      </c>
      <c r="O46" t="s">
        <v>348</v>
      </c>
      <c r="P46" t="s">
        <v>349</v>
      </c>
      <c r="Q46" t="s">
        <v>350</v>
      </c>
      <c r="R46" t="s">
        <v>351</v>
      </c>
      <c r="S46" t="s">
        <v>352</v>
      </c>
      <c r="T46" t="s">
        <v>353</v>
      </c>
    </row>
    <row r="47" spans="1:20">
      <c r="A47" t="s">
        <v>355</v>
      </c>
      <c r="B47" t="s">
        <v>356</v>
      </c>
      <c r="E47" t="s">
        <v>357</v>
      </c>
      <c r="F47" t="s">
        <v>358</v>
      </c>
    </row>
    <row r="48" spans="1:20">
      <c r="A48" t="s">
        <v>360</v>
      </c>
      <c r="B48" t="s">
        <v>361</v>
      </c>
      <c r="E48" t="s">
        <v>362</v>
      </c>
    </row>
    <row r="49" spans="1:10">
      <c r="A49" t="s">
        <v>364</v>
      </c>
      <c r="B49" t="s">
        <v>365</v>
      </c>
      <c r="C49" t="s">
        <v>146</v>
      </c>
      <c r="E49" t="s">
        <v>250</v>
      </c>
      <c r="F49" t="s">
        <v>287</v>
      </c>
      <c r="G49" t="s">
        <v>146</v>
      </c>
      <c r="H49" t="s">
        <v>207</v>
      </c>
    </row>
    <row r="50" spans="1:10">
      <c r="A50" t="s">
        <v>367</v>
      </c>
      <c r="B50" t="s">
        <v>368</v>
      </c>
      <c r="C50" t="s">
        <v>287</v>
      </c>
      <c r="E50" t="s">
        <v>207</v>
      </c>
      <c r="F50" t="s">
        <v>145</v>
      </c>
      <c r="G50" t="s">
        <v>250</v>
      </c>
      <c r="H50" t="s">
        <v>287</v>
      </c>
    </row>
    <row r="51" spans="1:10">
      <c r="A51" t="s">
        <v>370</v>
      </c>
      <c r="B51" t="s">
        <v>371</v>
      </c>
      <c r="C51" t="s">
        <v>289</v>
      </c>
      <c r="E51" t="s">
        <v>289</v>
      </c>
      <c r="F51" t="s">
        <v>250</v>
      </c>
      <c r="G51" t="s">
        <v>147</v>
      </c>
      <c r="H51" t="s">
        <v>146</v>
      </c>
    </row>
    <row r="52" spans="1:10">
      <c r="A52" t="s">
        <v>374</v>
      </c>
      <c r="B52" t="s">
        <v>365</v>
      </c>
      <c r="E52" t="s">
        <v>375</v>
      </c>
      <c r="F52" t="s">
        <v>376</v>
      </c>
      <c r="G52" t="s">
        <v>377</v>
      </c>
      <c r="H52" t="s">
        <v>146</v>
      </c>
      <c r="I52" t="s">
        <v>378</v>
      </c>
      <c r="J52" t="s">
        <v>379</v>
      </c>
    </row>
    <row r="53" spans="1:10">
      <c r="A53" t="s">
        <v>380</v>
      </c>
      <c r="B53" t="s">
        <v>368</v>
      </c>
      <c r="E53" t="s">
        <v>381</v>
      </c>
      <c r="F53" t="s">
        <v>382</v>
      </c>
      <c r="G53" t="s">
        <v>383</v>
      </c>
      <c r="H53" t="s">
        <v>287</v>
      </c>
      <c r="I53" t="s">
        <v>384</v>
      </c>
      <c r="J53" t="s">
        <v>385</v>
      </c>
    </row>
    <row r="54" spans="1:10">
      <c r="A54" t="s">
        <v>386</v>
      </c>
      <c r="B54" t="s">
        <v>371</v>
      </c>
      <c r="E54" t="s">
        <v>387</v>
      </c>
      <c r="F54" t="s">
        <v>388</v>
      </c>
      <c r="G54" t="s">
        <v>389</v>
      </c>
      <c r="H54" t="s">
        <v>289</v>
      </c>
      <c r="I54" t="s">
        <v>390</v>
      </c>
      <c r="J54" t="s">
        <v>391</v>
      </c>
    </row>
    <row r="55" spans="1:10">
      <c r="A55" t="s">
        <v>392</v>
      </c>
      <c r="B55" t="s">
        <v>393</v>
      </c>
      <c r="C55" cm="1">
        <f t="array" ref="C55">COUNTIFS('F3-3 Arena'!$D$6:$D$25,"East",'F3-3 Arena'!$G$6:$G$25,"&gt;30")</f>
        <v>5</v>
      </c>
    </row>
    <row r="56" spans="1:10">
      <c r="A56" t="s">
        <v>395</v>
      </c>
      <c r="B56" t="s">
        <v>396</v>
      </c>
      <c r="C56" cm="1">
        <f t="array" ref="C56">SUMIFS('F3-3 Arena'!$H$6:$H$25,'F3-3 Arena'!$D$6:$D$25,"East",'F3-3 Arena'!$F$6:$F$25,"Widget")</f>
        <v>4800</v>
      </c>
    </row>
    <row r="57" spans="1:10">
      <c r="A57" t="s">
        <v>398</v>
      </c>
      <c r="B57" t="s">
        <v>399</v>
      </c>
      <c r="C57" cm="1">
        <f t="array" ref="C57">AVERAGEIFS('F3-3 Arena'!$H$6:$H$25,'F3-3 Arena'!$E$6:$E$25,"Kim",'F3-3 Arena'!$D$6:$D$25,"East")</f>
        <v>1233.3333333333333</v>
      </c>
    </row>
    <row r="58" spans="1:10">
      <c r="A58" t="s">
        <v>415</v>
      </c>
      <c r="B58" t="s">
        <v>365</v>
      </c>
      <c r="E58" t="s">
        <v>375</v>
      </c>
      <c r="F58" t="s">
        <v>376</v>
      </c>
      <c r="G58" t="s">
        <v>377</v>
      </c>
      <c r="H58" t="s">
        <v>146</v>
      </c>
      <c r="I58" t="s">
        <v>378</v>
      </c>
      <c r="J58" t="s">
        <v>379</v>
      </c>
    </row>
    <row r="59" spans="1:10">
      <c r="A59" t="s">
        <v>417</v>
      </c>
      <c r="B59" t="s">
        <v>368</v>
      </c>
      <c r="E59" t="s">
        <v>381</v>
      </c>
      <c r="F59" t="s">
        <v>382</v>
      </c>
      <c r="G59" t="s">
        <v>383</v>
      </c>
      <c r="H59" t="s">
        <v>287</v>
      </c>
      <c r="I59" t="s">
        <v>384</v>
      </c>
      <c r="J59" t="s">
        <v>385</v>
      </c>
    </row>
    <row r="60" spans="1:10">
      <c r="A60" t="s">
        <v>419</v>
      </c>
      <c r="B60" t="s">
        <v>371</v>
      </c>
      <c r="E60" t="s">
        <v>387</v>
      </c>
      <c r="F60" t="s">
        <v>388</v>
      </c>
      <c r="G60" t="s">
        <v>389</v>
      </c>
      <c r="H60" t="s">
        <v>289</v>
      </c>
      <c r="I60" t="s">
        <v>390</v>
      </c>
      <c r="J60" t="s">
        <v>391</v>
      </c>
    </row>
    <row r="61" spans="1:10">
      <c r="A61" t="s">
        <v>421</v>
      </c>
      <c r="B61" t="s">
        <v>422</v>
      </c>
      <c r="E61" t="s">
        <v>423</v>
      </c>
    </row>
    <row r="62" spans="1:10">
      <c r="A62" t="s">
        <v>425</v>
      </c>
      <c r="B62" t="s">
        <v>426</v>
      </c>
      <c r="E62" t="s">
        <v>427</v>
      </c>
    </row>
    <row r="63" spans="1:10">
      <c r="A63" t="s">
        <v>429</v>
      </c>
      <c r="B63" t="s">
        <v>430</v>
      </c>
      <c r="E63" t="s">
        <v>431</v>
      </c>
      <c r="F63" t="s">
        <v>432</v>
      </c>
    </row>
    <row r="64" spans="1:10">
      <c r="A64" t="s">
        <v>434</v>
      </c>
      <c r="B64" t="s">
        <v>435</v>
      </c>
      <c r="E64" t="s">
        <v>436</v>
      </c>
    </row>
    <row r="65" spans="1:10">
      <c r="A65" t="s">
        <v>438</v>
      </c>
      <c r="B65" t="s">
        <v>439</v>
      </c>
      <c r="E65" t="s">
        <v>440</v>
      </c>
    </row>
    <row r="66" spans="1:10">
      <c r="A66" t="s">
        <v>442</v>
      </c>
      <c r="B66" t="s">
        <v>443</v>
      </c>
      <c r="E66" t="s">
        <v>357</v>
      </c>
    </row>
    <row r="67" spans="1:10">
      <c r="A67" t="s">
        <v>445</v>
      </c>
      <c r="B67" t="s">
        <v>446</v>
      </c>
      <c r="E67" t="s">
        <v>447</v>
      </c>
      <c r="F67" t="s">
        <v>448</v>
      </c>
    </row>
    <row r="68" spans="1:10">
      <c r="A68" t="s">
        <v>450</v>
      </c>
      <c r="B68" t="s">
        <v>451</v>
      </c>
      <c r="C68" t="s">
        <v>147</v>
      </c>
      <c r="E68" t="s">
        <v>250</v>
      </c>
      <c r="F68" t="s">
        <v>287</v>
      </c>
      <c r="G68" t="s">
        <v>289</v>
      </c>
      <c r="H68" t="s">
        <v>147</v>
      </c>
    </row>
    <row r="69" spans="1:10">
      <c r="A69" t="s">
        <v>453</v>
      </c>
      <c r="B69" t="s">
        <v>454</v>
      </c>
      <c r="C69" t="s">
        <v>250</v>
      </c>
      <c r="E69" t="s">
        <v>147</v>
      </c>
      <c r="F69" t="s">
        <v>250</v>
      </c>
      <c r="G69" t="s">
        <v>145</v>
      </c>
      <c r="H69" t="s">
        <v>60</v>
      </c>
    </row>
    <row r="70" spans="1:10">
      <c r="A70" t="s">
        <v>456</v>
      </c>
      <c r="B70" t="s">
        <v>457</v>
      </c>
      <c r="C70" t="s">
        <v>153</v>
      </c>
      <c r="E70" t="s">
        <v>66</v>
      </c>
      <c r="F70" t="s">
        <v>152</v>
      </c>
      <c r="G70" t="s">
        <v>153</v>
      </c>
      <c r="H70" t="s">
        <v>63</v>
      </c>
    </row>
    <row r="71" spans="1:10">
      <c r="A71" t="s">
        <v>459</v>
      </c>
      <c r="B71" t="s">
        <v>460</v>
      </c>
      <c r="C71" t="s">
        <v>152</v>
      </c>
      <c r="E71" t="s">
        <v>63</v>
      </c>
      <c r="F71" t="s">
        <v>152</v>
      </c>
      <c r="G71" t="s">
        <v>153</v>
      </c>
      <c r="H71" t="s">
        <v>66</v>
      </c>
    </row>
    <row r="72" spans="1:10">
      <c r="A72" t="s">
        <v>464</v>
      </c>
      <c r="B72" t="s">
        <v>451</v>
      </c>
      <c r="E72" t="s">
        <v>465</v>
      </c>
      <c r="F72" t="s">
        <v>466</v>
      </c>
      <c r="G72" t="s">
        <v>467</v>
      </c>
      <c r="H72" t="s">
        <v>147</v>
      </c>
      <c r="I72" t="s">
        <v>468</v>
      </c>
      <c r="J72" t="s">
        <v>469</v>
      </c>
    </row>
    <row r="73" spans="1:10">
      <c r="A73" t="s">
        <v>470</v>
      </c>
      <c r="B73" t="s">
        <v>454</v>
      </c>
      <c r="E73" t="s">
        <v>471</v>
      </c>
      <c r="F73" t="s">
        <v>472</v>
      </c>
      <c r="G73" t="s">
        <v>473</v>
      </c>
      <c r="H73" t="s">
        <v>250</v>
      </c>
      <c r="I73" t="s">
        <v>474</v>
      </c>
      <c r="J73" t="s">
        <v>475</v>
      </c>
    </row>
    <row r="74" spans="1:10">
      <c r="A74" t="s">
        <v>476</v>
      </c>
      <c r="B74" t="s">
        <v>457</v>
      </c>
      <c r="E74" t="s">
        <v>477</v>
      </c>
      <c r="F74" t="s">
        <v>478</v>
      </c>
    </row>
    <row r="75" spans="1:10">
      <c r="A75" t="s">
        <v>480</v>
      </c>
      <c r="B75" t="s">
        <v>460</v>
      </c>
      <c r="E75" t="s">
        <v>61</v>
      </c>
      <c r="F75" t="s">
        <v>481</v>
      </c>
    </row>
    <row r="76" spans="1:10">
      <c r="A76" t="s">
        <v>483</v>
      </c>
      <c r="B76" t="s">
        <v>484</v>
      </c>
      <c r="C76" cm="1">
        <f t="array" ref="C76">_xlfn.MAXIFS('F3-4 Arena'!$H$6:$H$25,'F3-4 Arena'!$D$6:$D$25,"East")</f>
        <v>3300</v>
      </c>
    </row>
    <row r="77" spans="1:10">
      <c r="A77" t="s">
        <v>487</v>
      </c>
      <c r="B77" t="s">
        <v>488</v>
      </c>
      <c r="C77" cm="1">
        <f t="array" ref="C77">_xlfn.MINIFS('F3-4 Arena'!$G$6:$G$25,'F3-4 Arena'!$F$6:$F$25,"Widget")</f>
        <v>25</v>
      </c>
    </row>
    <row r="78" spans="1:10">
      <c r="A78" t="s">
        <v>491</v>
      </c>
      <c r="B78" t="s">
        <v>492</v>
      </c>
      <c r="C78" cm="1">
        <f t="array" ref="C78">COUNTIF('F3-4 Arena'!$G$6:$G$25,"&gt;="&amp;'F3-4 Arena'!$K$6)</f>
        <v>10</v>
      </c>
    </row>
    <row r="79" spans="1:10">
      <c r="A79" t="s">
        <v>495</v>
      </c>
      <c r="B79" t="s">
        <v>496</v>
      </c>
      <c r="C79" cm="1">
        <f t="array" ref="C79">SUMIFS('F3-4 Arena'!$H$6:$H$25,'F3-4 Arena'!$C$6:$C$25,"&gt;="&amp;'F3-4 Arena'!$K$9,'F3-4 Arena'!$C$6:$C$25,"&lt;="&amp;'F3-4 Arena'!$K$11)</f>
        <v>14900</v>
      </c>
    </row>
    <row r="80" spans="1:10">
      <c r="A80" t="s">
        <v>518</v>
      </c>
      <c r="B80" t="s">
        <v>451</v>
      </c>
      <c r="E80" t="s">
        <v>465</v>
      </c>
      <c r="F80" t="s">
        <v>466</v>
      </c>
      <c r="G80" t="s">
        <v>467</v>
      </c>
      <c r="H80" t="s">
        <v>147</v>
      </c>
      <c r="I80" t="s">
        <v>468</v>
      </c>
      <c r="J80" t="s">
        <v>469</v>
      </c>
    </row>
    <row r="81" spans="1:11">
      <c r="A81" t="s">
        <v>520</v>
      </c>
      <c r="B81" t="s">
        <v>454</v>
      </c>
      <c r="E81" t="s">
        <v>471</v>
      </c>
      <c r="F81" t="s">
        <v>472</v>
      </c>
      <c r="G81" t="s">
        <v>473</v>
      </c>
      <c r="H81" t="s">
        <v>250</v>
      </c>
      <c r="I81" t="s">
        <v>474</v>
      </c>
      <c r="J81" t="s">
        <v>475</v>
      </c>
    </row>
    <row r="82" spans="1:11">
      <c r="A82" t="s">
        <v>522</v>
      </c>
      <c r="B82" t="s">
        <v>457</v>
      </c>
      <c r="E82" t="s">
        <v>477</v>
      </c>
      <c r="F82" t="s">
        <v>478</v>
      </c>
    </row>
    <row r="83" spans="1:11">
      <c r="A83" t="s">
        <v>524</v>
      </c>
      <c r="B83" t="s">
        <v>460</v>
      </c>
      <c r="E83" t="s">
        <v>61</v>
      </c>
      <c r="F83" t="s">
        <v>481</v>
      </c>
    </row>
    <row r="84" spans="1:11">
      <c r="A84" t="s">
        <v>525</v>
      </c>
      <c r="B84" t="s">
        <v>144</v>
      </c>
      <c r="E84" t="s">
        <v>163</v>
      </c>
      <c r="F84" t="s">
        <v>164</v>
      </c>
      <c r="G84" t="s">
        <v>165</v>
      </c>
      <c r="H84" t="s">
        <v>60</v>
      </c>
      <c r="I84" t="s">
        <v>166</v>
      </c>
      <c r="J84" t="s">
        <v>167</v>
      </c>
    </row>
    <row r="85" spans="1:11">
      <c r="A85" t="s">
        <v>527</v>
      </c>
      <c r="B85" t="s">
        <v>151</v>
      </c>
      <c r="E85" t="s">
        <v>63</v>
      </c>
    </row>
    <row r="86" spans="1:11">
      <c r="A86" t="s">
        <v>529</v>
      </c>
      <c r="B86" t="s">
        <v>157</v>
      </c>
      <c r="E86" t="s">
        <v>173</v>
      </c>
      <c r="F86" t="s">
        <v>174</v>
      </c>
    </row>
    <row r="87" spans="1:11">
      <c r="A87" t="s">
        <v>531</v>
      </c>
      <c r="B87" t="s">
        <v>532</v>
      </c>
      <c r="E87" t="s">
        <v>533</v>
      </c>
      <c r="F87" t="s">
        <v>534</v>
      </c>
      <c r="G87" t="s">
        <v>535</v>
      </c>
      <c r="H87" t="s">
        <v>536</v>
      </c>
      <c r="I87" t="s">
        <v>537</v>
      </c>
      <c r="J87" t="s">
        <v>538</v>
      </c>
      <c r="K87" t="s">
        <v>539</v>
      </c>
    </row>
    <row r="88" spans="1:11">
      <c r="A88" t="s">
        <v>543</v>
      </c>
      <c r="B88" t="s">
        <v>544</v>
      </c>
      <c r="C88" cm="1">
        <f t="array" ref="C88">COUNTIF('Boss Arena'!$D$6:$D$25,"North")</f>
        <v>4</v>
      </c>
    </row>
    <row r="89" spans="1:11">
      <c r="A89" t="s">
        <v>547</v>
      </c>
      <c r="B89" t="s">
        <v>548</v>
      </c>
      <c r="C89" cm="1">
        <f t="array" ref="C89">SUMIF('Boss Arena'!$F$6:$F$25,"Gadget",'Boss Arena'!$H$6:$H$25)</f>
        <v>15900</v>
      </c>
    </row>
    <row r="90" spans="1:11">
      <c r="A90" t="s">
        <v>551</v>
      </c>
      <c r="B90" t="s">
        <v>270</v>
      </c>
      <c r="C90" cm="1">
        <f t="array" ref="C90">AVERAGEIF('Boss Arena'!$E$6:$E$25,"Lee",'Boss Arena'!$G$6:$G$25)</f>
        <v>32</v>
      </c>
    </row>
    <row r="91" spans="1:11">
      <c r="A91" t="s">
        <v>554</v>
      </c>
      <c r="B91" t="s">
        <v>555</v>
      </c>
      <c r="C91" cm="1">
        <f t="array" ref="C91">COUNTIFS('Boss Arena'!$D$6:$D$25,"South",'Boss Arena'!$G$6:$G$25,"&gt;20")</f>
        <v>3</v>
      </c>
    </row>
    <row r="92" spans="1:11">
      <c r="A92" t="s">
        <v>558</v>
      </c>
      <c r="B92" t="s">
        <v>559</v>
      </c>
      <c r="C92" cm="1">
        <f t="array" ref="C92">SUMIFS('Boss Arena'!$H$6:$H$25,'Boss Arena'!$E$6:$E$25,"Raj",'Boss Arena'!$F$6:$F$25,"Gizmo")</f>
        <v>5500</v>
      </c>
    </row>
    <row r="93" spans="1:11">
      <c r="A93" t="s">
        <v>562</v>
      </c>
      <c r="B93" t="s">
        <v>488</v>
      </c>
      <c r="C93" cm="1">
        <f t="array" ref="C93">_xlfn.MINIFS('Boss Arena'!$G$6:$G$25,'Boss Arena'!$D$6:$D$25,"East")</f>
        <v>20</v>
      </c>
    </row>
    <row r="94" spans="1:11">
      <c r="A94" t="s">
        <v>565</v>
      </c>
      <c r="B94" t="s">
        <v>492</v>
      </c>
      <c r="C94" cm="1">
        <f t="array" ref="C94">COUNTIFS('Boss Arena'!$G$6:$G$25,"&gt;="&amp;'Boss Arena'!$K$6)</f>
        <v>10</v>
      </c>
    </row>
    <row r="95" spans="1:11">
      <c r="A95" t="s">
        <v>568</v>
      </c>
      <c r="B95" t="s">
        <v>569</v>
      </c>
      <c r="C95" cm="1">
        <f t="array" ref="C95">SUMIFS('Boss Arena'!$H$6:$H$25,'Boss Arena'!$C$6:$C$25,"&gt;="&amp;'Boss Arena'!$K$9,'Boss Arena'!$C$6:$C$25,"&lt;="&amp;'Boss Arena'!$K$11)</f>
        <v>14900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Start</vt:lpstr>
      <vt:lpstr>F3-1 Counters</vt:lpstr>
      <vt:lpstr>F3-1 Arena</vt:lpstr>
      <vt:lpstr>F3-2 Money Bags</vt:lpstr>
      <vt:lpstr>F3-2 Arena</vt:lpstr>
      <vt:lpstr>F3-3 Multi-Filter</vt:lpstr>
      <vt:lpstr>F3-3 Arena</vt:lpstr>
      <vt:lpstr>F3-4 Extremes</vt:lpstr>
      <vt:lpstr>F3-4 Arena</vt:lpstr>
      <vt:lpstr>Boss</vt:lpstr>
      <vt:lpstr>Boss Arena</vt:lpstr>
      <vt:lpstr>Cheat Codes</vt:lpstr>
      <vt:lpstr>Boss!Print_Titles</vt:lpstr>
      <vt:lpstr>'Cheat Codes'!Print_Titles</vt:lpstr>
      <vt:lpstr>'F3-1 Counters'!Print_Titles</vt:lpstr>
      <vt:lpstr>'F3-2 Money Bags'!Print_Titles</vt:lpstr>
      <vt:lpstr>'F3-3 Multi-Filter'!Print_Titles</vt:lpstr>
      <vt:lpstr>'F3-4 Extremes'!Print_Titles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Formulas 3 · Conditional Math</dc:title>
  <dc:subject>Excel practice: Count, add and average only the rows that match.</dc:subject>
  <dc:creator>excel-drills</dc:creator>
  <cp:keywords>Excel, practice, formulas, Conditional Math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