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F5-1 Cut &amp; Splice" sheetId="2" r:id="rId2"/>
    <sheet name="F5-1 Arena" sheetId="3" r:id="rId3"/>
    <sheet name="F5-2 Clean Up" sheetId="4" r:id="rId4"/>
    <sheet name="F5-2 Arena" sheetId="5" r:id="rId5"/>
    <sheet name="F5-3 Find the Gem" sheetId="6" r:id="rId6"/>
    <sheet name="F5-3 Arena" sheetId="7" r:id="rId7"/>
    <sheet name="F5-4 Assemble" sheetId="8" r:id="rId8"/>
    <sheet name="F5-4 Arena" sheetId="9" r:id="rId9"/>
    <sheet name="Boss" sheetId="10" r:id="rId10"/>
    <sheet name="Boss Arena" sheetId="11" r:id="rId11"/>
    <sheet name="Cheat Codes" sheetId="12" r:id="rId12"/>
    <sheet name="Key" sheetId="13" state="veryHidden" r:id="rId13"/>
  </sheets>
  <definedNames>
    <definedName name="_xlnm.Print_Titles" localSheetId="9">Boss!$1:$4</definedName>
    <definedName name="_xlnm.Print_Titles" localSheetId="11">'Cheat Codes'!$4:$4</definedName>
    <definedName name="_xlnm.Print_Titles" localSheetId="1">'F5-1 Cut &amp; Splice'!$1:$4</definedName>
    <definedName name="_xlnm.Print_Titles" localSheetId="3">'F5-2 Clean Up'!$1:$4</definedName>
    <definedName name="_xlnm.Print_Titles" localSheetId="5">'F5-3 Find the Gem'!$1:$4</definedName>
    <definedName name="_xlnm.Print_Titles" localSheetId="7">'F5-4 Assemble'!$1:$4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<sst xmlns="http://schemas.openxmlformats.org/spreadsheetml/2006/main" count="1205" uniqueCount="703">
  <si>
    <t>Challenge</t>
  </si>
  <si>
    <t>Hint</t>
  </si>
  <si>
    <t>Expected</t>
  </si>
  <si>
    <t>Lists / per-cell expectations →</t>
  </si>
  <si>
    <t>ARENA ▸ F5-1 CUT &amp; SPLICE</t>
  </si>
  <si>
    <t>Practice area · everything here is editable. Missions and their checks are on the stage sheet.</t>
  </si>
  <si>
    <t>PASS CODE</t>
  </si>
  <si>
    <t>SPLICE</t>
  </si>
  <si>
    <t>◀ Back to F5-1 Cut &amp; Splice</t>
  </si>
  <si>
    <t>Code</t>
  </si>
  <si>
    <t>AB-1234-X</t>
  </si>
  <si>
    <t>Task</t>
  </si>
  <si>
    <t>First 2 characters</t>
  </si>
  <si>
    <t>Last character</t>
  </si>
  <si>
    <t>The 4 digits</t>
  </si>
  <si>
    <t>Length</t>
  </si>
  <si>
    <t>First</t>
  </si>
  <si>
    <t>Last</t>
  </si>
  <si>
    <t>Grace</t>
  </si>
  <si>
    <t>Hopper</t>
  </si>
  <si>
    <t>Full name →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</si>
  <si>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</si>
  <si>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</si>
  <si>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</si>
  <si>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</si>
  <si>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</si>
  <si>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LEFT(text, n): the first n characters.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=LEFT("AB-1234-X",2) gives AB.</t>
    </r>
  </si>
  <si>
    <t>LEFT</t>
  </si>
  <si>
    <t>2</t>
  </si>
  <si>
    <r>
      <rPr>
        <b/>
        <sz val="12"/>
        <color rgb="FF1F2328"/>
        <rFont val="Calibri"/>
        <family val="2"/>
        <scheme val="minor"/>
      </rPr>
      <t>RIGHT(text, n): the last n characters.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=RIGHT("AB-1234-X",1) gives X.</t>
    </r>
  </si>
  <si>
    <t>RIGHT</t>
  </si>
  <si>
    <t>3</t>
  </si>
  <si>
    <r>
      <rPr>
        <b/>
        <sz val="12"/>
        <color rgb="FF1F2328"/>
        <rFont val="Calibri"/>
        <family val="2"/>
        <scheme val="minor"/>
      </rPr>
      <t>MID(text, start, n): n characters from position start.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=MID("AB-1234-X",4,4) gives 1234.</t>
    </r>
  </si>
  <si>
    <t>MID</t>
  </si>
  <si>
    <t>4</t>
  </si>
  <si>
    <r>
      <rPr>
        <b/>
        <sz val="12"/>
        <color rgb="FF1F2328"/>
        <rFont val="Calibri"/>
        <family val="2"/>
        <scheme val="minor"/>
      </rPr>
      <t>LEN(text): how many characters, spaces included.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Great for spotting extra spaces.</t>
    </r>
  </si>
  <si>
    <t>LEN</t>
  </si>
  <si>
    <t>5</t>
  </si>
  <si>
    <r>
      <rPr>
        <b/>
        <sz val="12"/>
        <color rgb="FF1F2328"/>
        <rFont val="Calibri"/>
        <family val="2"/>
        <scheme val="minor"/>
      </rPr>
      <t>Join text with &amp;: =B13&amp;" "&amp;C13.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Add " " between pieces for a space.</t>
    </r>
  </si>
  <si>
    <t>&amp;</t>
  </si>
  <si>
    <t>WARM-UP · flashback to earlier stages</t>
  </si>
  <si>
    <t>Mission</t>
  </si>
  <si>
    <t>Your answer</t>
  </si>
  <si>
    <t>Result</t>
  </si>
  <si>
    <t>Hint?</t>
  </si>
  <si>
    <t>XP</t>
  </si>
  <si>
    <t>F5-1 Cut &amp; Splice W1</t>
  </si>
  <si>
    <t>V for vertical.</t>
  </si>
  <si>
    <t>=VLOOKUP</t>
  </si>
  <si>
    <t>=VLOOKUP(</t>
  </si>
  <si>
    <t>=VLOOKUP()</t>
  </si>
  <si>
    <t>VLOOKUP</t>
  </si>
  <si>
    <t>VLOOKUP(</t>
  </si>
  <si>
    <t>VLOOKUP()</t>
  </si>
  <si>
    <t>W1</t>
  </si>
  <si>
    <t>Which classic function searches the first column of a table and returns a column by number?  (from F4-3 Old School)</t>
  </si>
  <si>
    <t>F5-1 Cut &amp; Splice W2</t>
  </si>
  <si>
    <t>The opposite of TRUE.</t>
  </si>
  <si>
    <t>0</t>
  </si>
  <si>
    <t>FALSE</t>
  </si>
  <si>
    <t>W2</t>
  </si>
  <si>
    <t>Which 4th argument makes VLOOKUP find an exact match?  (from F4-3 Old School)</t>
  </si>
  <si>
    <t>F5-1 Cut &amp; Splice W3</t>
  </si>
  <si>
    <t>SUMIF plus S.</t>
  </si>
  <si>
    <t>=SUMIFS</t>
  </si>
  <si>
    <t>=SUMIFS(</t>
  </si>
  <si>
    <t>=SUMIFS()</t>
  </si>
  <si>
    <t>SUMIFS</t>
  </si>
  <si>
    <t>SUMIFS(</t>
  </si>
  <si>
    <t>SUMIFS()</t>
  </si>
  <si>
    <t>W3</t>
  </si>
  <si>
    <t>Which function adds values that meet several conditions?  (from F3-3 Multi-Filter)</t>
  </si>
  <si>
    <t>F5-1 Cut &amp; Splice W4</t>
  </si>
  <si>
    <t>AVERAGEIF plus S.</t>
  </si>
  <si>
    <t>=AVERAGEIFS</t>
  </si>
  <si>
    <t>=AVERAGEIFS(</t>
  </si>
  <si>
    <t>=AVERAGEIFS()</t>
  </si>
  <si>
    <t>AVERAGEIFS</t>
  </si>
  <si>
    <t>AVERAGEIFS(</t>
  </si>
  <si>
    <t>AVERAGEIFS()</t>
  </si>
  <si>
    <t>W4</t>
  </si>
  <si>
    <t>Which function averages values that meet several conditions?  (from F3-3 Multi-Filter)</t>
  </si>
  <si>
    <t>F5-1 Cut &amp; Splice W5</t>
  </si>
  <si>
    <t>MAX plus IFS.</t>
  </si>
  <si>
    <t>=MAXIFS</t>
  </si>
  <si>
    <t>=MAXIFS(</t>
  </si>
  <si>
    <t>=MAXIFS()</t>
  </si>
  <si>
    <t>MAXIFS</t>
  </si>
  <si>
    <t>MAXIFS(</t>
  </si>
  <si>
    <t>MAXIFS()</t>
  </si>
  <si>
    <t>W5</t>
  </si>
  <si>
    <t>Which function returns the largest value that meets conditions?  (from F3-4 Extremes)</t>
  </si>
  <si>
    <t>F5-1 Cut &amp; Splice W6</t>
  </si>
  <si>
    <t>MIN plus IFS.</t>
  </si>
  <si>
    <t>=MINIFS</t>
  </si>
  <si>
    <t>=MINIFS(</t>
  </si>
  <si>
    <t>=MINIFS()</t>
  </si>
  <si>
    <t>MINIFS</t>
  </si>
  <si>
    <t>MINIFS(</t>
  </si>
  <si>
    <t>MINIFS()</t>
  </si>
  <si>
    <t>W6</t>
  </si>
  <si>
    <t>Which function returns the smallest value that meets conditions?  (from F3-4 Extremes)</t>
  </si>
  <si>
    <t>F5-1 Cut &amp; Splice W7</t>
  </si>
  <si>
    <t>Shift+7.</t>
  </si>
  <si>
    <t>AMPERSAND</t>
  </si>
  <si>
    <t>W7</t>
  </si>
  <si>
    <t>Which character joins "&gt;=" to a cell reference in criteria?  (from F3-4 Extremes)</t>
  </si>
  <si>
    <t>F5-1 Cut &amp; Splice W8</t>
  </si>
  <si>
    <t>One pair per edge.</t>
  </si>
  <si>
    <t>TWO</t>
  </si>
  <si>
    <t>W8</t>
  </si>
  <si>
    <t>How many range/criteria pairs do you need for 'dates between a start and an end'?  (from F3-4 Extremes)</t>
  </si>
  <si>
    <t>F5-1 Cut &amp; Splice W9</t>
  </si>
  <si>
    <t>Ctrl+Shift plus the + key.</t>
  </si>
  <si>
    <t>CTRL++</t>
  </si>
  <si>
    <t>CTRL+SHIFT++</t>
  </si>
  <si>
    <t>CTRL+SHIFT+=</t>
  </si>
  <si>
    <t>SHIFT+CTRL++</t>
  </si>
  <si>
    <t>SHIFT+CTRL+=</t>
  </si>
  <si>
    <t>W9</t>
  </si>
  <si>
    <t>Which keys insert cells or rows?  (from S4-1 Construction Crew)</t>
  </si>
  <si>
    <t>F5-1 Cut &amp; Splice W10</t>
  </si>
  <si>
    <t>Ctrl plus the minus key.</t>
  </si>
  <si>
    <t>CTRL+-</t>
  </si>
  <si>
    <t>W10</t>
  </si>
  <si>
    <t>Which keys delete the selected cells or rows?  (from S4-1 Construction Crew)</t>
  </si>
  <si>
    <t>TRAINING · recognize the move (pick from the list)</t>
  </si>
  <si>
    <t>F5-1 Cut &amp; Splice T1</t>
  </si>
  <si>
    <t>The start side.</t>
  </si>
  <si>
    <t>FIND</t>
  </si>
  <si>
    <t>TEXTJOIN</t>
  </si>
  <si>
    <t>T1</t>
  </si>
  <si>
    <t>Which function returns characters from the start of a text?</t>
  </si>
  <si>
    <t>F5-1 Cut &amp; Splice T2</t>
  </si>
  <si>
    <t>The end side.</t>
  </si>
  <si>
    <t>UPPER</t>
  </si>
  <si>
    <t>SUBSTITUTE</t>
  </si>
  <si>
    <t>T2</t>
  </si>
  <si>
    <t>Which function returns characters from the end of a text?</t>
  </si>
  <si>
    <t>F5-1 Cut &amp; Splice T3</t>
  </si>
  <si>
    <t>Short for middle.</t>
  </si>
  <si>
    <t>SEARCH</t>
  </si>
  <si>
    <t>TRIM</t>
  </si>
  <si>
    <t>LOWER</t>
  </si>
  <si>
    <t>T3</t>
  </si>
  <si>
    <t>Which function returns characters from the middle of a text?</t>
  </si>
  <si>
    <t>F5-1 Cut &amp; Splice T4</t>
  </si>
  <si>
    <t>Short for length.</t>
  </si>
  <si>
    <t>TEXT</t>
  </si>
  <si>
    <t>T4</t>
  </si>
  <si>
    <t>Which function counts the characters in a text?</t>
  </si>
  <si>
    <t>F5-1 Cut &amp; Splice T5</t>
  </si>
  <si>
    <t>LEFT + FIND</t>
  </si>
  <si>
    <t>(…)*(…)</t>
  </si>
  <si>
    <t>return 2+ columns</t>
  </si>
  <si>
    <t>T5</t>
  </si>
  <si>
    <t>Which character joins pieces of text in a formula?</t>
  </si>
  <si>
    <t>CHALLENGES · recall it, then do it</t>
  </si>
  <si>
    <t>▶ Open F5-1 Arena (or press Ctrl+PgDn)</t>
  </si>
  <si>
    <t>F5-1 Cut &amp; Splice C1</t>
  </si>
  <si>
    <t>=LEFT</t>
  </si>
  <si>
    <t>=LEFT(</t>
  </si>
  <si>
    <t>=LEFT()</t>
  </si>
  <si>
    <t>LEFT(</t>
  </si>
  <si>
    <t>LEFT()</t>
  </si>
  <si>
    <t>C1</t>
  </si>
  <si>
    <t>F5-1 Cut &amp; Splice C2</t>
  </si>
  <si>
    <t>=RIGHT</t>
  </si>
  <si>
    <t>=RIGHT(</t>
  </si>
  <si>
    <t>=RIGHT()</t>
  </si>
  <si>
    <t>RIGHT(</t>
  </si>
  <si>
    <t>RIGHT()</t>
  </si>
  <si>
    <t>C2</t>
  </si>
  <si>
    <t>F5-1 Cut &amp; Splice C3</t>
  </si>
  <si>
    <t>=MID</t>
  </si>
  <si>
    <t>=MID(</t>
  </si>
  <si>
    <t>=MID()</t>
  </si>
  <si>
    <t>MID(</t>
  </si>
  <si>
    <t>MID()</t>
  </si>
  <si>
    <t>C3</t>
  </si>
  <si>
    <t>F5-1 Cut &amp; Splice C4</t>
  </si>
  <si>
    <t>=LEN</t>
  </si>
  <si>
    <t>=LEN(</t>
  </si>
  <si>
    <t>=LEN()</t>
  </si>
  <si>
    <t>LEN(</t>
  </si>
  <si>
    <t>LEN()</t>
  </si>
  <si>
    <t>C4</t>
  </si>
  <si>
    <t>F5-1 Cut &amp; Splice C5</t>
  </si>
  <si>
    <t>C5</t>
  </si>
  <si>
    <t>F5-1 Cut &amp; Splice C6</t>
  </si>
  <si>
    <t>=LEFT(B6,2)</t>
  </si>
  <si>
    <t>C6</t>
  </si>
  <si>
    <t>In E6 return the first 2 characters of the code in B6 with LEFT.</t>
  </si>
  <si>
    <t>▶ ARENA C6 (cell E6)</t>
  </si>
  <si>
    <t>F5-1 Cut &amp; Splice C7</t>
  </si>
  <si>
    <t>=RIGHT(B6,1)</t>
  </si>
  <si>
    <t>C7</t>
  </si>
  <si>
    <t>In E7 return the last character of B6 with RIGHT.</t>
  </si>
  <si>
    <t>▶ ARENA C7 (cell E7)</t>
  </si>
  <si>
    <t>F5-1 Cut &amp; Splice C8</t>
  </si>
  <si>
    <t>=MID(B6,4,4)</t>
  </si>
  <si>
    <t>C8</t>
  </si>
  <si>
    <t>In E8 return the 4 digits (they start at character 4) with MID.</t>
  </si>
  <si>
    <t>▶ ARENA C8 (cell E8)</t>
  </si>
  <si>
    <t>F5-1 Cut &amp; Splice C9</t>
  </si>
  <si>
    <t>=LEN(B6)</t>
  </si>
  <si>
    <t>C9</t>
  </si>
  <si>
    <t>In E9 count the characters in B6 with LEN.</t>
  </si>
  <si>
    <t>▶ ARENA C9 (cell E9)</t>
  </si>
  <si>
    <t>F5-1 Cut &amp; Splice C10</t>
  </si>
  <si>
    <t>Three pieces: B13, " ", C13.</t>
  </si>
  <si>
    <t>C10</t>
  </si>
  <si>
    <t>In E13 join B13 and C13 with a space between: =B13&amp;" "&amp;C13.</t>
  </si>
  <si>
    <t>▶ ARENA C10 (cell E13)</t>
  </si>
  <si>
    <t>STAGE F5-1 ▸ CUT &amp; SPLICE</t>
  </si>
  <si>
    <t>Goal: cut pieces out of text and glue them together</t>
  </si>
  <si>
    <t>ARENA ▸ F5-2 CLEAN UP</t>
  </si>
  <si>
    <t>CLEANUP</t>
  </si>
  <si>
    <t>◀ Back to F5-2 Clean Up</t>
  </si>
  <si>
    <t>Raw text</t>
  </si>
  <si>
    <t xml:space="preserve">  ada   LOVELACE </t>
  </si>
  <si>
    <t>grace hopper</t>
  </si>
  <si>
    <t>ALAN TURING</t>
  </si>
  <si>
    <t>2026-03-15</t>
  </si>
  <si>
    <t>Trim it</t>
  </si>
  <si>
    <t>Capitals</t>
  </si>
  <si>
    <t>Lowercase</t>
  </si>
  <si>
    <t>Slashes</t>
  </si>
  <si>
    <t>Tidy B6 name</t>
  </si>
  <si>
    <r>
      <rPr>
        <b/>
        <sz val="12"/>
        <color rgb="FF1F2328"/>
        <rFont val="Calibri"/>
        <family val="2"/>
        <scheme val="minor"/>
      </rPr>
      <t>Remove extra spaces: leading, trailing and doubles.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Imported data is full of hidden spaces.</t>
    </r>
  </si>
  <si>
    <r>
      <rPr>
        <b/>
        <sz val="12"/>
        <color rgb="FF1F2328"/>
        <rFont val="Calibri"/>
        <family val="2"/>
        <scheme val="minor"/>
      </rPr>
      <t>Convert text to CAPITALS.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Handy for codes and IDs.</t>
    </r>
  </si>
  <si>
    <r>
      <rPr>
        <b/>
        <sz val="12"/>
        <color rgb="FF1F2328"/>
        <rFont val="Calibri"/>
        <family val="2"/>
        <scheme val="minor"/>
      </rPr>
      <t>Convert text to lowercase.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Good for email addresses.</t>
    </r>
  </si>
  <si>
    <r>
      <rPr>
        <b/>
        <sz val="12"/>
        <color rgb="FF1F2328"/>
        <rFont val="Calibri"/>
        <family val="2"/>
        <scheme val="minor"/>
      </rPr>
      <t>Capitalize Each Word.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Combine with TRIM to tidy names.</t>
    </r>
  </si>
  <si>
    <t>PROPER</t>
  </si>
  <si>
    <r>
      <rPr>
        <b/>
        <sz val="12"/>
        <color rgb="FF1F2328"/>
        <rFont val="Calibri"/>
        <family val="2"/>
        <scheme val="minor"/>
      </rPr>
      <t>SUBSTITUTE(text, old, new): replace every old with new.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=SUBSTITUTE(A2,"-","/") turns 2026-03-15 into 2026/03/15.</t>
    </r>
  </si>
  <si>
    <t>F5-2 Clean Up W1</t>
  </si>
  <si>
    <t>Which function returns characters from the start of a text?  (from F5-1 Cut &amp; Splice)</t>
  </si>
  <si>
    <t>F5-2 Clean Up W2</t>
  </si>
  <si>
    <t>Which function returns characters from the end of a text?  (from F5-1 Cut &amp; Splice)</t>
  </si>
  <si>
    <t>F5-2 Clean Up W3</t>
  </si>
  <si>
    <t>Which function returns characters from the middle of a text?  (from F5-1 Cut &amp; Splice)</t>
  </si>
  <si>
    <t>F5-2 Clean Up W4</t>
  </si>
  <si>
    <t>Which function counts the characters in a text?  (from F5-1 Cut &amp; Splice)</t>
  </si>
  <si>
    <t>F5-2 Clean Up W5</t>
  </si>
  <si>
    <t>Which character joins pieces of text in a formula?  (from F5-1 Cut &amp; Splice)</t>
  </si>
  <si>
    <t>F5-2 Clean Up W6</t>
  </si>
  <si>
    <t>Like a book's index.</t>
  </si>
  <si>
    <t>=INDEX</t>
  </si>
  <si>
    <t>=INDEX(</t>
  </si>
  <si>
    <t>=INDEX()</t>
  </si>
  <si>
    <t>INDEX</t>
  </si>
  <si>
    <t>INDEX(</t>
  </si>
  <si>
    <t>INDEX()</t>
  </si>
  <si>
    <t>Which function returns the item at a given position in a range?  (from F4-4 Power Couple)</t>
  </si>
  <si>
    <t>F5-2 Clean Up W7</t>
  </si>
  <si>
    <t>It finds a match.</t>
  </si>
  <si>
    <t>=MATCH</t>
  </si>
  <si>
    <t>=MATCH(</t>
  </si>
  <si>
    <t>=MATCH()</t>
  </si>
  <si>
    <t>MATCH</t>
  </si>
  <si>
    <t>MATCH(</t>
  </si>
  <si>
    <t>MATCH()</t>
  </si>
  <si>
    <t>Which function returns the position of a value in a range?  (from F4-4 Power Couple)</t>
  </si>
  <si>
    <t>F5-2 Clean Up W8</t>
  </si>
  <si>
    <t>The position finder.</t>
  </si>
  <si>
    <t>Which function goes inside INDEX to find the row position?  (from F4-4 Power Couple)</t>
  </si>
  <si>
    <t>F5-2 Clean Up W9</t>
  </si>
  <si>
    <t>X plus MATCH.</t>
  </si>
  <si>
    <t>=XMATCH</t>
  </si>
  <si>
    <t>=XMATCH(</t>
  </si>
  <si>
    <t>=XMATCH()</t>
  </si>
  <si>
    <t>XMATCH</t>
  </si>
  <si>
    <t>XMATCH(</t>
  </si>
  <si>
    <t>XMATCH()</t>
  </si>
  <si>
    <t>Which modern function returns a position with an exact match by default?  (from F4-4 Power Couple)</t>
  </si>
  <si>
    <t>F5-2 Clean Up W10</t>
  </si>
  <si>
    <t>Ctrl plus a number key.</t>
  </si>
  <si>
    <t>CTRL+9</t>
  </si>
  <si>
    <t>Which keys hide the selected rows?  (from S4-1 Construction Crew)</t>
  </si>
  <si>
    <t>F5-2 Clean Up T1</t>
  </si>
  <si>
    <t>Trims the edges.</t>
  </si>
  <si>
    <t>Which function removes extra spaces from text?</t>
  </si>
  <si>
    <t>F5-2 Clean Up T2</t>
  </si>
  <si>
    <t>Upper case.</t>
  </si>
  <si>
    <t>Which function converts text to all capitals?</t>
  </si>
  <si>
    <t>F5-2 Clean Up T3</t>
  </si>
  <si>
    <t>Lower case.</t>
  </si>
  <si>
    <t>Which function converts text to all lowercase?</t>
  </si>
  <si>
    <t>F5-2 Clean Up T4</t>
  </si>
  <si>
    <t>Proper names.</t>
  </si>
  <si>
    <t>Which function capitalizes the first letter of each word?</t>
  </si>
  <si>
    <t>F5-2 Clean Up T5</t>
  </si>
  <si>
    <t>Swap one thing for another.</t>
  </si>
  <si>
    <t>Which function replaces every occurrence of some text with other text?</t>
  </si>
  <si>
    <t>▶ Open F5-2 Arena (or press Ctrl+PgDn)</t>
  </si>
  <si>
    <t>F5-2 Clean Up C1</t>
  </si>
  <si>
    <t>=TRIM</t>
  </si>
  <si>
    <t>=TRIM(</t>
  </si>
  <si>
    <t>=TRIM()</t>
  </si>
  <si>
    <t>TRIM(</t>
  </si>
  <si>
    <t>TRIM()</t>
  </si>
  <si>
    <t>F5-2 Clean Up C2</t>
  </si>
  <si>
    <t>=UPPER</t>
  </si>
  <si>
    <t>=UPPER(</t>
  </si>
  <si>
    <t>=UPPER()</t>
  </si>
  <si>
    <t>UPPER(</t>
  </si>
  <si>
    <t>UPPER()</t>
  </si>
  <si>
    <t>F5-2 Clean Up C3</t>
  </si>
  <si>
    <t>=LOWER</t>
  </si>
  <si>
    <t>=LOWER(</t>
  </si>
  <si>
    <t>=LOWER()</t>
  </si>
  <si>
    <t>LOWER(</t>
  </si>
  <si>
    <t>LOWER()</t>
  </si>
  <si>
    <t>F5-2 Clean Up C4</t>
  </si>
  <si>
    <t>=PROPER</t>
  </si>
  <si>
    <t>=PROPER(</t>
  </si>
  <si>
    <t>=PROPER()</t>
  </si>
  <si>
    <t>PROPER(</t>
  </si>
  <si>
    <t>PROPER()</t>
  </si>
  <si>
    <t>F5-2 Clean Up C5</t>
  </si>
  <si>
    <t>=SUBSTITUTE</t>
  </si>
  <si>
    <t>=SUBSTITUTE(</t>
  </si>
  <si>
    <t>=SUBSTITUTE()</t>
  </si>
  <si>
    <t>SUBSTITUTE(</t>
  </si>
  <si>
    <t>SUBSTITUTE()</t>
  </si>
  <si>
    <t>F5-2 Clean Up C6</t>
  </si>
  <si>
    <t>=TRIM(B6)</t>
  </si>
  <si>
    <t>In D6 remove the extra spaces from B6 with TRIM.</t>
  </si>
  <si>
    <t>▶ ARENA C6 (cell D6)</t>
  </si>
  <si>
    <t>F5-2 Clean Up C7</t>
  </si>
  <si>
    <t>=UPPER(B7)</t>
  </si>
  <si>
    <t>In D7 convert B7 to capitals with UPPER.</t>
  </si>
  <si>
    <t>▶ ARENA C7 (cell D7)</t>
  </si>
  <si>
    <t>F5-2 Clean Up C8</t>
  </si>
  <si>
    <t>=LOWER(B8)</t>
  </si>
  <si>
    <t>In D8 convert B8 to lowercase with LOWER.</t>
  </si>
  <si>
    <t>▶ ARENA C8 (cell D8)</t>
  </si>
  <si>
    <t>F5-2 Clean Up C9</t>
  </si>
  <si>
    <t>=SUBSTITUTE(B9,"-","/")</t>
  </si>
  <si>
    <t>In D9 replace every "-" in B9 with "/" using SUBSTITUTE.</t>
  </si>
  <si>
    <t>▶ ARENA C9 (cell D9)</t>
  </si>
  <si>
    <t>F5-2 Clean Up C10</t>
  </si>
  <si>
    <t>PROPER around TRIM.</t>
  </si>
  <si>
    <t>In D10 tidy the name in B6: remove the extra spaces AND capitalize each word in one formula.</t>
  </si>
  <si>
    <t>▶ ARENA C10 (cell D10)</t>
  </si>
  <si>
    <t>STAGE F5-2 ▸ CLEAN UP</t>
  </si>
  <si>
    <t>Goal: tidy messy text</t>
  </si>
  <si>
    <t>ARENA ▸ F5-3 FIND THE GEM</t>
  </si>
  <si>
    <t>GEMFIND</t>
  </si>
  <si>
    <t>◀ Back to F5-3 Find the Gem</t>
  </si>
  <si>
    <t>Text</t>
  </si>
  <si>
    <t>kim@arcade.io</t>
  </si>
  <si>
    <t>Grace Hopper</t>
  </si>
  <si>
    <t>Position of @</t>
  </si>
  <si>
    <t>Position of ARCADE</t>
  </si>
  <si>
    <t>Username (before @)</t>
  </si>
  <si>
    <t>Last name</t>
  </si>
  <si>
    <r>
      <rPr>
        <b/>
        <sz val="12"/>
        <color rgb="FF1F2328"/>
        <rFont val="Calibri"/>
        <family val="2"/>
        <scheme val="minor"/>
      </rPr>
      <t>FIND(what, text): the position of what. Case-sensitive.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=FIND("@","kim@arcade.io") gives 4.</t>
    </r>
  </si>
  <si>
    <r>
      <rPr>
        <b/>
        <sz val="12"/>
        <color rgb="FF1F2328"/>
        <rFont val="Calibri"/>
        <family val="2"/>
        <scheme val="minor"/>
      </rPr>
      <t>SEARCH(what, text): like FIND, but ignores case and allows wildcards.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Use SEARCH when you don't care about capitals.</t>
    </r>
  </si>
  <si>
    <r>
      <rPr>
        <b/>
        <sz val="12"/>
        <color rgb="FF1F2328"/>
        <rFont val="Calibri"/>
        <family val="2"/>
        <scheme val="minor"/>
      </rPr>
      <t>=LEFT(A2,FIND("@",A2)-1) takes everything before the @.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FIND supplies the cut point; -1 drops the @ itself.</t>
    </r>
  </si>
  <si>
    <t>F5-3 Find the Gem W1</t>
  </si>
  <si>
    <t>Which function removes extra spaces from text?  (from F5-2 Clean Up)</t>
  </si>
  <si>
    <t>F5-3 Find the Gem W2</t>
  </si>
  <si>
    <t>Which function converts text to all capitals?  (from F5-2 Clean Up)</t>
  </si>
  <si>
    <t>F5-3 Find the Gem W3</t>
  </si>
  <si>
    <t>Which function converts text to all lowercase?  (from F5-2 Clean Up)</t>
  </si>
  <si>
    <t>F5-3 Find the Gem W4</t>
  </si>
  <si>
    <t>Which function capitalizes the first letter of each word?  (from F5-2 Clean Up)</t>
  </si>
  <si>
    <t>F5-3 Find the Gem W5</t>
  </si>
  <si>
    <t>Which function replaces every occurrence of some text with other text?  (from F5-2 Clean Up)</t>
  </si>
  <si>
    <t>F5-3 Find the Gem W6</t>
  </si>
  <si>
    <t>Minus one.</t>
  </si>
  <si>
    <t>-1</t>
  </si>
  <si>
    <t>Which XLOOKUP match_mode returns an exact match or the next smaller item?  (from F4-5 Tiers)</t>
  </si>
  <si>
    <t>F5-3 Find the Gem W7</t>
  </si>
  <si>
    <t>Low to high.</t>
  </si>
  <si>
    <t>A-Z</t>
  </si>
  <si>
    <t>ASCENDING</t>
  </si>
  <si>
    <t>ATOZ</t>
  </si>
  <si>
    <t>SMALLESTTOLARGEST</t>
  </si>
  <si>
    <t>For an approximate VLOOKUP, how must the first column be sorted?  (from F4-5 Tiers)</t>
  </si>
  <si>
    <t>F5-3 Find the Gem W8</t>
  </si>
  <si>
    <t>Ctrl plus zero.</t>
  </si>
  <si>
    <t>CTRL+0</t>
  </si>
  <si>
    <t>Which keys hide the selected columns?  (from S4-1 Construction Crew)</t>
  </si>
  <si>
    <t>F5-3 Find the Gem W9</t>
  </si>
  <si>
    <t>Shift plus F11.</t>
  </si>
  <si>
    <t>ALT+SHIFT+F1</t>
  </si>
  <si>
    <t>SHIFT+ALT+F1</t>
  </si>
  <si>
    <t>SHIFT+F11</t>
  </si>
  <si>
    <t>Which keys insert a new worksheet?  (from S4-2 Sheet Master)</t>
  </si>
  <si>
    <t>F5-3 Find the Gem W10</t>
  </si>
  <si>
    <t>Alt, H, O, R one after another.</t>
  </si>
  <si>
    <t>ALT+H+O+R</t>
  </si>
  <si>
    <t>ALT+H,O,R</t>
  </si>
  <si>
    <t>ALT+H&gt;O&gt;R</t>
  </si>
  <si>
    <t>ALT+HOR</t>
  </si>
  <si>
    <t>ALT,H+O+R</t>
  </si>
  <si>
    <t>ALT,H,O,R</t>
  </si>
  <si>
    <t>ALT,H&gt;O&gt;R</t>
  </si>
  <si>
    <t>ALT,HOR</t>
  </si>
  <si>
    <t>ALT&gt;H+O+R</t>
  </si>
  <si>
    <t>ALT&gt;H,O,R</t>
  </si>
  <si>
    <t>ALT&gt;H&gt;O&gt;R</t>
  </si>
  <si>
    <t>ALT&gt;HOR</t>
  </si>
  <si>
    <t>ALTH+O+R</t>
  </si>
  <si>
    <t>ALTH,O,R</t>
  </si>
  <si>
    <t>ALTH&gt;O&gt;R</t>
  </si>
  <si>
    <t>ALTHOR</t>
  </si>
  <si>
    <t>Which KeyTips rename the current sheet?  (from S4-2 Sheet Master)</t>
  </si>
  <si>
    <t>F5-3 Find the Gem T1</t>
  </si>
  <si>
    <t>It finds things.</t>
  </si>
  <si>
    <t>Which function returns the position of text, matching case?</t>
  </si>
  <si>
    <t>F5-3 Find the Gem T2</t>
  </si>
  <si>
    <t>Like FIND, but case-blind.</t>
  </si>
  <si>
    <t>Which function returns a position while ignoring case?</t>
  </si>
  <si>
    <t>F5-3 Find the Gem T3</t>
  </si>
  <si>
    <t>"text"</t>
  </si>
  <si>
    <t>SORT(UNIQUE(…))</t>
  </si>
  <si>
    <t>Which move is this? =LEFT(A2,FIND("@",A2)-1) takes everything before the @.</t>
  </si>
  <si>
    <t>▶ Open F5-3 Arena (or press Ctrl+PgDn)</t>
  </si>
  <si>
    <t>F5-3 Find the Gem C1</t>
  </si>
  <si>
    <t>=FIND</t>
  </si>
  <si>
    <t>=FIND(</t>
  </si>
  <si>
    <t>=FIND()</t>
  </si>
  <si>
    <t>FIND(</t>
  </si>
  <si>
    <t>FIND()</t>
  </si>
  <si>
    <t>F5-3 Find the Gem C2</t>
  </si>
  <si>
    <t>=SEARCH</t>
  </si>
  <si>
    <t>=SEARCH(</t>
  </si>
  <si>
    <t>=SEARCH()</t>
  </si>
  <si>
    <t>SEARCH(</t>
  </si>
  <si>
    <t>SEARCH()</t>
  </si>
  <si>
    <t>F5-3 Find the Gem C3</t>
  </si>
  <si>
    <t>Which function supplies the cut position inside =LEFT(A2, ____("@",A2)-1)?</t>
  </si>
  <si>
    <t>F5-3 Find the Gem C4</t>
  </si>
  <si>
    <t>=FIND("@",B6)</t>
  </si>
  <si>
    <t>In D6 find the position of "@" in B6 with FIND.</t>
  </si>
  <si>
    <t>▶ ARENA C4 (cell D6)</t>
  </si>
  <si>
    <t>F5-3 Find the Gem C5</t>
  </si>
  <si>
    <t>SEARCH is case-blind.</t>
  </si>
  <si>
    <t>In D7 find where "ARCADE" starts in B6, ignoring case. Use SEARCH (FIND would fail here).</t>
  </si>
  <si>
    <t>▶ ARENA C5 (cell D7)</t>
  </si>
  <si>
    <t>F5-3 Find the Gem C6</t>
  </si>
  <si>
    <t>=LEFT(B6,FIND("@",B6)-1)</t>
  </si>
  <si>
    <t>In D8 return the username: everything in B6 before the "@". Combine LEFT and FIND.</t>
  </si>
  <si>
    <t>▶ ARENA C6 (cell D8)</t>
  </si>
  <si>
    <t>F5-3 Find the Gem C7</t>
  </si>
  <si>
    <t>=MID(B7,FIND(" ",B7)+1,100)</t>
  </si>
  <si>
    <t>In D9 return the last name from B7: everything after the space. Use MID and FIND.</t>
  </si>
  <si>
    <t>▶ ARENA C7 (cell D9)</t>
  </si>
  <si>
    <t>STAGE F5-3 ▸ FIND THE GEM</t>
  </si>
  <si>
    <t>Goal: locate text inside text and cut around it</t>
  </si>
  <si>
    <t>ARENA ▸ F5-4 ASSEMBLE</t>
  </si>
  <si>
    <t>ASSEMBLE</t>
  </si>
  <si>
    <t>◀ Back to F5-4 Assemble</t>
  </si>
  <si>
    <t>Tags</t>
  </si>
  <si>
    <t>red</t>
  </si>
  <si>
    <t>green</t>
  </si>
  <si>
    <t>blue</t>
  </si>
  <si>
    <t>gold</t>
  </si>
  <si>
    <t>Date</t>
  </si>
  <si>
    <t>Text number</t>
  </si>
  <si>
    <t>42</t>
  </si>
  <si>
    <t>Amount</t>
  </si>
  <si>
    <t>Join the tags</t>
  </si>
  <si>
    <t>Date as yyyy-mm-dd</t>
  </si>
  <si>
    <t>Make it a number</t>
  </si>
  <si>
    <t>Label the amount</t>
  </si>
  <si>
    <r>
      <rPr>
        <b/>
        <sz val="12"/>
        <color rgb="FF1F2328"/>
        <rFont val="Calibri"/>
        <family val="2"/>
        <scheme val="minor"/>
      </rPr>
      <t>TEXTJOIN(delimiter, ignore_empty, range) joins a whole range.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=TEXTJOIN(", ",TRUE,B6:B10) skips blanks.</t>
    </r>
  </si>
  <si>
    <r>
      <rPr>
        <b/>
        <sz val="12"/>
        <color rgb="FF1F2328"/>
        <rFont val="Calibri"/>
        <family val="2"/>
        <scheme val="minor"/>
      </rPr>
      <t>TEXT(value, format) turns a number or date into formatted text.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=TEXT(B12,"yyyy-mm-dd") gives 2026-03-15.</t>
    </r>
  </si>
  <si>
    <r>
      <rPr>
        <b/>
        <sz val="12"/>
        <color rgb="FF1F2328"/>
        <rFont val="Calibri"/>
        <family val="2"/>
        <scheme val="minor"/>
      </rPr>
      <t>VALUE(text) turns number-looking text into a real number.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Text "42" can't be summed until VALUE converts it.</t>
    </r>
  </si>
  <si>
    <t>VALUE</t>
  </si>
  <si>
    <t>F5-4 Assemble W1</t>
  </si>
  <si>
    <t>Which function returns the position of text, matching case?  (from F5-3 Find the Gem)</t>
  </si>
  <si>
    <t>F5-4 Assemble W2</t>
  </si>
  <si>
    <t>Which function returns a position while ignoring case?  (from F5-3 Find the Gem)</t>
  </si>
  <si>
    <t>F5-4 Assemble W3</t>
  </si>
  <si>
    <t>Which function supplies the cut position inside =LEFT(A2, ____("@",A2)-1)?  (from F5-3 Find the Gem)</t>
  </si>
  <si>
    <t>F5-4 Assemble W4</t>
  </si>
  <si>
    <t>S for Save.</t>
  </si>
  <si>
    <t>CTRL+S</t>
  </si>
  <si>
    <t>Which keys save the workbook?  (from S4-2 Sheet Master)</t>
  </si>
  <si>
    <t>F5-4 Assemble W5</t>
  </si>
  <si>
    <t>The last function key.</t>
  </si>
  <si>
    <t>F12</t>
  </si>
  <si>
    <t>Which key opens Save As?  (from S4-2 Sheet Master)</t>
  </si>
  <si>
    <t>F5-4 Assemble W6</t>
  </si>
  <si>
    <t>N for New.</t>
  </si>
  <si>
    <t>CTRL+N</t>
  </si>
  <si>
    <t>Which keys create a new blank workbook?  (from S4-2 Sheet Master)</t>
  </si>
  <si>
    <t>F5-4 Assemble W7</t>
  </si>
  <si>
    <t>O for Open.</t>
  </si>
  <si>
    <t>CTRL+O</t>
  </si>
  <si>
    <t>Which keys open a workbook?  (from S4-2 Sheet Master)</t>
  </si>
  <si>
    <t>F5-4 Assemble W8</t>
  </si>
  <si>
    <t>W for Window.</t>
  </si>
  <si>
    <t>CTRL+W</t>
  </si>
  <si>
    <t>Which keys close the current workbook?  (from S4-2 Sheet Master)</t>
  </si>
  <si>
    <t>F5-4 Assemble W9</t>
  </si>
  <si>
    <t>P for Print.</t>
  </si>
  <si>
    <t>CTRL+P</t>
  </si>
  <si>
    <t>Which keys open Print?  (from S4-2 Sheet Master)</t>
  </si>
  <si>
    <t>F5-4 Assemble W10</t>
  </si>
  <si>
    <t>F for Find.</t>
  </si>
  <si>
    <t>CTRL+F</t>
  </si>
  <si>
    <t>Which keys open Find?  (from S4-3 Detective)</t>
  </si>
  <si>
    <t>F5-4 Assemble T1</t>
  </si>
  <si>
    <t>TEXT plus JOIN.</t>
  </si>
  <si>
    <t>Which function joins a range of text with a delimiter?</t>
  </si>
  <si>
    <t>F5-4 Assemble T2</t>
  </si>
  <si>
    <t>Four letters.</t>
  </si>
  <si>
    <t>Which function turns a number or date into formatted text?</t>
  </si>
  <si>
    <t>F5-4 Assemble T3</t>
  </si>
  <si>
    <t>The opposite of TEXT.</t>
  </si>
  <si>
    <t>Which function turns text that looks like a number into a number?</t>
  </si>
  <si>
    <t>▶ Open F5-4 Arena (or press Ctrl+PgDn)</t>
  </si>
  <si>
    <t>F5-4 Assemble C1</t>
  </si>
  <si>
    <t>=TEXTJOIN</t>
  </si>
  <si>
    <t>=TEXTJOIN(</t>
  </si>
  <si>
    <t>=TEXTJOIN()</t>
  </si>
  <si>
    <t>TEXTJOIN(</t>
  </si>
  <si>
    <t>TEXTJOIN()</t>
  </si>
  <si>
    <t>F5-4 Assemble C2</t>
  </si>
  <si>
    <t>=TEXT</t>
  </si>
  <si>
    <t>=TEXT(</t>
  </si>
  <si>
    <t>=TEXT()</t>
  </si>
  <si>
    <t>TEXT(</t>
  </si>
  <si>
    <t>TEXT()</t>
  </si>
  <si>
    <t>F5-4 Assemble C3</t>
  </si>
  <si>
    <t>=VALUE</t>
  </si>
  <si>
    <t>=VALUE(</t>
  </si>
  <si>
    <t>=VALUE()</t>
  </si>
  <si>
    <t>VALUE(</t>
  </si>
  <si>
    <t>VALUE()</t>
  </si>
  <si>
    <t>F5-4 Assemble C4</t>
  </si>
  <si>
    <t>TRUE ignores empty cells.</t>
  </si>
  <si>
    <t>In D6 join the tags in B6:B10 with ", " and skip the blank one: =TEXTJOIN(", ",TRUE,B6:B10).</t>
  </si>
  <si>
    <t>F5-4 Assemble C5</t>
  </si>
  <si>
    <t>=TEXT(B12,"yyyy-mm-dd")</t>
  </si>
  <si>
    <t>In D12 show the date in B12 as text in the format yyyy-mm-dd.</t>
  </si>
  <si>
    <t>▶ ARENA C5 (cell D12)</t>
  </si>
  <si>
    <t>F5-4 Assemble C6</t>
  </si>
  <si>
    <t>=VALUE(B14)</t>
  </si>
  <si>
    <t>B14 holds the text "42". In D14 turn it into a real number with VALUE.</t>
  </si>
  <si>
    <t>▶ ARENA C6 (cell D14)</t>
  </si>
  <si>
    <t>F5-4 Assemble C7</t>
  </si>
  <si>
    <t>="Total: "&amp;TEXT(B16,"$#,##0.00")</t>
  </si>
  <si>
    <t>In D16 build the label Total: $1,234.50 from B16 using &amp; and TEXT with the format "$#,##0.00".</t>
  </si>
  <si>
    <t>▶ ARENA C7 (cell D16)</t>
  </si>
  <si>
    <t>STAGE F5-4 ▸ ASSEMBLE</t>
  </si>
  <si>
    <t>Goal: join, format and convert text</t>
  </si>
  <si>
    <t>BOSS ARENA ▸ TEXT</t>
  </si>
  <si>
    <t>WORDSMITH</t>
  </si>
  <si>
    <t>◀ Back to Boss</t>
  </si>
  <si>
    <t>Raw</t>
  </si>
  <si>
    <t xml:space="preserve">  jo   PARK </t>
  </si>
  <si>
    <t>QX-5512-B</t>
  </si>
  <si>
    <t>lee@quest.dev</t>
  </si>
  <si>
    <t>Ada Lovelace</t>
  </si>
  <si>
    <t>2026/12/31</t>
  </si>
  <si>
    <t>77</t>
  </si>
  <si>
    <t>Tidy name</t>
  </si>
  <si>
    <t>Middle digits</t>
  </si>
  <si>
    <t>Username</t>
  </si>
  <si>
    <t>Dashes instead of /</t>
  </si>
  <si>
    <t>As a number</t>
  </si>
  <si>
    <t>Date as dd/mm/yyyy</t>
  </si>
  <si>
    <t>Tag list</t>
  </si>
  <si>
    <t>alpha</t>
  </si>
  <si>
    <t>beta</t>
  </si>
  <si>
    <t>gamma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</si>
  <si>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</si>
  <si>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</si>
  <si>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</si>
  <si>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</si>
  <si>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</si>
  <si>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</si>
  <si>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</si>
  <si>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</si>
  <si>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</si>
  <si>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</si>
  <si>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F2</t>
  </si>
  <si>
    <t>Boss F3</t>
  </si>
  <si>
    <t>F3</t>
  </si>
  <si>
    <t>Boss F4</t>
  </si>
  <si>
    <t>F4</t>
  </si>
  <si>
    <t>Boss F5</t>
  </si>
  <si>
    <t>F5</t>
  </si>
  <si>
    <t>Boss F6</t>
  </si>
  <si>
    <t>F6</t>
  </si>
  <si>
    <t>Boss F7</t>
  </si>
  <si>
    <t>F7</t>
  </si>
  <si>
    <t>Boss F8</t>
  </si>
  <si>
    <t>F8</t>
  </si>
  <si>
    <t>BOSS MISSIONS</t>
  </si>
  <si>
    <t>▶ Open Boss Arena (or press Ctrl+PgDn)</t>
  </si>
  <si>
    <t>Boss B1</t>
  </si>
  <si>
    <t>PROPER(TRIM(…)).</t>
  </si>
  <si>
    <t>B1</t>
  </si>
  <si>
    <t>▶ ARENA B1 (cell D6)</t>
  </si>
  <si>
    <t>Boss B2</t>
  </si>
  <si>
    <t>MID.</t>
  </si>
  <si>
    <t>B2</t>
  </si>
  <si>
    <t>▶ ARENA B2 (cell D7)</t>
  </si>
  <si>
    <t>Boss B3</t>
  </si>
  <si>
    <t>LEFT and FIND.</t>
  </si>
  <si>
    <t>B3</t>
  </si>
  <si>
    <t>▶ ARENA B3 (cell D8)</t>
  </si>
  <si>
    <t>Boss B4</t>
  </si>
  <si>
    <t>MID and FIND.</t>
  </si>
  <si>
    <t>B4</t>
  </si>
  <si>
    <t>▶ ARENA B4 (cell D9)</t>
  </si>
  <si>
    <t>Boss B5</t>
  </si>
  <si>
    <t>SUBSTITUTE.</t>
  </si>
  <si>
    <t>B5</t>
  </si>
  <si>
    <t>▶ ARENA B5 (cell D10)</t>
  </si>
  <si>
    <t>Boss B6</t>
  </si>
  <si>
    <t>VALUE.</t>
  </si>
  <si>
    <t>B6</t>
  </si>
  <si>
    <t>▶ ARENA B6 (cell D11)</t>
  </si>
  <si>
    <t>Boss B7</t>
  </si>
  <si>
    <t>TEXT.</t>
  </si>
  <si>
    <t>B7</t>
  </si>
  <si>
    <t>▶ ARENA B7 (cell D12)</t>
  </si>
  <si>
    <t>Boss B8</t>
  </si>
  <si>
    <t>TEXTJOIN with TRUE.</t>
  </si>
  <si>
    <t>B8</t>
  </si>
  <si>
    <t>▶ ARENA B8 (cell D13)</t>
  </si>
  <si>
    <t>BOSS ▸ TEXT</t>
  </si>
  <si>
    <t>Every move from this world in one gauntlet. Clear it under par for rank S.</t>
  </si>
  <si>
    <t>FORMULAS 5 ▸ TEXT</t>
  </si>
  <si>
    <t>Cut, clean, search and assemble text with formulas.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</si>
  <si>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</si>
  <si>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</si>
  <si>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</si>
  <si>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</si>
  <si>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</si>
  <si>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</si>
  <si>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</si>
  <si>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</si>
  <si>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</si>
  <si>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Score</t>
  </si>
  <si>
    <t>Stars</t>
  </si>
  <si>
    <t>Status</t>
  </si>
  <si>
    <t>Go</t>
  </si>
  <si>
    <t>F5-1</t>
  </si>
  <si>
    <t>Cut &amp; Splice</t>
  </si>
  <si>
    <t>Go to F5-1 Cut &amp; Splice</t>
  </si>
  <si>
    <t>F5-2</t>
  </si>
  <si>
    <t>Clean Up</t>
  </si>
  <si>
    <t>Go to F5-2 Clean Up</t>
  </si>
  <si>
    <t>F5-3</t>
  </si>
  <si>
    <t>Find the Gem</t>
  </si>
  <si>
    <t>Go to F5-3 Find the Gem</t>
  </si>
  <si>
    <t>F5-4</t>
  </si>
  <si>
    <t>Assemble</t>
  </si>
  <si>
    <t>Go to F5-4 Assemble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</si>
  <si>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</si>
  <si>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</si>
  <si>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</si>
  <si>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</si>
  <si>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</si>
  <si>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</si>
  <si>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</si>
  <si>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</si>
  <si>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</si>
  <si>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CHEAT CODES ▸ TEXT</t>
  </si>
  <si>
    <t>Every move from this world on one page. Keep it open while you play, or print it (Ctrl+P).</t>
  </si>
  <si>
    <t>What it does</t>
  </si>
  <si>
    <t>Pro tip</t>
  </si>
  <si>
    <t>LEFT(text, n): the first n characters.</t>
  </si>
  <si>
    <t>=LEFT("AB-1234-X",2) gives AB.</t>
  </si>
  <si>
    <t>RIGHT(text, n): the last n characters.</t>
  </si>
  <si>
    <t>=RIGHT("AB-1234-X",1) gives X.</t>
  </si>
  <si>
    <t>MID(text, start, n): n characters from position start.</t>
  </si>
  <si>
    <t>=MID("AB-1234-X",4,4) gives 1234.</t>
  </si>
  <si>
    <t>LEN(text): how many characters, spaces included.</t>
  </si>
  <si>
    <t>Great for spotting extra spaces.</t>
  </si>
  <si>
    <t>Join text with &amp;: =B13&amp;" "&amp;C13.</t>
  </si>
  <si>
    <t>Add " " between pieces for a space.</t>
  </si>
  <si>
    <t>Remove extra spaces: leading, trailing and doubles.</t>
  </si>
  <si>
    <t>Imported data is full of hidden spaces.</t>
  </si>
  <si>
    <t>Convert text to CAPITALS.</t>
  </si>
  <si>
    <t>Handy for codes and IDs.</t>
  </si>
  <si>
    <t>Convert text to lowercase.</t>
  </si>
  <si>
    <t>Good for email addresses.</t>
  </si>
  <si>
    <t>Capitalize Each Word.</t>
  </si>
  <si>
    <t>Combine with TRIM to tidy names.</t>
  </si>
  <si>
    <t>SUBSTITUTE(text, old, new): replace every old with new.</t>
  </si>
  <si>
    <t>=SUBSTITUTE(A2,"-","/") turns 2026-03-15 into 2026/03/15.</t>
  </si>
  <si>
    <t>FIND(what, text): the position of what. Case-sensitive.</t>
  </si>
  <si>
    <t>=FIND("@","kim@arcade.io") gives 4.</t>
  </si>
  <si>
    <t>SEARCH(what, text): like FIND, but ignores case and allows wildcards.</t>
  </si>
  <si>
    <t>Use SEARCH when you don't care about capitals.</t>
  </si>
  <si>
    <t>=LEFT(A2,FIND("@",A2)-1) takes everything before the @.</t>
  </si>
  <si>
    <t>FIND supplies the cut point; -1 drops the @ itself.</t>
  </si>
  <si>
    <t>TEXTJOIN(delimiter, ignore_empty, range) joins a whole range.</t>
  </si>
  <si>
    <t>=TEXTJOIN(", ",TRUE,B6:B10) skips blanks.</t>
  </si>
  <si>
    <t>TEXT(value, format) turns a number or date into formatted text.</t>
  </si>
  <si>
    <t>=TEXT(B12,"yyyy-mm-dd") gives 2026-03-15.</t>
  </si>
  <si>
    <t>VALUE(text) turns number-looking text into a real number.</t>
  </si>
  <si>
    <t>Text "42" can't be summed until VALUE converts it.</t>
  </si>
</sst>
</file>

<file path=xl/styles.xml><?xml version="1.0" encoding="utf-8"?>
<styleSheet xmlns="http://schemas.openxmlformats.org/spreadsheetml/2006/main">
  <numFmts count="4">
    <numFmt numFmtId="164" formatCode="@"/>
    <numFmt numFmtId="165" formatCode="d-mmm-yyyy"/>
    <numFmt numFmtId="166" formatCode="h:mm AM/PM"/>
    <numFmt numFmtId="167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0" fontId="16" fillId="5" borderId="1" xfId="0" applyFont="1" applyFill="1" applyBorder="1" applyAlignment="1" applyProtection="1">
      <alignment vertical="top"/>
      <protection locked="0"/>
    </xf>
    <xf numFmtId="165" fontId="5" fillId="0" borderId="0" xfId="0" applyNumberFormat="1" applyFont="1" applyAlignment="1">
      <alignment vertical="top"/>
    </xf>
    <xf numFmtId="166" fontId="16" fillId="5" borderId="1" xfId="0" applyNumberFormat="1" applyFont="1" applyFill="1" applyBorder="1" applyAlignment="1" applyProtection="1">
      <alignment vertical="top"/>
      <protection locked="0"/>
    </xf>
    <xf numFmtId="167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4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631</v>
      </c>
      <c r="B1" s="2"/>
      <c r="C1" s="2"/>
      <c r="D1" s="2"/>
      <c r="E1" s="2"/>
      <c r="F1" s="2"/>
    </row>
    <row r="2" spans="1:6">
      <c r="A2" s="3" t="s">
        <v>632</v>
      </c>
    </row>
    <row r="4" spans="1:6">
      <c r="A4" s="4" t="s">
        <v>633</v>
      </c>
      <c r="B4" s="4"/>
      <c r="C4" s="4"/>
      <c r="D4" s="4"/>
      <c r="E4" s="4"/>
      <c r="F4" s="4"/>
    </row>
    <row r="5" spans="1:6">
      <c r="A5" s="5" t="s">
        <v>634</v>
      </c>
    </row>
    <row r="6" spans="1:6">
      <c r="A6" s="5" t="s">
        <v>635</v>
      </c>
    </row>
    <row r="7" spans="1:6">
      <c r="A7" s="5" t="s">
        <v>636</v>
      </c>
    </row>
    <row r="8" spans="1:6">
      <c r="A8" s="5" t="s">
        <v>637</v>
      </c>
    </row>
    <row r="9" spans="1:6">
      <c r="A9" s="5" t="s">
        <v>638</v>
      </c>
    </row>
    <row r="11" spans="1:6">
      <c r="A11" s="4" t="s">
        <v>639</v>
      </c>
      <c r="B11" s="4"/>
      <c r="C11" s="4"/>
      <c r="D11" s="4"/>
      <c r="E11" s="4"/>
      <c r="F11" s="4"/>
    </row>
    <row r="12" spans="1:6">
      <c r="A12" s="6" t="s">
        <v>640</v>
      </c>
      <c r="B12" s="6" t="s">
        <v>641</v>
      </c>
      <c r="C12" s="6" t="s">
        <v>642</v>
      </c>
      <c r="D12" s="6" t="s">
        <v>643</v>
      </c>
      <c r="E12" s="6" t="s">
        <v>644</v>
      </c>
      <c r="F12" s="6" t="s">
        <v>645</v>
      </c>
    </row>
    <row r="13" spans="1:6">
      <c r="A13" s="7" t="s">
        <v>646</v>
      </c>
      <c r="B13" s="8" t="s">
        <v>647</v>
      </c>
      <c r="C13" s="9" cm="1" t="str">
        <f t="array" ref="C13">SUM('F5-1 Cut &amp; Splice'!$G$15:$G$46)&amp;" / 250"</f>
        <v>0 / 250</v>
      </c>
      <c r="D13" s="10" cm="1" t="str">
        <f t="array" ref="D13">IF(SUM('F5-1 Cut &amp; Splice'!$G$15:$G$46)&gt;=250,"★★★",IF(SUM('F5-1 Cut &amp; Splice'!$G$15:$G$46)&gt;=250*0.8,"★★☆",IF(SUM('F5-1 Cut &amp; Splice'!$G$15:$G$46)&gt;=250*0.5,"★☆☆","☆☆☆")))</f>
        <v>☆☆☆</v>
      </c>
      <c r="E13" s="9" cm="1" t="str">
        <f t="array" ref="E13">IF(SUM('F5-1 Cut &amp; Splice'!$G$15:$G$46)&gt;=250,"PERFECT",IF(SUM('F5-1 Cut &amp; Splice'!$G$15:$G$46)&gt;=250*0.5,"CLEARED",IF(SUM('F5-1 Cut &amp; Splice'!$G$15:$G$46)&gt;0,"IN PROGRESS","NEW")))</f>
        <v>NEW</v>
      </c>
      <c r="F13" s="11" t="s">
        <v>648</v>
      </c>
    </row>
    <row r="14" spans="1:6">
      <c r="A14" s="7" t="s">
        <v>649</v>
      </c>
      <c r="B14" s="8" t="s">
        <v>650</v>
      </c>
      <c r="C14" s="9" cm="1" t="str">
        <f t="array" ref="C14">SUM('F5-2 Clean Up'!$G$15:$G$46)&amp;" / 250"</f>
        <v>0 / 250</v>
      </c>
      <c r="D14" s="10" cm="1" t="str">
        <f t="array" ref="D14">IF(SUM('F5-2 Clean Up'!$G$15:$G$46)&gt;=250,"★★★",IF(SUM('F5-2 Clean Up'!$G$15:$G$46)&gt;=250*0.8,"★★☆",IF(SUM('F5-2 Clean Up'!$G$15:$G$46)&gt;=250*0.5,"★☆☆","☆☆☆")))</f>
        <v>☆☆☆</v>
      </c>
      <c r="E14" s="9" cm="1" t="str">
        <f t="array" ref="E14">IF(SUM('F5-2 Clean Up'!$G$15:$G$46)&gt;=250,"PERFECT",IF(SUM('F5-2 Clean Up'!$G$15:$G$46)&gt;=250*0.5,"CLEARED",IF(SUM('F5-2 Clean Up'!$G$15:$G$46)&gt;0,"IN PROGRESS","NEW")))</f>
        <v>NEW</v>
      </c>
      <c r="F14" s="11" t="s">
        <v>651</v>
      </c>
    </row>
    <row r="15" spans="1:6">
      <c r="A15" s="7" t="s">
        <v>652</v>
      </c>
      <c r="B15" s="8" t="s">
        <v>653</v>
      </c>
      <c r="C15" s="9" cm="1" t="str">
        <f t="array" ref="C15">SUM('F5-3 Find the Gem'!$G$13:$G$39)&amp;" / 200"</f>
        <v>0 / 200</v>
      </c>
      <c r="D15" s="10" cm="1" t="str">
        <f t="array" ref="D15">IF(SUM('F5-3 Find the Gem'!$G$13:$G$39)&gt;=200,"★★★",IF(SUM('F5-3 Find the Gem'!$G$13:$G$39)&gt;=200*0.8,"★★☆",IF(SUM('F5-3 Find the Gem'!$G$13:$G$39)&gt;=200*0.5,"★☆☆","☆☆☆")))</f>
        <v>☆☆☆</v>
      </c>
      <c r="E15" s="9" cm="1" t="str">
        <f t="array" ref="E15">IF(SUM('F5-3 Find the Gem'!$G$13:$G$39)&gt;=200,"PERFECT",IF(SUM('F5-3 Find the Gem'!$G$13:$G$39)&gt;=200*0.5,"CLEARED",IF(SUM('F5-3 Find the Gem'!$G$13:$G$39)&gt;0,"IN PROGRESS","NEW")))</f>
        <v>NEW</v>
      </c>
      <c r="F15" s="11" t="s">
        <v>654</v>
      </c>
    </row>
    <row r="16" spans="1:6">
      <c r="A16" s="7" t="s">
        <v>655</v>
      </c>
      <c r="B16" s="8" t="s">
        <v>656</v>
      </c>
      <c r="C16" s="9" cm="1" t="str">
        <f t="array" ref="C16">SUM('F5-4 Assemble'!$G$13:$G$39)&amp;" / 200"</f>
        <v>0 / 200</v>
      </c>
      <c r="D16" s="10" cm="1" t="str">
        <f t="array" ref="D16">IF(SUM('F5-4 Assemble'!$G$13:$G$39)&gt;=200,"★★★",IF(SUM('F5-4 Assemble'!$G$13:$G$39)&gt;=200*0.8,"★★☆",IF(SUM('F5-4 Assemble'!$G$13:$G$39)&gt;=200*0.5,"★☆☆","☆☆☆")))</f>
        <v>☆☆☆</v>
      </c>
      <c r="E16" s="9" cm="1" t="str">
        <f t="array" ref="E16">IF(SUM('F5-4 Assemble'!$G$13:$G$39)&gt;=200,"PERFECT",IF(SUM('F5-4 Assemble'!$G$13:$G$39)&gt;=200*0.5,"CLEARED",IF(SUM('F5-4 Assemble'!$G$13:$G$39)&gt;0,"IN PROGRESS","NEW")))</f>
        <v>NEW</v>
      </c>
      <c r="F16" s="11" t="s">
        <v>657</v>
      </c>
    </row>
    <row r="17" spans="1:6">
      <c r="A17" s="7" t="s">
        <v>658</v>
      </c>
      <c r="B17" s="8" t="s">
        <v>659</v>
      </c>
      <c r="C17" s="9" cm="1" t="str">
        <f t="array" ref="C17">SUM(Boss!$G$14:$G$33)&amp;" / 160"</f>
        <v>0 / 160</v>
      </c>
      <c r="D17" s="10" cm="1" t="str">
        <f t="array" ref="D17">IF(SUM(Boss!$G$14:$G$33)&gt;=160,"★★★",IF(SUM(Boss!$G$14:$G$33)&gt;=160*0.8,"★★☆",IF(SUM(Boss!$G$14:$G$33)&gt;=160*0.5,"★☆☆","☆☆☆")))</f>
        <v>☆☆☆</v>
      </c>
      <c r="E17" s="9" cm="1" t="str">
        <f t="array" ref="E17">IF(Boss!$C$10="OPEN",IF(SUM(Boss!$G$14:$G$33)&gt;=160*0.5,"DEFEATED","OPEN"),"LOCKED")</f>
        <v>LOCKED</v>
      </c>
      <c r="F17" s="11" t="s">
        <v>660</v>
      </c>
    </row>
    <row r="19" spans="1:6">
      <c r="A19" s="7" t="s">
        <v>661</v>
      </c>
      <c r="B19" s="12" cm="1" t="str">
        <f t="array" ref="B19">(SUM('F5-1 Cut &amp; Splice'!$G$15:$G$46)+SUM('F5-2 Clean Up'!$G$15:$G$46)+SUM('F5-3 Find the Gem'!$G$13:$G$39)+SUM('F5-4 Assemble'!$G$13:$G$39)+SUM(Boss!$G$14:$G$33))&amp;" / 1060"</f>
        <v>0 / 1060</v>
      </c>
    </row>
    <row r="20" spans="1:6">
      <c r="A20" s="7" t="s">
        <v>662</v>
      </c>
      <c r="B20" s="12" cm="1" t="str">
        <f t="array" ref="B20">_xlfn.LET(_xlpm.p,(SUM('F5-1 Cut &amp; Splice'!$G$15:$G$46)+SUM('F5-2 Clean Up'!$G$15:$G$46)+SUM('F5-3 Find the Gem'!$G$13:$G$39)+SUM('F5-4 Assemble'!$G$13:$G$39)+SUM(Boss!$G$14:$G$33))/1060,IF(AND(_xlpm.p&gt;=1,ISNUMBER(Boss!$C$8),Boss!$C$8&lt;=15),"S",IF(_xlpm.p&gt;=0.9,"A",IF(_xlpm.p&gt;=0.75,"B",IF(_xlpm.p&gt;=0.5,"C","D")))))</f>
        <v>D</v>
      </c>
      <c r="C20" s="13" t="s">
        <v>663</v>
      </c>
    </row>
    <row r="21" spans="1:6">
      <c r="A21" s="7" t="s">
        <v>664</v>
      </c>
      <c r="B21" s="12" cm="1" t="str">
        <f t="array" ref="B21">IF(ISNUMBER(Boss!$C$8),Boss!$C$8&amp;" min (par 15)","—")</f>
        <v>—</v>
      </c>
    </row>
    <row r="22" spans="1:6">
      <c r="A22" s="7" t="s">
        <v>665</v>
      </c>
      <c r="B22" s="12" cm="1" t="str">
        <f t="array" ref="B22">IFERROR(INDEX($A$13:$A$16,MATCH("☆☆☆",$D$13:$D$16,0))&amp;" "&amp;INDEX($B$13:$B$16,MATCH("☆☆☆",$D$13:$D$16,0)),IF(Boss!$C$10="OPEN","the Boss","All clear! Aim for rank S"))</f>
        <v>F5-1 Cut &amp; Splice</v>
      </c>
    </row>
    <row r="24" spans="1:6">
      <c r="A24" s="13" t="s">
        <v>666</v>
      </c>
    </row>
  </sheetData>
  <sheetProtection sheet="1" objects="1" scenarios="1" formatColumns="0" formatRows="0"/>
  <hyperlinks>
    <hyperlink ref="F13" location="'F5-1 Cut &amp; Splice'!A1" display="Go to F5-1 Cut &amp; Splice"/>
    <hyperlink ref="F14" location="'F5-2 Clean Up'!A1" display="Go to F5-2 Clean Up"/>
    <hyperlink ref="F15" location="'F5-3 Find the Gem'!A1" display="Go to F5-3 Find the Gem"/>
    <hyperlink ref="F16" location="'F5-4 Assemble'!A1" display="Go to F5-4 Assemble"/>
    <hyperlink ref="F17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4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214</v>
      </c>
      <c r="B1" s="2"/>
      <c r="C1" s="2"/>
      <c r="D1" s="2"/>
      <c r="E1" s="2"/>
      <c r="F1" s="2"/>
      <c r="G1" s="2"/>
    </row>
    <row r="2" spans="1:7">
      <c r="A2" s="3" t="s">
        <v>215</v>
      </c>
    </row>
    <row r="3" spans="1:7" ht="26" customHeight="1">
      <c r="A3" s="14" cm="1" t="str">
        <f t="array" ref="A3">"SCORE "&amp;TEXT(SUM($G$15:$G$46),"0000")&amp;" / 0250"</f>
        <v>SCORE 0000 / 0250</v>
      </c>
      <c r="C3" s="15" cm="1" t="str">
        <f t="array" ref="C3">IF(SUM($G$15:$G$46)&gt;=250,"★★★",IF(SUM($G$15:$G$46)&gt;=250*0.8,"★★☆",IF(SUM($G$15:$G$46)&gt;=250*0.5,"★☆☆","☆☆☆")))</f>
        <v>☆☆☆</v>
      </c>
      <c r="D3" s="16" cm="1" t="str">
        <f t="array" ref="D3">REPT("█",ROUND(10*SUM($G$15:$G$46)/250,0))&amp;REPT("░",10-ROUND(10*SUM($G$15:$G$46)/250,0))&amp;"  "&amp;TEXT(SUM($G$15:$G$46)/250,"0%")</f>
        <v>░░░░░░░░░░  0%</v>
      </c>
      <c r="F3" s="17" cm="1" t="str">
        <f t="array" ref="F3">IF(SUM($G$15:$G$46)&gt;=250*0.5,"STAGE CLEAR! ▶ Next: F5-2 Clean Up","")</f>
        <v/>
      </c>
    </row>
    <row r="5" spans="1:7" ht="22" customHeight="1">
      <c r="A5" s="4" t="s">
        <v>21</v>
      </c>
      <c r="B5" s="4"/>
      <c r="C5" s="4"/>
      <c r="D5" s="4"/>
      <c r="E5" s="4"/>
      <c r="F5" s="4"/>
      <c r="G5" s="4"/>
    </row>
    <row r="6" spans="1:7">
      <c r="A6" s="6" t="s">
        <v>22</v>
      </c>
      <c r="B6" s="6" t="s">
        <v>23</v>
      </c>
      <c r="C6" s="6" t="s">
        <v>24</v>
      </c>
      <c r="D6" s="6"/>
      <c r="E6" s="6"/>
      <c r="F6" s="6"/>
      <c r="G6" s="6"/>
    </row>
    <row r="7" spans="1:7" ht="35.5" customHeight="1">
      <c r="A7" s="18" t="s">
        <v>25</v>
      </c>
      <c r="B7" s="8" t="s">
        <v>26</v>
      </c>
      <c r="C7" s="19" t="s">
        <v>27</v>
      </c>
    </row>
    <row r="8" spans="1:7" ht="35.5" customHeight="1">
      <c r="A8" s="18" t="s">
        <v>28</v>
      </c>
      <c r="B8" s="8" t="s">
        <v>29</v>
      </c>
      <c r="C8" s="19" t="s">
        <v>30</v>
      </c>
    </row>
    <row r="9" spans="1:7" ht="51.25" customHeight="1">
      <c r="A9" s="18" t="s">
        <v>31</v>
      </c>
      <c r="B9" s="8" t="s">
        <v>32</v>
      </c>
      <c r="C9" s="19" t="s">
        <v>33</v>
      </c>
    </row>
    <row r="10" spans="1:7" ht="51.25" customHeight="1">
      <c r="A10" s="18" t="s">
        <v>34</v>
      </c>
      <c r="B10" s="8" t="s">
        <v>35</v>
      </c>
      <c r="C10" s="19" t="s">
        <v>36</v>
      </c>
    </row>
    <row r="11" spans="1:7" ht="35.5" customHeight="1">
      <c r="A11" s="18" t="s">
        <v>37</v>
      </c>
      <c r="B11" s="8" t="s">
        <v>38</v>
      </c>
      <c r="C11" s="19" t="s">
        <v>39</v>
      </c>
    </row>
    <row r="13" spans="1:7" ht="22" customHeight="1">
      <c r="A13" s="4" t="s">
        <v>40</v>
      </c>
      <c r="B13" s="4"/>
      <c r="C13" s="4"/>
      <c r="D13" s="4"/>
      <c r="E13" s="4"/>
      <c r="F13" s="4"/>
      <c r="G13" s="4"/>
    </row>
    <row r="14" spans="1:7">
      <c r="A14" s="6" t="s">
        <v>22</v>
      </c>
      <c r="B14" s="6" t="s">
        <v>41</v>
      </c>
      <c r="C14" s="6" t="s">
        <v>42</v>
      </c>
      <c r="D14" s="6" t="s">
        <v>43</v>
      </c>
      <c r="E14" s="6" t="s">
        <v>44</v>
      </c>
      <c r="F14" s="6" t="s">
        <v>1</v>
      </c>
      <c r="G14" s="6" t="s">
        <v>45</v>
      </c>
    </row>
    <row r="15" spans="1:7" ht="51.25" customHeight="1">
      <c r="A15" s="18" t="s">
        <v>54</v>
      </c>
      <c r="B15" s="8" t="s">
        <v>55</v>
      </c>
      <c r="C15" s="20"/>
      <c r="D15" s="21" cm="1" t="str">
        <f t="array" ref="D15">IFERROR(_xlfn.LET(_xlpm.a,'F5-1 Cut &amp; Splice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J$2),"✔ CLEAR","✘ TRY AGAIN"))),"✘ TRY AGAIN")</f>
        <v/>
      </c>
      <c r="E15" s="22"/>
      <c r="F15" s="23" cm="1" t="str">
        <f t="array" ref="F15">IF(E15="Show hint",Key!$B$2,"")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60</v>
      </c>
      <c r="B16" s="8" t="s">
        <v>61</v>
      </c>
      <c r="C16" s="20"/>
      <c r="D16" s="21" cm="1" t="str">
        <f t="array" ref="D16">IFERROR(_xlfn.LET(_xlpm.a,'F5-1 Cut &amp; Splice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F$3),"✔ CLEAR","✘ TRY AGAIN"))),"✘ TRY AGAIN")</f>
        <v/>
      </c>
      <c r="E16" s="22"/>
      <c r="F16" s="23" cm="1" t="str">
        <f t="array" ref="F16">IF(E16="Show hint",Key!$B$3,"")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70</v>
      </c>
      <c r="B17" s="8" t="s">
        <v>71</v>
      </c>
      <c r="C17" s="20"/>
      <c r="D17" s="21" cm="1" t="str">
        <f t="array" ref="D17">IFERROR(_xlfn.LET(_xlpm.a,'F5-1 Cut &amp; Splice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J$4),"✔ CLEAR","✘ TRY AGAIN"))),"✘ TRY AGAIN")</f>
        <v/>
      </c>
      <c r="E17" s="22"/>
      <c r="F17" s="23" cm="1" t="str">
        <f t="array" ref="F17">IF(E17="Show hint",Key!$B$4,"")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80</v>
      </c>
      <c r="B18" s="8" t="s">
        <v>81</v>
      </c>
      <c r="C18" s="20"/>
      <c r="D18" s="21" cm="1" t="str">
        <f t="array" ref="D18">IFERROR(_xlfn.LET(_xlpm.a,'F5-1 Cut &amp; Splice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J$5),"✔ CLEAR","✘ TRY AGAIN"))),"✘ TRY AGAIN")</f>
        <v/>
      </c>
      <c r="E18" s="22"/>
      <c r="F18" s="23" cm="1" t="str">
        <f t="array" ref="F18">IF(E18="Show hint",Key!$B$5,"")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90</v>
      </c>
      <c r="B19" s="8" t="s">
        <v>91</v>
      </c>
      <c r="C19" s="20"/>
      <c r="D19" s="21" cm="1" t="str">
        <f t="array" ref="D19">IFERROR(_xlfn.LET(_xlpm.a,'F5-1 Cut &amp; Splice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J$6),"✔ CLEAR","✘ TRY AGAIN"))),"✘ TRY AGAIN")</f>
        <v/>
      </c>
      <c r="E19" s="22"/>
      <c r="F19" s="23" cm="1" t="str">
        <f t="array" ref="F19">IF(E19="Show hint",Key!$B$6,"")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100</v>
      </c>
      <c r="B20" s="8" t="s">
        <v>101</v>
      </c>
      <c r="C20" s="20"/>
      <c r="D20" s="21" cm="1" t="str">
        <f t="array" ref="D20">IFERROR(_xlfn.LET(_xlpm.a,'F5-1 Cut &amp; Splice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J$7),"✔ CLEAR","✘ TRY AGAIN"))),"✘ TRY AGAIN")</f>
        <v/>
      </c>
      <c r="E20" s="22"/>
      <c r="F20" s="23" cm="1" t="str">
        <f t="array" ref="F20">IF(E20="Show hint",Key!$B$7,"")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105</v>
      </c>
      <c r="B21" s="8" t="s">
        <v>106</v>
      </c>
      <c r="C21" s="20"/>
      <c r="D21" s="21" cm="1" t="str">
        <f t="array" ref="D21">IFERROR(_xlfn.LET(_xlpm.a,'F5-1 Cut &amp; Splice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F$8),"✔ CLEAR","✘ TRY AGAIN"))),"✘ TRY AGAIN")</f>
        <v/>
      </c>
      <c r="E21" s="22"/>
      <c r="F21" s="23" cm="1" t="str">
        <f t="array" ref="F21">IF(E21="Show hint",Key!$B$8,"")</f>
        <v/>
      </c>
      <c r="G21" s="24" cm="1">
        <f t="array" ref="G21">IF(LEFT(D21,1)="✔",IF(E21="Show hint",5,10),0)</f>
        <v>0</v>
      </c>
    </row>
    <row r="22" spans="1:7" ht="51.25" customHeight="1">
      <c r="A22" s="18" t="s">
        <v>110</v>
      </c>
      <c r="B22" s="8" t="s">
        <v>111</v>
      </c>
      <c r="C22" s="20"/>
      <c r="D22" s="21" cm="1" t="str">
        <f t="array" ref="D22">IFERROR(_xlfn.LET(_xlpm.a,'F5-1 Cut &amp; Splice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F$9),"✔ CLEAR","✘ TRY AGAIN"))),"✘ TRY AGAIN")</f>
        <v/>
      </c>
      <c r="E22" s="22"/>
      <c r="F22" s="23" cm="1" t="str">
        <f t="array" ref="F22">IF(E22="Show hint",Key!$B$9,"")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119</v>
      </c>
      <c r="B23" s="8" t="s">
        <v>120</v>
      </c>
      <c r="C23" s="20"/>
      <c r="D23" s="21" cm="1" t="str">
        <f t="array" ref="D23">IFERROR(_xlfn.LET(_xlpm.a,'F5-1 Cut &amp; Splice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:$I$10),"✔ CLEAR","✘ TRY AGAIN"))),"✘ TRY AGAIN")</f>
        <v/>
      </c>
      <c r="E23" s="22"/>
      <c r="F23" s="23" cm="1" t="str">
        <f t="array" ref="F23">IF(E23="Show hint",Key!$B$10,"")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124</v>
      </c>
      <c r="B24" s="8" t="s">
        <v>125</v>
      </c>
      <c r="C24" s="20"/>
      <c r="D24" s="21" cm="1" t="str">
        <f t="array" ref="D24">IFERROR(_xlfn.LET(_xlpm.a,'F5-1 Cut &amp; Splice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E$11),"✔ CLEAR","✘ TRY AGAIN"))),"✘ TRY AGAIN")</f>
        <v/>
      </c>
      <c r="E24" s="22"/>
      <c r="F24" s="23" cm="1" t="str">
        <f t="array" ref="F24">IF(E24="Show hint",Key!$B$11,"")</f>
        <v/>
      </c>
      <c r="G24" s="24" cm="1">
        <f t="array" ref="G24">IF(LEFT(D24,1)="✔",IF(E24="Show hint",5,10),0)</f>
        <v>0</v>
      </c>
    </row>
    <row r="26" spans="1:7" ht="22" customHeight="1">
      <c r="A26" s="4" t="s">
        <v>126</v>
      </c>
      <c r="B26" s="4"/>
      <c r="C26" s="4"/>
      <c r="D26" s="4"/>
      <c r="E26" s="4"/>
      <c r="F26" s="4"/>
      <c r="G26" s="4"/>
    </row>
    <row r="27" spans="1:7">
      <c r="A27" s="6" t="s">
        <v>22</v>
      </c>
      <c r="B27" s="6" t="s">
        <v>41</v>
      </c>
      <c r="C27" s="6" t="s">
        <v>42</v>
      </c>
      <c r="D27" s="6" t="s">
        <v>43</v>
      </c>
      <c r="E27" s="6" t="s">
        <v>44</v>
      </c>
      <c r="F27" s="6" t="s">
        <v>1</v>
      </c>
      <c r="G27" s="6" t="s">
        <v>45</v>
      </c>
    </row>
    <row r="28" spans="1:7" ht="35.5" customHeight="1">
      <c r="A28" s="18" t="s">
        <v>131</v>
      </c>
      <c r="B28" s="8" t="s">
        <v>132</v>
      </c>
      <c r="C28" s="20"/>
      <c r="D28" s="21" cm="1" t="str">
        <f t="array" ref="D28">IFERROR(IF('F5-1 Cut &amp; Splice'!$C$28&amp;""="","",IF('F5-1 Cut &amp; Splice'!$C$28&amp;""=Key!$C$12&amp;"","✔ CLEAR","✘ TRY AGAIN")),"✘ TRY AGAIN")</f>
        <v/>
      </c>
      <c r="E28" s="22"/>
      <c r="F28" s="23" cm="1" t="str">
        <f t="array" ref="F28">IF(E28="Show hint",Key!$B$12,"")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137</v>
      </c>
      <c r="B29" s="8" t="s">
        <v>138</v>
      </c>
      <c r="C29" s="20"/>
      <c r="D29" s="21" cm="1" t="str">
        <f t="array" ref="D29">IFERROR(IF('F5-1 Cut &amp; Splice'!$C$29&amp;""="","",IF('F5-1 Cut &amp; Splice'!$C$29&amp;""=Key!$C$13&amp;"","✔ CLEAR","✘ TRY AGAIN")),"✘ TRY AGAIN")</f>
        <v/>
      </c>
      <c r="E29" s="22"/>
      <c r="F29" s="23" cm="1" t="str">
        <f t="array" ref="F29">IF(E29="Show hint",Key!$B$13,"")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144</v>
      </c>
      <c r="B30" s="8" t="s">
        <v>145</v>
      </c>
      <c r="C30" s="20"/>
      <c r="D30" s="21" cm="1" t="str">
        <f t="array" ref="D30">IFERROR(IF('F5-1 Cut &amp; Splice'!$C$30&amp;""="","",IF('F5-1 Cut &amp; Splice'!$C$30&amp;""=Key!$C$14&amp;"","✔ CLEAR","✘ TRY AGAIN")),"✘ TRY AGAIN")</f>
        <v/>
      </c>
      <c r="E30" s="22"/>
      <c r="F30" s="23" cm="1" t="str">
        <f t="array" ref="F30">IF(E30="Show hint",Key!$B$14,"")</f>
        <v/>
      </c>
      <c r="G30" s="24" cm="1">
        <f t="array" ref="G30">IF(LEFT(D30,1)="✔",IF(E30="Show hint",5,10),0)</f>
        <v>0</v>
      </c>
    </row>
    <row r="31" spans="1:7" ht="19.75" customHeight="1">
      <c r="A31" s="18" t="s">
        <v>149</v>
      </c>
      <c r="B31" s="8" t="s">
        <v>150</v>
      </c>
      <c r="C31" s="20"/>
      <c r="D31" s="21" cm="1" t="str">
        <f t="array" ref="D31">IFERROR(IF('F5-1 Cut &amp; Splice'!$C$31&amp;""="","",IF('F5-1 Cut &amp; Splice'!$C$31&amp;""=Key!$C$15&amp;"","✔ CLEAR","✘ TRY AGAIN")),"✘ TRY AGAIN")</f>
        <v/>
      </c>
      <c r="E31" s="22"/>
      <c r="F31" s="23" cm="1" t="str">
        <f t="array" ref="F31">IF(E31="Show hint",Key!$B$15,"")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155</v>
      </c>
      <c r="B32" s="8" t="s">
        <v>156</v>
      </c>
      <c r="C32" s="20"/>
      <c r="D32" s="21" cm="1" t="str">
        <f t="array" ref="D32">IFERROR(IF('F5-1 Cut &amp; Splice'!$C$32&amp;""="","",IF('F5-1 Cut &amp; Splice'!$C$32&amp;""=Key!$C$16&amp;"","✔ CLEAR","✘ TRY AGAIN")),"✘ TRY AGAIN")</f>
        <v/>
      </c>
      <c r="E32" s="22"/>
      <c r="F32" s="23" cm="1" t="str">
        <f t="array" ref="F32">IF(E32="Show hint",Key!$B$16,"")</f>
        <v/>
      </c>
      <c r="G32" s="24" cm="1">
        <f t="array" ref="G32">IF(LEFT(D32,1)="✔",IF(E32="Show hint",5,10),0)</f>
        <v>0</v>
      </c>
    </row>
    <row r="34" spans="1:7" ht="22" customHeight="1">
      <c r="A34" s="4" t="s">
        <v>157</v>
      </c>
      <c r="B34" s="4"/>
      <c r="C34" s="4"/>
      <c r="D34" s="4"/>
      <c r="E34" s="4"/>
      <c r="F34" s="4"/>
      <c r="G34" s="4"/>
    </row>
    <row r="35" spans="1:7">
      <c r="B35" s="11" t="s">
        <v>158</v>
      </c>
    </row>
    <row r="36" spans="1:7">
      <c r="A36" s="6" t="s">
        <v>22</v>
      </c>
      <c r="B36" s="6" t="s">
        <v>41</v>
      </c>
      <c r="C36" s="6" t="s">
        <v>42</v>
      </c>
      <c r="D36" s="6" t="s">
        <v>43</v>
      </c>
      <c r="E36" s="6" t="s">
        <v>44</v>
      </c>
      <c r="F36" s="6" t="s">
        <v>1</v>
      </c>
      <c r="G36" s="6" t="s">
        <v>45</v>
      </c>
    </row>
    <row r="37" spans="1:7" ht="35.5" customHeight="1">
      <c r="A37" s="18" t="s">
        <v>165</v>
      </c>
      <c r="B37" s="8" t="s">
        <v>132</v>
      </c>
      <c r="C37" s="20"/>
      <c r="D37" s="21" cm="1" t="str">
        <f t="array" ref="D37">IFERROR(_xlfn.LET(_xlpm.a,'F5-1 Cut &amp; Splice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:$J$17),"✔ CLEAR","✘ TRY AGAIN"))),"✘ TRY AGAIN")</f>
        <v/>
      </c>
      <c r="E37" s="22"/>
      <c r="F37" s="23" cm="1" t="str">
        <f t="array" ref="F37">IF(E37="Show hint",Key!$B$17,"")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172</v>
      </c>
      <c r="B38" s="8" t="s">
        <v>138</v>
      </c>
      <c r="C38" s="20"/>
      <c r="D38" s="21" cm="1" t="str">
        <f t="array" ref="D38">IFERROR(_xlfn.LET(_xlpm.a,'F5-1 Cut &amp; Splice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$18:$J$18),"✔ CLEAR","✘ TRY AGAIN"))),"✘ TRY AGAIN")</f>
        <v/>
      </c>
      <c r="E38" s="22"/>
      <c r="F38" s="23" cm="1" t="str">
        <f t="array" ref="F38">IF(E38="Show hint",Key!$B$18,"")</f>
        <v/>
      </c>
      <c r="G38" s="24" cm="1">
        <f t="array" ref="G38">IF(LEFT(D38,1)="✔",IF(E38="Show hint",5,10),0)</f>
        <v>0</v>
      </c>
    </row>
    <row r="39" spans="1:7" ht="35.5" customHeight="1">
      <c r="A39" s="18" t="s">
        <v>179</v>
      </c>
      <c r="B39" s="8" t="s">
        <v>145</v>
      </c>
      <c r="C39" s="20"/>
      <c r="D39" s="21" cm="1" t="str">
        <f t="array" ref="D39">IFERROR(_xlfn.LET(_xlpm.a,'F5-1 Cut &amp; Splice'!$C$39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$19:$J$19),"✔ CLEAR","✘ TRY AGAIN"))),"✘ TRY AGAIN")</f>
        <v/>
      </c>
      <c r="E39" s="22"/>
      <c r="F39" s="23" cm="1" t="str">
        <f t="array" ref="F39">IF(E39="Show hint",Key!$B$19,"")</f>
        <v/>
      </c>
      <c r="G39" s="24" cm="1">
        <f t="array" ref="G39">IF(LEFT(D39,1)="✔",IF(E39="Show hint",5,10),0)</f>
        <v>0</v>
      </c>
    </row>
    <row r="40" spans="1:7" ht="19.75" customHeight="1">
      <c r="A40" s="18" t="s">
        <v>186</v>
      </c>
      <c r="B40" s="8" t="s">
        <v>150</v>
      </c>
      <c r="C40" s="20"/>
      <c r="D40" s="21" cm="1" t="str">
        <f t="array" ref="D40">IFERROR(_xlfn.LET(_xlpm.a,'F5-1 Cut &amp; Splice'!$C$40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$20:$J$20),"✔ CLEAR","✘ TRY AGAIN"))),"✘ TRY AGAIN")</f>
        <v/>
      </c>
      <c r="E40" s="22"/>
      <c r="F40" s="23" cm="1" t="str">
        <f t="array" ref="F40">IF(E40="Show hint",Key!$B$20,"")</f>
        <v/>
      </c>
      <c r="G40" s="24" cm="1">
        <f t="array" ref="G40">IF(LEFT(D40,1)="✔",IF(E40="Show hint",5,10),0)</f>
        <v>0</v>
      </c>
    </row>
    <row r="41" spans="1:7" ht="35.5" customHeight="1">
      <c r="A41" s="18" t="s">
        <v>188</v>
      </c>
      <c r="B41" s="8" t="s">
        <v>156</v>
      </c>
      <c r="C41" s="20"/>
      <c r="D41" s="21" cm="1" t="str">
        <f t="array" ref="D41">IFERROR(_xlfn.LET(_xlpm.a,'F5-1 Cut &amp; Splice'!$C$41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$21:$F$21),"✔ CLEAR","✘ TRY AGAIN"))),"✘ TRY AGAIN")</f>
        <v/>
      </c>
      <c r="E41" s="22"/>
      <c r="F41" s="23" cm="1" t="str">
        <f t="array" ref="F41">IF(E41="Show hint",Key!$B$21,"")</f>
        <v/>
      </c>
      <c r="G41" s="24" cm="1">
        <f t="array" ref="G41">IF(LEFT(D41,1)="✔",IF(E41="Show hint",5,10),0)</f>
        <v>0</v>
      </c>
    </row>
    <row r="42" spans="1:7" ht="35.5" customHeight="1">
      <c r="A42" s="18" t="s">
        <v>191</v>
      </c>
      <c r="B42" s="8" t="s">
        <v>192</v>
      </c>
      <c r="C42" s="11" t="s">
        <v>193</v>
      </c>
      <c r="D42" s="21" cm="1" t="str">
        <f t="array" ref="D42">IF(ISBLANK('F5-1 Arena'!$E$6),"",IF(NOT(_xlfn.ISFORMULA('F5-1 Arena'!$E$6)),"✘ That's a typed value · enter a formula",IF(ISERROR('F5-1 Arena'!$E$6),"✘ Your formula returns "&amp;IFERROR(CHOOSE(ERROR.TYPE('F5-1 Arena'!$E$6),"#NULL!","#DIV/0!","#VALUE!","#REF!","#NAME?","#NUM!","#N/A","#GETTING_DATA","#SPILL!","#CONNECT!","#BLOCKED!","#UNKNOWN!","#FIELD!","#CALC!"),"an error"),IF(NOT(AND(IFERROR(AND(ISTEXT('F5-1 Arena'!$E$6),EXACT('F5-1 Arena'!$E$6,Key!$C$22)),FALSE))),"✘ TRY AGAIN",IF(AND(OR(ISNUMBER(FIND({"=","(",",","+","-","*","/","&amp;"," ","&lt;","&gt;",":","@","^"}&amp;"LEFT"&amp;"(",UPPER(_xlfn.FORMULATEXT('F5-1 Arena'!$E$6)))))),"✔ CLEAR","✘ CLOSE · right value, but use LEFT")))))</f>
        <v/>
      </c>
      <c r="E42" s="22"/>
      <c r="F42" s="23" cm="1" t="str">
        <f t="array" ref="F42">IF(E42="Show hint",Key!$B$22,"")</f>
        <v/>
      </c>
      <c r="G42" s="24" cm="1">
        <f t="array" ref="G42">IF(LEFT(D42,1)="✔",IF(E42="Show hint",5,10),0)</f>
        <v>0</v>
      </c>
    </row>
    <row r="43" spans="1:7" ht="35.5" customHeight="1">
      <c r="A43" s="18" t="s">
        <v>196</v>
      </c>
      <c r="B43" s="8" t="s">
        <v>197</v>
      </c>
      <c r="C43" s="11" t="s">
        <v>198</v>
      </c>
      <c r="D43" s="21" cm="1" t="str">
        <f t="array" ref="D43">IF(ISBLANK('F5-1 Arena'!$E$7),"",IF(NOT(_xlfn.ISFORMULA('F5-1 Arena'!$E$7)),"✘ That's a typed value · enter a formula",IF(ISERROR('F5-1 Arena'!$E$7),"✘ Your formula returns "&amp;IFERROR(CHOOSE(ERROR.TYPE('F5-1 Arena'!$E$7),"#NULL!","#DIV/0!","#VALUE!","#REF!","#NAME?","#NUM!","#N/A","#GETTING_DATA","#SPILL!","#CONNECT!","#BLOCKED!","#UNKNOWN!","#FIELD!","#CALC!"),"an error"),IF(NOT(AND(IFERROR(AND(ISTEXT('F5-1 Arena'!$E$7),EXACT('F5-1 Arena'!$E$7,Key!$C$23)),FALSE))),"✘ TRY AGAIN",IF(AND(OR(ISNUMBER(FIND({"=","(",",","+","-","*","/","&amp;"," ","&lt;","&gt;",":","@","^"}&amp;"RIGHT"&amp;"(",UPPER(_xlfn.FORMULATEXT('F5-1 Arena'!$E$7)))))),"✔ CLEAR","✘ CLOSE · right value, but use RIGHT")))))</f>
        <v/>
      </c>
      <c r="E43" s="22"/>
      <c r="F43" s="23" cm="1" t="str">
        <f t="array" ref="F43">IF(E43="Show hint",Key!$B$23,"")</f>
        <v/>
      </c>
      <c r="G43" s="24" cm="1">
        <f t="array" ref="G43">IF(LEFT(D43,1)="✔",IF(E43="Show hint",5,10),0)</f>
        <v>0</v>
      </c>
    </row>
    <row r="44" spans="1:7" ht="35.5" customHeight="1">
      <c r="A44" s="18" t="s">
        <v>201</v>
      </c>
      <c r="B44" s="8" t="s">
        <v>202</v>
      </c>
      <c r="C44" s="11" t="s">
        <v>203</v>
      </c>
      <c r="D44" s="21" cm="1" t="str">
        <f t="array" ref="D44">IF(ISBLANK('F5-1 Arena'!$E$8),"",IF(NOT(_xlfn.ISFORMULA('F5-1 Arena'!$E$8)),"✘ That's a typed value · enter a formula",IF(ISERROR('F5-1 Arena'!$E$8),"✘ Your formula returns "&amp;IFERROR(CHOOSE(ERROR.TYPE('F5-1 Arena'!$E$8),"#NULL!","#DIV/0!","#VALUE!","#REF!","#NAME?","#NUM!","#N/A","#GETTING_DATA","#SPILL!","#CONNECT!","#BLOCKED!","#UNKNOWN!","#FIELD!","#CALC!"),"an error"),IF(NOT(AND(IFERROR(AND(ISTEXT('F5-1 Arena'!$E$8),EXACT('F5-1 Arena'!$E$8,Key!$C$24)),FALSE))),"✘ TRY AGAIN",IF(AND(OR(ISNUMBER(FIND({"=","(",",","+","-","*","/","&amp;"," ","&lt;","&gt;",":","@","^"}&amp;"MID"&amp;"(",UPPER(_xlfn.FORMULATEXT('F5-1 Arena'!$E$8)))))),"✔ CLEAR","✘ CLOSE · right value, but use MID")))))</f>
        <v/>
      </c>
      <c r="E44" s="22"/>
      <c r="F44" s="23" cm="1" t="str">
        <f t="array" ref="F44">IF(E44="Show hint",Key!$B$24,"")</f>
        <v/>
      </c>
      <c r="G44" s="24" cm="1">
        <f t="array" ref="G44">IF(LEFT(D44,1)="✔",IF(E44="Show hint",5,10),0)</f>
        <v>0</v>
      </c>
    </row>
    <row r="45" spans="1:7" ht="19.75" customHeight="1">
      <c r="A45" s="18" t="s">
        <v>206</v>
      </c>
      <c r="B45" s="8" t="s">
        <v>207</v>
      </c>
      <c r="C45" s="11" t="s">
        <v>208</v>
      </c>
      <c r="D45" s="21" cm="1" t="str">
        <f t="array" ref="D45">IF(ISBLANK('F5-1 Arena'!$E$9),"",IF(NOT(_xlfn.ISFORMULA('F5-1 Arena'!$E$9)),"✘ That's a typed value · enter a formula",IF(ISERROR('F5-1 Arena'!$E$9),"✘ Your formula returns "&amp;IFERROR(CHOOSE(ERROR.TYPE('F5-1 Arena'!$E$9),"#NULL!","#DIV/0!","#VALUE!","#REF!","#NAME?","#NUM!","#N/A","#GETTING_DATA","#SPILL!","#CONNECT!","#BLOCKED!","#UNKNOWN!","#FIELD!","#CALC!"),"an error"),IF(NOT(AND(IFERROR(AND(ISNUMBER('F5-1 Arena'!$E$9),ABS('F5-1 Arena'!$E$9-Key!$C$25)&lt;=1E-9*MAX(1,ABS(Key!$C$25))),FALSE))),"✘ TRY AGAIN",IF(AND(OR(ISNUMBER(FIND({"=","(",",","+","-","*","/","&amp;"," ","&lt;","&gt;",":","@","^"}&amp;"LEN"&amp;"(",UPPER(_xlfn.FORMULATEXT('F5-1 Arena'!$E$9)))))),"✔ CLEAR","✘ CLOSE · right value, but use LEN")))))</f>
        <v/>
      </c>
      <c r="E45" s="22"/>
      <c r="F45" s="23" cm="1" t="str">
        <f t="array" ref="F45">IF(E45="Show hint",Key!$B$25,"")</f>
        <v/>
      </c>
      <c r="G45" s="24" cm="1">
        <f t="array" ref="G45">IF(LEFT(D45,1)="✔",IF(E45="Show hint",5,10),0)</f>
        <v>0</v>
      </c>
    </row>
    <row r="46" spans="1:7" ht="35.5" customHeight="1">
      <c r="A46" s="18" t="s">
        <v>211</v>
      </c>
      <c r="B46" s="8" t="s">
        <v>212</v>
      </c>
      <c r="C46" s="11" t="s">
        <v>213</v>
      </c>
      <c r="D46" s="21" cm="1" t="str">
        <f t="array" ref="D46">IF(ISBLANK('F5-1 Arena'!$E$13),"",IF(NOT(_xlfn.ISFORMULA('F5-1 Arena'!$E$13)),"✘ That's a typed value · enter a formula",IF(ISERROR('F5-1 Arena'!$E$13),"✘ Your formula returns "&amp;IFERROR(CHOOSE(ERROR.TYPE('F5-1 Arena'!$E$13),"#NULL!","#DIV/0!","#VALUE!","#REF!","#NAME?","#NUM!","#N/A","#GETTING_DATA","#SPILL!","#CONNECT!","#BLOCKED!","#UNKNOWN!","#FIELD!","#CALC!"),"an error"),IF(NOT(AND(IFERROR(AND(ISTEXT('F5-1 Arena'!$E$13),EXACT('F5-1 Arena'!$E$13,Key!$C$26)),FALSE))),"✘ TRY AGAIN",IF(ISNUMBER(FIND("&amp;",_xlfn.FORMULATEXT('F5-1 Arena'!$E$13))),"✔ CLEAR","✘ CLOSE · your formula needs &amp;")))))</f>
        <v/>
      </c>
      <c r="E46" s="22"/>
      <c r="F46" s="23" cm="1" t="str">
        <f t="array" ref="F46">IF(E46="Show hint",Key!$B$26,"")</f>
        <v/>
      </c>
      <c r="G46" s="24" cm="1">
        <f t="array" ref="G46">IF(LEFT(D46,1)="✔",IF(E46="Show hint",5,10),0)</f>
        <v>0</v>
      </c>
    </row>
  </sheetData>
  <sheetProtection sheet="1" objects="1" scenarios="1" formatColumns="0" formatRows="0"/>
  <conditionalFormatting sqref="D15:D46">
    <cfRule type="expression" dxfId="0" priority="1">
      <formula>LEFT($D15,1)="✔"</formula>
    </cfRule>
    <cfRule type="expression" dxfId="1" priority="2">
      <formula>LEFT($D15,1)="✘"</formula>
    </cfRule>
    <cfRule type="expression" dxfId="2" priority="3">
      <formula>$D15="LOCKED"</formula>
    </cfRule>
  </conditionalFormatting>
  <dataValidations count="45"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Key!$E$12:$H$12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Key!$E$13:$H$13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Key!$E$14:$H$14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Pick an answer" prompt="Press Alt+Down to open the list, choose with the arrow keys, then press Enter." sqref="C31">
      <formula1>Key!$E$15:$H$15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Pick an answer" prompt="Press Alt+Down to open the list, choose with the arrow keys, then press Enter." sqref="C32">
      <formula1>Key!$E$16:$H$16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9"/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0"/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1"/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type="list" allowBlank="1" showInputMessage="1" showErrorMessage="1" promptTitle="Need a hint?" prompt="Pick 'Show hint' (Alt+Down). This question then gives 5 XP instead of 10." sqref="E42">
      <formula1>"Show hint"</formula1>
    </dataValidation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type="list" allowBlank="1" showInputMessage="1" showErrorMessage="1" promptTitle="Need a hint?" prompt="Pick 'Show hint' (Alt+Down). This question then gives 5 XP instead of 10." sqref="E45">
      <formula1>"Show hint"</formula1>
    </dataValidation>
    <dataValidation type="list" allowBlank="1" showInputMessage="1" showErrorMessage="1" promptTitle="Need a hint?" prompt="Pick 'Show hint' (Alt+Down). This question then gives 5 XP instead of 10." sqref="E46">
      <formula1>"Show hint"</formula1>
    </dataValidation>
  </dataValidations>
  <hyperlinks>
    <hyperlink ref="B35" location="'F5-1 Arena'!A1" display="▶ Open F5-1 Arena (or press Ctrl+PgDn)"/>
    <hyperlink ref="C42" location="'F5-1 Arena'!E6" tooltip="Go to F5-1 Arena, cell E6" display="▶ ARENA C6 (cell E6)"/>
    <hyperlink ref="C43" location="'F5-1 Arena'!E7" tooltip="Go to F5-1 Arena, cell E7" display="▶ ARENA C7 (cell E7)"/>
    <hyperlink ref="C44" location="'F5-1 Arena'!E8" tooltip="Go to F5-1 Arena, cell E8" display="▶ ARENA C8 (cell E8)"/>
    <hyperlink ref="C45" location="'F5-1 Arena'!E9" tooltip="Go to F5-1 Arena, cell E9" display="▶ ARENA C9 (cell E9)"/>
    <hyperlink ref="C46" location="'F5-1 Arena'!E13" tooltip="Go to F5-1 Arena, cell E13" display="▶ ARENA C10 (cell E13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14.7109375" customWidth="1"/>
    <col min="2" max="3" width="13.7109375" customWidth="1"/>
    <col min="4" max="4" width="20.7109375" customWidth="1"/>
    <col min="5" max="5" width="18.7109375" customWidth="1"/>
    <col min="6" max="26" width="13.7109375" customWidth="1"/>
  </cols>
  <sheetData>
    <row r="1" spans="1:5">
      <c r="A1" s="1" t="s">
        <v>4</v>
      </c>
    </row>
    <row r="2" spans="1:5">
      <c r="A2" s="3" t="s">
        <v>5</v>
      </c>
    </row>
    <row r="3" spans="1:5">
      <c r="A3" s="25" t="s">
        <v>6</v>
      </c>
      <c r="B3" s="26" t="s">
        <v>7</v>
      </c>
      <c r="D3" s="11" t="s">
        <v>8</v>
      </c>
    </row>
    <row r="5" spans="1:5">
      <c r="B5" s="27" t="s">
        <v>9</v>
      </c>
      <c r="D5" s="27" t="s">
        <v>11</v>
      </c>
    </row>
    <row r="6" spans="1:5">
      <c r="B6" s="5" t="s">
        <v>10</v>
      </c>
      <c r="D6" s="5" t="s">
        <v>12</v>
      </c>
      <c r="E6" s="28"/>
    </row>
    <row r="7" spans="1:5">
      <c r="D7" s="5" t="s">
        <v>13</v>
      </c>
      <c r="E7" s="28"/>
    </row>
    <row r="8" spans="1:5">
      <c r="D8" s="5" t="s">
        <v>14</v>
      </c>
      <c r="E8" s="28"/>
    </row>
    <row r="9" spans="1:5">
      <c r="D9" s="5" t="s">
        <v>15</v>
      </c>
      <c r="E9" s="28"/>
    </row>
    <row r="12" spans="1:5">
      <c r="B12" s="27" t="s">
        <v>16</v>
      </c>
      <c r="C12" s="27" t="s">
        <v>17</v>
      </c>
    </row>
    <row r="13" spans="1:5">
      <c r="B13" s="5" t="s">
        <v>18</v>
      </c>
      <c r="C13" s="5" t="s">
        <v>19</v>
      </c>
      <c r="D13" s="7" t="s">
        <v>20</v>
      </c>
      <c r="E13" s="28"/>
    </row>
  </sheetData>
  <hyperlinks>
    <hyperlink ref="D3" location="'F5-1 Cut &amp; Splice'!A1" display="◀ Back to F5-1 Cut &amp; Spl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4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345</v>
      </c>
      <c r="B1" s="2"/>
      <c r="C1" s="2"/>
      <c r="D1" s="2"/>
      <c r="E1" s="2"/>
      <c r="F1" s="2"/>
      <c r="G1" s="2"/>
    </row>
    <row r="2" spans="1:7">
      <c r="A2" s="3" t="s">
        <v>346</v>
      </c>
    </row>
    <row r="3" spans="1:7" ht="26" customHeight="1">
      <c r="A3" s="14" cm="1" t="str">
        <f t="array" ref="A3">"SCORE "&amp;TEXT(SUM($G$15:$G$46),"0000")&amp;" / 0250"</f>
        <v>SCORE 0000 / 0250</v>
      </c>
      <c r="C3" s="15" cm="1" t="str">
        <f t="array" ref="C3">IF(SUM($G$15:$G$46)&gt;=250,"★★★",IF(SUM($G$15:$G$46)&gt;=250*0.8,"★★☆",IF(SUM($G$15:$G$46)&gt;=250*0.5,"★☆☆","☆☆☆")))</f>
        <v>☆☆☆</v>
      </c>
      <c r="D3" s="16" cm="1" t="str">
        <f t="array" ref="D3">REPT("█",ROUND(10*SUM($G$15:$G$46)/250,0))&amp;REPT("░",10-ROUND(10*SUM($G$15:$G$46)/250,0))&amp;"  "&amp;TEXT(SUM($G$15:$G$46)/250,"0%")</f>
        <v>░░░░░░░░░░  0%</v>
      </c>
      <c r="F3" s="17" cm="1" t="str">
        <f t="array" ref="F3">IF(SUM($G$15:$G$46)&gt;=250*0.5,"STAGE CLEAR! ▶ Next: F5-3 Find the Gem","")</f>
        <v/>
      </c>
    </row>
    <row r="5" spans="1:7" ht="22" customHeight="1">
      <c r="A5" s="4" t="s">
        <v>21</v>
      </c>
      <c r="B5" s="4"/>
      <c r="C5" s="4"/>
      <c r="D5" s="4"/>
      <c r="E5" s="4"/>
      <c r="F5" s="4"/>
      <c r="G5" s="4"/>
    </row>
    <row r="6" spans="1:7">
      <c r="A6" s="6" t="s">
        <v>22</v>
      </c>
      <c r="B6" s="6" t="s">
        <v>23</v>
      </c>
      <c r="C6" s="6" t="s">
        <v>24</v>
      </c>
      <c r="D6" s="6"/>
      <c r="E6" s="6"/>
      <c r="F6" s="6"/>
      <c r="G6" s="6"/>
    </row>
    <row r="7" spans="1:7" ht="51.25" customHeight="1">
      <c r="A7" s="18" t="s">
        <v>25</v>
      </c>
      <c r="B7" s="8" t="s">
        <v>229</v>
      </c>
      <c r="C7" s="19" t="s">
        <v>142</v>
      </c>
    </row>
    <row r="8" spans="1:7" ht="35.5" customHeight="1">
      <c r="A8" s="18" t="s">
        <v>28</v>
      </c>
      <c r="B8" s="8" t="s">
        <v>230</v>
      </c>
      <c r="C8" s="19" t="s">
        <v>135</v>
      </c>
    </row>
    <row r="9" spans="1:7" ht="35.5" customHeight="1">
      <c r="A9" s="18" t="s">
        <v>31</v>
      </c>
      <c r="B9" s="8" t="s">
        <v>231</v>
      </c>
      <c r="C9" s="19" t="s">
        <v>143</v>
      </c>
    </row>
    <row r="10" spans="1:7" ht="35.5" customHeight="1">
      <c r="A10" s="18" t="s">
        <v>34</v>
      </c>
      <c r="B10" s="8" t="s">
        <v>232</v>
      </c>
      <c r="C10" s="19" t="s">
        <v>233</v>
      </c>
    </row>
    <row r="11" spans="1:7" ht="67" customHeight="1">
      <c r="A11" s="18" t="s">
        <v>37</v>
      </c>
      <c r="B11" s="8" t="s">
        <v>234</v>
      </c>
      <c r="C11" s="19" t="s">
        <v>136</v>
      </c>
    </row>
    <row r="13" spans="1:7" ht="22" customHeight="1">
      <c r="A13" s="4" t="s">
        <v>40</v>
      </c>
      <c r="B13" s="4"/>
      <c r="C13" s="4"/>
      <c r="D13" s="4"/>
      <c r="E13" s="4"/>
      <c r="F13" s="4"/>
      <c r="G13" s="4"/>
    </row>
    <row r="14" spans="1:7">
      <c r="A14" s="6" t="s">
        <v>22</v>
      </c>
      <c r="B14" s="6" t="s">
        <v>41</v>
      </c>
      <c r="C14" s="6" t="s">
        <v>42</v>
      </c>
      <c r="D14" s="6" t="s">
        <v>43</v>
      </c>
      <c r="E14" s="6" t="s">
        <v>44</v>
      </c>
      <c r="F14" s="6" t="s">
        <v>1</v>
      </c>
      <c r="G14" s="6" t="s">
        <v>45</v>
      </c>
    </row>
    <row r="15" spans="1:7" ht="35.5" customHeight="1">
      <c r="A15" s="18" t="s">
        <v>54</v>
      </c>
      <c r="B15" s="8" t="s">
        <v>236</v>
      </c>
      <c r="C15" s="20"/>
      <c r="D15" s="21" cm="1" t="str">
        <f t="array" ref="D15">IFERROR(_xlfn.LET(_xlpm.a,'F5-2 Clean Up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$27:$J$27),"✔ CLEAR","✘ TRY AGAIN"))),"✘ TRY AGAIN")</f>
        <v/>
      </c>
      <c r="E15" s="22"/>
      <c r="F15" s="23" cm="1" t="str">
        <f t="array" ref="F15">IF(E15="Show hint",Key!$B$27,"")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60</v>
      </c>
      <c r="B16" s="8" t="s">
        <v>238</v>
      </c>
      <c r="C16" s="20"/>
      <c r="D16" s="21" cm="1" t="str">
        <f t="array" ref="D16">IFERROR(_xlfn.LET(_xlpm.a,'F5-2 Clean Up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$28:$J$28),"✔ CLEAR","✘ TRY AGAIN"))),"✘ TRY AGAIN")</f>
        <v/>
      </c>
      <c r="E16" s="22"/>
      <c r="F16" s="23" cm="1" t="str">
        <f t="array" ref="F16">IF(E16="Show hint",Key!$B$28,"")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70</v>
      </c>
      <c r="B17" s="8" t="s">
        <v>240</v>
      </c>
      <c r="C17" s="20"/>
      <c r="D17" s="21" cm="1" t="str">
        <f t="array" ref="D17">IFERROR(_xlfn.LET(_xlpm.a,'F5-2 Clean Up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$29:$J$29),"✔ CLEAR","✘ TRY AGAIN"))),"✘ TRY AGAIN")</f>
        <v/>
      </c>
      <c r="E17" s="22"/>
      <c r="F17" s="23" cm="1" t="str">
        <f t="array" ref="F17">IF(E17="Show hint",Key!$B$29,"")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80</v>
      </c>
      <c r="B18" s="8" t="s">
        <v>242</v>
      </c>
      <c r="C18" s="20"/>
      <c r="D18" s="21" cm="1" t="str">
        <f t="array" ref="D18">IFERROR(_xlfn.LET(_xlpm.a,'F5-2 Clean Up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$30:$J$30),"✔ CLEAR","✘ TRY AGAIN"))),"✘ TRY AGAIN")</f>
        <v/>
      </c>
      <c r="E18" s="22"/>
      <c r="F18" s="23" cm="1" t="str">
        <f t="array" ref="F18">IF(E18="Show hint",Key!$B$30,"")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90</v>
      </c>
      <c r="B19" s="8" t="s">
        <v>244</v>
      </c>
      <c r="C19" s="20"/>
      <c r="D19" s="21" cm="1" t="str">
        <f t="array" ref="D19">IFERROR(_xlfn.LET(_xlpm.a,'F5-2 Clean Up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$31:$F$31),"✔ CLEAR","✘ TRY AGAIN"))),"✘ TRY AGAIN")</f>
        <v/>
      </c>
      <c r="E19" s="22"/>
      <c r="F19" s="23" cm="1" t="str">
        <f t="array" ref="F19">IF(E19="Show hint",Key!$B$31,"")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100</v>
      </c>
      <c r="B20" s="8" t="s">
        <v>253</v>
      </c>
      <c r="C20" s="20"/>
      <c r="D20" s="21" cm="1" t="str">
        <f t="array" ref="D20">IFERROR(_xlfn.LET(_xlpm.a,'F5-2 Clean Up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$32:$J$32),"✔ CLEAR","✘ TRY AGAIN"))),"✘ TRY AGAIN")</f>
        <v/>
      </c>
      <c r="E20" s="22"/>
      <c r="F20" s="23" cm="1" t="str">
        <f t="array" ref="F20">IF(E20="Show hint",Key!$B$32,"")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105</v>
      </c>
      <c r="B21" s="8" t="s">
        <v>262</v>
      </c>
      <c r="C21" s="20"/>
      <c r="D21" s="21" cm="1" t="str">
        <f t="array" ref="D21">IFERROR(_xlfn.LET(_xlpm.a,'F5-2 Clean Up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$33:$J$33),"✔ CLEAR","✘ TRY AGAIN"))),"✘ TRY AGAIN")</f>
        <v/>
      </c>
      <c r="E21" s="22"/>
      <c r="F21" s="23" cm="1" t="str">
        <f t="array" ref="F21">IF(E21="Show hint",Key!$B$33,"")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110</v>
      </c>
      <c r="B22" s="8" t="s">
        <v>265</v>
      </c>
      <c r="C22" s="20"/>
      <c r="D22" s="21" cm="1" t="str">
        <f t="array" ref="D22">IFERROR(_xlfn.LET(_xlpm.a,'F5-2 Clean Up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E$34),"✔ CLEAR","✘ TRY AGAIN"))),"✘ TRY AGAIN")</f>
        <v/>
      </c>
      <c r="E22" s="22"/>
      <c r="F22" s="23" cm="1" t="str">
        <f t="array" ref="F22">IF(E22="Show hint",Key!$B$34,"")</f>
        <v/>
      </c>
      <c r="G22" s="24" cm="1">
        <f t="array" ref="G22">IF(LEFT(D22,1)="✔",IF(E22="Show hint",5,10),0)</f>
        <v>0</v>
      </c>
    </row>
    <row r="23" spans="1:7" ht="51.25" customHeight="1">
      <c r="A23" s="18" t="s">
        <v>119</v>
      </c>
      <c r="B23" s="8" t="s">
        <v>274</v>
      </c>
      <c r="C23" s="20"/>
      <c r="D23" s="21" cm="1" t="str">
        <f t="array" ref="D23">IFERROR(_xlfn.LET(_xlpm.a,'F5-2 Clean Up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J$35),"✔ CLEAR","✘ TRY AGAIN"))),"✘ TRY AGAIN")</f>
        <v/>
      </c>
      <c r="E23" s="22"/>
      <c r="F23" s="23" cm="1" t="str">
        <f t="array" ref="F23">IF(E23="Show hint",Key!$B$35,"")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124</v>
      </c>
      <c r="B24" s="8" t="s">
        <v>278</v>
      </c>
      <c r="C24" s="20"/>
      <c r="D24" s="21" cm="1" t="str">
        <f t="array" ref="D24">IFERROR(_xlfn.LET(_xlpm.a,'F5-2 Clean Up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$36:$E$36),"✔ CLEAR","✘ TRY AGAIN"))),"✘ TRY AGAIN")</f>
        <v/>
      </c>
      <c r="E24" s="22"/>
      <c r="F24" s="23" cm="1" t="str">
        <f t="array" ref="F24">IF(E24="Show hint",Key!$B$36,"")</f>
        <v/>
      </c>
      <c r="G24" s="24" cm="1">
        <f t="array" ref="G24">IF(LEFT(D24,1)="✔",IF(E24="Show hint",5,10),0)</f>
        <v>0</v>
      </c>
    </row>
    <row r="26" spans="1:7" ht="22" customHeight="1">
      <c r="A26" s="4" t="s">
        <v>126</v>
      </c>
      <c r="B26" s="4"/>
      <c r="C26" s="4"/>
      <c r="D26" s="4"/>
      <c r="E26" s="4"/>
      <c r="F26" s="4"/>
      <c r="G26" s="4"/>
    </row>
    <row r="27" spans="1:7">
      <c r="A27" s="6" t="s">
        <v>22</v>
      </c>
      <c r="B27" s="6" t="s">
        <v>41</v>
      </c>
      <c r="C27" s="6" t="s">
        <v>42</v>
      </c>
      <c r="D27" s="6" t="s">
        <v>43</v>
      </c>
      <c r="E27" s="6" t="s">
        <v>44</v>
      </c>
      <c r="F27" s="6" t="s">
        <v>1</v>
      </c>
      <c r="G27" s="6" t="s">
        <v>45</v>
      </c>
    </row>
    <row r="28" spans="1:7" ht="19.75" customHeight="1">
      <c r="A28" s="18" t="s">
        <v>131</v>
      </c>
      <c r="B28" s="8" t="s">
        <v>281</v>
      </c>
      <c r="C28" s="20"/>
      <c r="D28" s="21" cm="1" t="str">
        <f t="array" ref="D28">IFERROR(IF('F5-2 Clean Up'!$C$28&amp;""="","",IF('F5-2 Clean Up'!$C$28&amp;""=Key!$C$37&amp;"","✔ CLEAR","✘ TRY AGAIN")),"✘ TRY AGAIN")</f>
        <v/>
      </c>
      <c r="E28" s="22"/>
      <c r="F28" s="23" cm="1" t="str">
        <f t="array" ref="F28">IF(E28="Show hint",Key!$B$37,"")</f>
        <v/>
      </c>
      <c r="G28" s="24" cm="1">
        <f t="array" ref="G28">IF(LEFT(D28,1)="✔",IF(E28="Show hint",5,10),0)</f>
        <v>0</v>
      </c>
    </row>
    <row r="29" spans="1:7" ht="19.75" customHeight="1">
      <c r="A29" s="18" t="s">
        <v>137</v>
      </c>
      <c r="B29" s="8" t="s">
        <v>284</v>
      </c>
      <c r="C29" s="20"/>
      <c r="D29" s="21" cm="1" t="str">
        <f t="array" ref="D29">IFERROR(IF('F5-2 Clean Up'!$C$29&amp;""="","",IF('F5-2 Clean Up'!$C$29&amp;""=Key!$C$38&amp;"","✔ CLEAR","✘ TRY AGAIN")),"✘ TRY AGAIN")</f>
        <v/>
      </c>
      <c r="E29" s="22"/>
      <c r="F29" s="23" cm="1" t="str">
        <f t="array" ref="F29">IF(E29="Show hint",Key!$B$38,"")</f>
        <v/>
      </c>
      <c r="G29" s="24" cm="1">
        <f t="array" ref="G29">IF(LEFT(D29,1)="✔",IF(E29="Show hint",5,10),0)</f>
        <v>0</v>
      </c>
    </row>
    <row r="30" spans="1:7" ht="19.75" customHeight="1">
      <c r="A30" s="18" t="s">
        <v>144</v>
      </c>
      <c r="B30" s="8" t="s">
        <v>287</v>
      </c>
      <c r="C30" s="20"/>
      <c r="D30" s="21" cm="1" t="str">
        <f t="array" ref="D30">IFERROR(IF('F5-2 Clean Up'!$C$30&amp;""="","",IF('F5-2 Clean Up'!$C$30&amp;""=Key!$C$39&amp;"","✔ CLEAR","✘ TRY AGAIN")),"✘ TRY AGAIN")</f>
        <v/>
      </c>
      <c r="E30" s="22"/>
      <c r="F30" s="23" cm="1" t="str">
        <f t="array" ref="F30">IF(E30="Show hint",Key!$B$39,"")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149</v>
      </c>
      <c r="B31" s="8" t="s">
        <v>290</v>
      </c>
      <c r="C31" s="20"/>
      <c r="D31" s="21" cm="1" t="str">
        <f t="array" ref="D31">IFERROR(IF('F5-2 Clean Up'!$C$31&amp;""="","",IF('F5-2 Clean Up'!$C$31&amp;""=Key!$C$40&amp;"","✔ CLEAR","✘ TRY AGAIN")),"✘ TRY AGAIN")</f>
        <v/>
      </c>
      <c r="E31" s="22"/>
      <c r="F31" s="23" cm="1" t="str">
        <f t="array" ref="F31">IF(E31="Show hint",Key!$B$40,"")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155</v>
      </c>
      <c r="B32" s="8" t="s">
        <v>293</v>
      </c>
      <c r="C32" s="20"/>
      <c r="D32" s="21" cm="1" t="str">
        <f t="array" ref="D32">IFERROR(IF('F5-2 Clean Up'!$C$32&amp;""="","",IF('F5-2 Clean Up'!$C$32&amp;""=Key!$C$41&amp;"","✔ CLEAR","✘ TRY AGAIN")),"✘ TRY AGAIN")</f>
        <v/>
      </c>
      <c r="E32" s="22"/>
      <c r="F32" s="23" cm="1" t="str">
        <f t="array" ref="F32">IF(E32="Show hint",Key!$B$41,"")</f>
        <v/>
      </c>
      <c r="G32" s="24" cm="1">
        <f t="array" ref="G32">IF(LEFT(D32,1)="✔",IF(E32="Show hint",5,10),0)</f>
        <v>0</v>
      </c>
    </row>
    <row r="34" spans="1:7" ht="22" customHeight="1">
      <c r="A34" s="4" t="s">
        <v>157</v>
      </c>
      <c r="B34" s="4"/>
      <c r="C34" s="4"/>
      <c r="D34" s="4"/>
      <c r="E34" s="4"/>
      <c r="F34" s="4"/>
      <c r="G34" s="4"/>
    </row>
    <row r="35" spans="1:7">
      <c r="B35" s="11" t="s">
        <v>294</v>
      </c>
    </row>
    <row r="36" spans="1:7">
      <c r="A36" s="6" t="s">
        <v>22</v>
      </c>
      <c r="B36" s="6" t="s">
        <v>41</v>
      </c>
      <c r="C36" s="6" t="s">
        <v>42</v>
      </c>
      <c r="D36" s="6" t="s">
        <v>43</v>
      </c>
      <c r="E36" s="6" t="s">
        <v>44</v>
      </c>
      <c r="F36" s="6" t="s">
        <v>1</v>
      </c>
      <c r="G36" s="6" t="s">
        <v>45</v>
      </c>
    </row>
    <row r="37" spans="1:7" ht="19.75" customHeight="1">
      <c r="A37" s="18" t="s">
        <v>165</v>
      </c>
      <c r="B37" s="8" t="s">
        <v>281</v>
      </c>
      <c r="C37" s="20"/>
      <c r="D37" s="21" cm="1" t="str">
        <f t="array" ref="D37">IFERROR(_xlfn.LET(_xlpm.a,'F5-2 Clean Up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$42:$J$42),"✔ CLEAR","✘ TRY AGAIN"))),"✘ TRY AGAIN")</f>
        <v/>
      </c>
      <c r="E37" s="22"/>
      <c r="F37" s="23" cm="1" t="str">
        <f t="array" ref="F37">IF(E37="Show hint",Key!$B$42,"")</f>
        <v/>
      </c>
      <c r="G37" s="24" cm="1">
        <f t="array" ref="G37">IF(LEFT(D37,1)="✔",IF(E37="Show hint",5,10),0)</f>
        <v>0</v>
      </c>
    </row>
    <row r="38" spans="1:7" ht="19.75" customHeight="1">
      <c r="A38" s="18" t="s">
        <v>172</v>
      </c>
      <c r="B38" s="8" t="s">
        <v>284</v>
      </c>
      <c r="C38" s="20"/>
      <c r="D38" s="21" cm="1" t="str">
        <f t="array" ref="D38">IFERROR(_xlfn.LET(_xlpm.a,'F5-2 Clean Up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$43:$J$43),"✔ CLEAR","✘ TRY AGAIN"))),"✘ TRY AGAIN")</f>
        <v/>
      </c>
      <c r="E38" s="22"/>
      <c r="F38" s="23" cm="1" t="str">
        <f t="array" ref="F38">IF(E38="Show hint",Key!$B$43,"")</f>
        <v/>
      </c>
      <c r="G38" s="24" cm="1">
        <f t="array" ref="G38">IF(LEFT(D38,1)="✔",IF(E38="Show hint",5,10),0)</f>
        <v>0</v>
      </c>
    </row>
    <row r="39" spans="1:7" ht="19.75" customHeight="1">
      <c r="A39" s="18" t="s">
        <v>179</v>
      </c>
      <c r="B39" s="8" t="s">
        <v>287</v>
      </c>
      <c r="C39" s="20"/>
      <c r="D39" s="21" cm="1" t="str">
        <f t="array" ref="D39">IFERROR(_xlfn.LET(_xlpm.a,'F5-2 Clean Up'!$C$39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$44:$J$44),"✔ CLEAR","✘ TRY AGAIN"))),"✘ TRY AGAIN")</f>
        <v/>
      </c>
      <c r="E39" s="22"/>
      <c r="F39" s="23" cm="1" t="str">
        <f t="array" ref="F39">IF(E39="Show hint",Key!$B$44,"")</f>
        <v/>
      </c>
      <c r="G39" s="24" cm="1">
        <f t="array" ref="G39">IF(LEFT(D39,1)="✔",IF(E39="Show hint",5,10),0)</f>
        <v>0</v>
      </c>
    </row>
    <row r="40" spans="1:7" ht="35.5" customHeight="1">
      <c r="A40" s="18" t="s">
        <v>186</v>
      </c>
      <c r="B40" s="8" t="s">
        <v>290</v>
      </c>
      <c r="C40" s="20"/>
      <c r="D40" s="21" cm="1" t="str">
        <f t="array" ref="D40">IFERROR(_xlfn.LET(_xlpm.a,'F5-2 Clean Up'!$C$40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$45:$J$45),"✔ CLEAR","✘ TRY AGAIN"))),"✘ TRY AGAIN")</f>
        <v/>
      </c>
      <c r="E40" s="22"/>
      <c r="F40" s="23" cm="1" t="str">
        <f t="array" ref="F40">IF(E40="Show hint",Key!$B$45,"")</f>
        <v/>
      </c>
      <c r="G40" s="24" cm="1">
        <f t="array" ref="G40">IF(LEFT(D40,1)="✔",IF(E40="Show hint",5,10),0)</f>
        <v>0</v>
      </c>
    </row>
    <row r="41" spans="1:7" ht="35.5" customHeight="1">
      <c r="A41" s="18" t="s">
        <v>188</v>
      </c>
      <c r="B41" s="8" t="s">
        <v>293</v>
      </c>
      <c r="C41" s="20"/>
      <c r="D41" s="21" cm="1" t="str">
        <f t="array" ref="D41">IFERROR(_xlfn.LET(_xlpm.a,'F5-2 Clean Up'!$C$41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$46:$J$46),"✔ CLEAR","✘ TRY AGAIN"))),"✘ TRY AGAIN")</f>
        <v/>
      </c>
      <c r="E41" s="22"/>
      <c r="F41" s="23" cm="1" t="str">
        <f t="array" ref="F41">IF(E41="Show hint",Key!$B$46,"")</f>
        <v/>
      </c>
      <c r="G41" s="24" cm="1">
        <f t="array" ref="G41">IF(LEFT(D41,1)="✔",IF(E41="Show hint",5,10),0)</f>
        <v>0</v>
      </c>
    </row>
    <row r="42" spans="1:7" ht="35.5" customHeight="1">
      <c r="A42" s="18" t="s">
        <v>191</v>
      </c>
      <c r="B42" s="8" t="s">
        <v>327</v>
      </c>
      <c r="C42" s="11" t="s">
        <v>328</v>
      </c>
      <c r="D42" s="21" cm="1" t="str">
        <f t="array" ref="D42">IF(ISBLANK('F5-2 Arena'!$D$6),"",IF(NOT(_xlfn.ISFORMULA('F5-2 Arena'!$D$6)),"✘ That's a typed value · enter a formula",IF(ISERROR('F5-2 Arena'!$D$6),"✘ Your formula returns "&amp;IFERROR(CHOOSE(ERROR.TYPE('F5-2 Arena'!$D$6),"#NULL!","#DIV/0!","#VALUE!","#REF!","#NAME?","#NUM!","#N/A","#GETTING_DATA","#SPILL!","#CONNECT!","#BLOCKED!","#UNKNOWN!","#FIELD!","#CALC!"),"an error"),IF(NOT(AND(IFERROR(AND(ISTEXT('F5-2 Arena'!$D$6),EXACT('F5-2 Arena'!$D$6,Key!$C$47)),FALSE))),"✘ TRY AGAIN",IF(AND(OR(ISNUMBER(FIND({"=","(",",","+","-","*","/","&amp;"," ","&lt;","&gt;",":","@","^"}&amp;"TRIM"&amp;"(",UPPER(_xlfn.FORMULATEXT('F5-2 Arena'!$D$6)))))),"✔ CLEAR","✘ CLOSE · right value, but use TRIM")))))</f>
        <v/>
      </c>
      <c r="E42" s="22"/>
      <c r="F42" s="23" cm="1" t="str">
        <f t="array" ref="F42">IF(E42="Show hint",Key!$B$47,"")</f>
        <v/>
      </c>
      <c r="G42" s="24" cm="1">
        <f t="array" ref="G42">IF(LEFT(D42,1)="✔",IF(E42="Show hint",5,10),0)</f>
        <v>0</v>
      </c>
    </row>
    <row r="43" spans="1:7" ht="19.75" customHeight="1">
      <c r="A43" s="18" t="s">
        <v>196</v>
      </c>
      <c r="B43" s="8" t="s">
        <v>331</v>
      </c>
      <c r="C43" s="11" t="s">
        <v>332</v>
      </c>
      <c r="D43" s="21" cm="1" t="str">
        <f t="array" ref="D43">IF(ISBLANK('F5-2 Arena'!$D$7),"",IF(NOT(_xlfn.ISFORMULA('F5-2 Arena'!$D$7)),"✘ That's a typed value · enter a formula",IF(ISERROR('F5-2 Arena'!$D$7),"✘ Your formula returns "&amp;IFERROR(CHOOSE(ERROR.TYPE('F5-2 Arena'!$D$7),"#NULL!","#DIV/0!","#VALUE!","#REF!","#NAME?","#NUM!","#N/A","#GETTING_DATA","#SPILL!","#CONNECT!","#BLOCKED!","#UNKNOWN!","#FIELD!","#CALC!"),"an error"),IF(NOT(AND(IFERROR(AND(ISTEXT('F5-2 Arena'!$D$7),EXACT('F5-2 Arena'!$D$7,Key!$C$48)),FALSE))),"✘ TRY AGAIN",IF(AND(OR(ISNUMBER(FIND({"=","(",",","+","-","*","/","&amp;"," ","&lt;","&gt;",":","@","^"}&amp;"UPPER"&amp;"(",UPPER(_xlfn.FORMULATEXT('F5-2 Arena'!$D$7)))))),"✔ CLEAR","✘ CLOSE · right value, but use UPPER")))))</f>
        <v/>
      </c>
      <c r="E43" s="22"/>
      <c r="F43" s="23" cm="1" t="str">
        <f t="array" ref="F43">IF(E43="Show hint",Key!$B$48,"")</f>
        <v/>
      </c>
      <c r="G43" s="24" cm="1">
        <f t="array" ref="G43">IF(LEFT(D43,1)="✔",IF(E43="Show hint",5,10),0)</f>
        <v>0</v>
      </c>
    </row>
    <row r="44" spans="1:7" ht="19.75" customHeight="1">
      <c r="A44" s="18" t="s">
        <v>201</v>
      </c>
      <c r="B44" s="8" t="s">
        <v>335</v>
      </c>
      <c r="C44" s="11" t="s">
        <v>336</v>
      </c>
      <c r="D44" s="21" cm="1" t="str">
        <f t="array" ref="D44">IF(ISBLANK('F5-2 Arena'!$D$8),"",IF(NOT(_xlfn.ISFORMULA('F5-2 Arena'!$D$8)),"✘ That's a typed value · enter a formula",IF(ISERROR('F5-2 Arena'!$D$8),"✘ Your formula returns "&amp;IFERROR(CHOOSE(ERROR.TYPE('F5-2 Arena'!$D$8),"#NULL!","#DIV/0!","#VALUE!","#REF!","#NAME?","#NUM!","#N/A","#GETTING_DATA","#SPILL!","#CONNECT!","#BLOCKED!","#UNKNOWN!","#FIELD!","#CALC!"),"an error"),IF(NOT(AND(IFERROR(AND(ISTEXT('F5-2 Arena'!$D$8),EXACT('F5-2 Arena'!$D$8,Key!$C$49)),FALSE))),"✘ TRY AGAIN",IF(AND(OR(ISNUMBER(FIND({"=","(",",","+","-","*","/","&amp;"," ","&lt;","&gt;",":","@","^"}&amp;"LOWER"&amp;"(",UPPER(_xlfn.FORMULATEXT('F5-2 Arena'!$D$8)))))),"✔ CLEAR","✘ CLOSE · right value, but use LOWER")))))</f>
        <v/>
      </c>
      <c r="E44" s="22"/>
      <c r="F44" s="23" cm="1" t="str">
        <f t="array" ref="F44">IF(E44="Show hint",Key!$B$49,"")</f>
        <v/>
      </c>
      <c r="G44" s="24" cm="1">
        <f t="array" ref="G44">IF(LEFT(D44,1)="✔",IF(E44="Show hint",5,10),0)</f>
        <v>0</v>
      </c>
    </row>
    <row r="45" spans="1:7" ht="35.5" customHeight="1">
      <c r="A45" s="18" t="s">
        <v>206</v>
      </c>
      <c r="B45" s="8" t="s">
        <v>339</v>
      </c>
      <c r="C45" s="11" t="s">
        <v>340</v>
      </c>
      <c r="D45" s="21" cm="1" t="str">
        <f t="array" ref="D45">IF(ISBLANK('F5-2 Arena'!$D$9),"",IF(NOT(_xlfn.ISFORMULA('F5-2 Arena'!$D$9)),"✘ That's a typed value · enter a formula",IF(ISERROR('F5-2 Arena'!$D$9),"✘ Your formula returns "&amp;IFERROR(CHOOSE(ERROR.TYPE('F5-2 Arena'!$D$9),"#NULL!","#DIV/0!","#VALUE!","#REF!","#NAME?","#NUM!","#N/A","#GETTING_DATA","#SPILL!","#CONNECT!","#BLOCKED!","#UNKNOWN!","#FIELD!","#CALC!"),"an error"),IF(NOT(AND(IFERROR(AND(ISTEXT('F5-2 Arena'!$D$9),'F5-2 Arena'!$D$9=Key!$C$50),FALSE))),"✘ TRY AGAIN",IF(AND(OR(ISNUMBER(FIND({"=","(",",","+","-","*","/","&amp;"," ","&lt;","&gt;",":","@","^"}&amp;"SUBSTITUTE"&amp;"(",UPPER(_xlfn.FORMULATEXT('F5-2 Arena'!$D$9)))))),"✔ CLEAR","✘ CLOSE · right value, but use SUBSTITUTE")))))</f>
        <v/>
      </c>
      <c r="E45" s="22"/>
      <c r="F45" s="23" cm="1" t="str">
        <f t="array" ref="F45">IF(E45="Show hint",Key!$B$50,"")</f>
        <v/>
      </c>
      <c r="G45" s="24" cm="1">
        <f t="array" ref="G45">IF(LEFT(D45,1)="✔",IF(E45="Show hint",5,10),0)</f>
        <v>0</v>
      </c>
    </row>
    <row r="46" spans="1:7" ht="35.5" customHeight="1">
      <c r="A46" s="18" t="s">
        <v>211</v>
      </c>
      <c r="B46" s="8" t="s">
        <v>343</v>
      </c>
      <c r="C46" s="11" t="s">
        <v>344</v>
      </c>
      <c r="D46" s="21" cm="1" t="str">
        <f t="array" ref="D46">IF(ISBLANK('F5-2 Arena'!$D$10),"",IF(NOT(_xlfn.ISFORMULA('F5-2 Arena'!$D$10)),"✘ That's a typed value · enter a formula",IF(ISERROR('F5-2 Arena'!$D$10),"✘ Your formula returns "&amp;IFERROR(CHOOSE(ERROR.TYPE('F5-2 Arena'!$D$10),"#NULL!","#DIV/0!","#VALUE!","#REF!","#NAME?","#NUM!","#N/A","#GETTING_DATA","#SPILL!","#CONNECT!","#BLOCKED!","#UNKNOWN!","#FIELD!","#CALC!"),"an error"),IF(NOT(AND(IFERROR(AND(ISTEXT('F5-2 Arena'!$D$10),EXACT('F5-2 Arena'!$D$10,Key!$C$51)),FALSE))),"✘ TRY AGAIN",IF(AND(OR(ISNUMBER(FIND({"=","(",",","+","-","*","/","&amp;"," ","&lt;","&gt;",":","@","^"}&amp;"PROPER"&amp;"(",UPPER(_xlfn.FORMULATEXT('F5-2 Arena'!$D$10))))),OR(ISNUMBER(FIND({"=","(",",","+","-","*","/","&amp;"," ","&lt;","&gt;",":","@","^"}&amp;"TRIM"&amp;"(",UPPER(_xlfn.FORMULATEXT('F5-2 Arena'!$D$10)))))),"✔ CLEAR","✘ CLOSE · right value, but use PROPER and TRIM")))))</f>
        <v/>
      </c>
      <c r="E46" s="22"/>
      <c r="F46" s="23" cm="1" t="str">
        <f t="array" ref="F46">IF(E46="Show hint",Key!$B$51,"")</f>
        <v/>
      </c>
      <c r="G46" s="24" cm="1">
        <f t="array" ref="G46">IF(LEFT(D46,1)="✔",IF(E46="Show hint",5,10),0)</f>
        <v>0</v>
      </c>
    </row>
  </sheetData>
  <sheetProtection sheet="1" objects="1" scenarios="1" formatColumns="0" formatRows="0"/>
  <conditionalFormatting sqref="D15:D46">
    <cfRule type="expression" dxfId="0" priority="1">
      <formula>LEFT($D15,1)="✔"</formula>
    </cfRule>
    <cfRule type="expression" dxfId="1" priority="2">
      <formula>LEFT($D15,1)="✘"</formula>
    </cfRule>
    <cfRule type="expression" dxfId="2" priority="3">
      <formula>$D15="LOCKED"</formula>
    </cfRule>
  </conditionalFormatting>
  <dataValidations count="45"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Key!$E$37:$H$37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Key!$E$38:$H$38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Key!$E$39:$H$39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Pick an answer" prompt="Press Alt+Down to open the list, choose with the arrow keys, then press Enter." sqref="C31">
      <formula1>Key!$E$40:$H$40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Pick an answer" prompt="Press Alt+Down to open the list, choose with the arrow keys, then press Enter." sqref="C32">
      <formula1>Key!$E$41:$H$41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9"/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0"/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1"/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type="list" allowBlank="1" showInputMessage="1" showErrorMessage="1" promptTitle="Need a hint?" prompt="Pick 'Show hint' (Alt+Down). This question then gives 5 XP instead of 10." sqref="E42">
      <formula1>"Show hint"</formula1>
    </dataValidation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type="list" allowBlank="1" showInputMessage="1" showErrorMessage="1" promptTitle="Need a hint?" prompt="Pick 'Show hint' (Alt+Down). This question then gives 5 XP instead of 10." sqref="E45">
      <formula1>"Show hint"</formula1>
    </dataValidation>
    <dataValidation type="list" allowBlank="1" showInputMessage="1" showErrorMessage="1" promptTitle="Need a hint?" prompt="Pick 'Show hint' (Alt+Down). This question then gives 5 XP instead of 10." sqref="E46">
      <formula1>"Show hint"</formula1>
    </dataValidation>
  </dataValidations>
  <hyperlinks>
    <hyperlink ref="B35" location="'F5-2 Arena'!A1" display="▶ Open F5-2 Arena (or press Ctrl+PgDn)"/>
    <hyperlink ref="C42" location="'F5-2 Arena'!D6" tooltip="Go to F5-2 Arena, cell D6" display="▶ ARENA C6 (cell D6)"/>
    <hyperlink ref="C43" location="'F5-2 Arena'!D7" tooltip="Go to F5-2 Arena, cell D7" display="▶ ARENA C7 (cell D7)"/>
    <hyperlink ref="C44" location="'F5-2 Arena'!D8" tooltip="Go to F5-2 Arena, cell D8" display="▶ ARENA C8 (cell D8)"/>
    <hyperlink ref="C45" location="'F5-2 Arena'!D9" tooltip="Go to F5-2 Arena, cell D9" display="▶ ARENA C9 (cell D9)"/>
    <hyperlink ref="C46" location="'F5-2 Arena'!D10" tooltip="Go to F5-2 Arena, cell D10" display="▶ ARENA C10 (cell D10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14.7109375" customWidth="1"/>
    <col min="2" max="2" width="22.7109375" customWidth="1"/>
    <col min="3" max="3" width="16.7109375" customWidth="1"/>
    <col min="4" max="4" width="20.7109375" customWidth="1"/>
    <col min="5" max="26" width="13.7109375" customWidth="1"/>
  </cols>
  <sheetData>
    <row r="1" spans="1:4">
      <c r="A1" s="1" t="s">
        <v>216</v>
      </c>
    </row>
    <row r="2" spans="1:4">
      <c r="A2" s="3" t="s">
        <v>5</v>
      </c>
    </row>
    <row r="3" spans="1:4">
      <c r="A3" s="25" t="s">
        <v>6</v>
      </c>
      <c r="B3" s="26" t="s">
        <v>217</v>
      </c>
      <c r="D3" s="11" t="s">
        <v>218</v>
      </c>
    </row>
    <row r="5" spans="1:4">
      <c r="B5" s="27" t="s">
        <v>219</v>
      </c>
      <c r="C5" s="27" t="s">
        <v>11</v>
      </c>
    </row>
    <row r="6" spans="1:4">
      <c r="B6" s="5" t="s">
        <v>220</v>
      </c>
      <c r="C6" s="5" t="s">
        <v>224</v>
      </c>
      <c r="D6" s="28"/>
    </row>
    <row r="7" spans="1:4">
      <c r="B7" s="5" t="s">
        <v>221</v>
      </c>
      <c r="C7" s="5" t="s">
        <v>225</v>
      </c>
      <c r="D7" s="28"/>
    </row>
    <row r="8" spans="1:4">
      <c r="B8" s="5" t="s">
        <v>222</v>
      </c>
      <c r="C8" s="5" t="s">
        <v>226</v>
      </c>
      <c r="D8" s="28"/>
    </row>
    <row r="9" spans="1:4">
      <c r="B9" s="5" t="s">
        <v>223</v>
      </c>
      <c r="C9" s="5" t="s">
        <v>227</v>
      </c>
      <c r="D9" s="28"/>
    </row>
    <row r="10" spans="1:4">
      <c r="C10" s="5" t="s">
        <v>228</v>
      </c>
      <c r="D10" s="28"/>
    </row>
  </sheetData>
  <hyperlinks>
    <hyperlink ref="D3" location="'F5-2 Clean Up'!A1" display="◀ Back to F5-2 Clean Up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451</v>
      </c>
      <c r="B1" s="2"/>
      <c r="C1" s="2"/>
      <c r="D1" s="2"/>
      <c r="E1" s="2"/>
      <c r="F1" s="2"/>
      <c r="G1" s="2"/>
    </row>
    <row r="2" spans="1:7">
      <c r="A2" s="3" t="s">
        <v>452</v>
      </c>
    </row>
    <row r="3" spans="1:7" ht="26" customHeight="1">
      <c r="A3" s="14" cm="1" t="str">
        <f t="array" ref="A3">"SCORE "&amp;TEXT(SUM($G$13:$G$39),"0000")&amp;" / 0200"</f>
        <v>SCORE 0000 / 0200</v>
      </c>
      <c r="C3" s="15" cm="1" t="str">
        <f t="array" ref="C3">IF(SUM($G$13:$G$39)&gt;=200,"★★★",IF(SUM($G$13:$G$39)&gt;=200*0.8,"★★☆",IF(SUM($G$13:$G$39)&gt;=200*0.5,"★☆☆","☆☆☆")))</f>
        <v>☆☆☆</v>
      </c>
      <c r="D3" s="16" cm="1" t="str">
        <f t="array" ref="D3">REPT("█",ROUND(10*SUM($G$13:$G$39)/200,0))&amp;REPT("░",10-ROUND(10*SUM($G$13:$G$39)/200,0))&amp;"  "&amp;TEXT(SUM($G$13:$G$39)/200,"0%")</f>
        <v>░░░░░░░░░░  0%</v>
      </c>
      <c r="F3" s="17" cm="1" t="str">
        <f t="array" ref="F3">IF(SUM($G$13:$G$39)&gt;=200*0.5,"STAGE CLEAR! ▶ Next: F5-4 Assemble","")</f>
        <v/>
      </c>
    </row>
    <row r="5" spans="1:7" ht="22" customHeight="1">
      <c r="A5" s="4" t="s">
        <v>21</v>
      </c>
      <c r="B5" s="4"/>
      <c r="C5" s="4"/>
      <c r="D5" s="4"/>
      <c r="E5" s="4"/>
      <c r="F5" s="4"/>
      <c r="G5" s="4"/>
    </row>
    <row r="6" spans="1:7">
      <c r="A6" s="6" t="s">
        <v>22</v>
      </c>
      <c r="B6" s="6" t="s">
        <v>23</v>
      </c>
      <c r="C6" s="6" t="s">
        <v>24</v>
      </c>
      <c r="D6" s="6"/>
      <c r="E6" s="6"/>
      <c r="F6" s="6"/>
      <c r="G6" s="6"/>
    </row>
    <row r="7" spans="1:7" ht="51.25" customHeight="1">
      <c r="A7" s="18" t="s">
        <v>25</v>
      </c>
      <c r="B7" s="8" t="s">
        <v>357</v>
      </c>
      <c r="C7" s="19" t="s">
        <v>129</v>
      </c>
    </row>
    <row r="8" spans="1:7" ht="67" customHeight="1">
      <c r="A8" s="18" t="s">
        <v>28</v>
      </c>
      <c r="B8" s="8" t="s">
        <v>358</v>
      </c>
      <c r="C8" s="19" t="s">
        <v>141</v>
      </c>
    </row>
    <row r="9" spans="1:7" ht="67" customHeight="1">
      <c r="A9" s="18" t="s">
        <v>31</v>
      </c>
      <c r="B9" s="8" t="s">
        <v>359</v>
      </c>
      <c r="C9" s="19" t="s">
        <v>152</v>
      </c>
    </row>
    <row r="11" spans="1:7" ht="22" customHeight="1">
      <c r="A11" s="4" t="s">
        <v>40</v>
      </c>
      <c r="B11" s="4"/>
      <c r="C11" s="4"/>
      <c r="D11" s="4"/>
      <c r="E11" s="4"/>
      <c r="F11" s="4"/>
      <c r="G11" s="4"/>
    </row>
    <row r="12" spans="1:7">
      <c r="A12" s="6" t="s">
        <v>22</v>
      </c>
      <c r="B12" s="6" t="s">
        <v>41</v>
      </c>
      <c r="C12" s="6" t="s">
        <v>42</v>
      </c>
      <c r="D12" s="6" t="s">
        <v>43</v>
      </c>
      <c r="E12" s="6" t="s">
        <v>44</v>
      </c>
      <c r="F12" s="6" t="s">
        <v>1</v>
      </c>
      <c r="G12" s="6" t="s">
        <v>45</v>
      </c>
    </row>
    <row r="13" spans="1:7" ht="35.5" customHeight="1">
      <c r="A13" s="18" t="s">
        <v>54</v>
      </c>
      <c r="B13" s="8" t="s">
        <v>361</v>
      </c>
      <c r="C13" s="20"/>
      <c r="D13" s="21" cm="1" t="str">
        <f t="array" ref="D13">IFERROR(_xlfn.LET(_xlpm.a,'F5-3 Find the Gem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$52:$J$52),"✔ CLEAR","✘ TRY AGAIN"))),"✘ TRY AGAIN")</f>
        <v/>
      </c>
      <c r="E13" s="22"/>
      <c r="F13" s="23" cm="1" t="str">
        <f t="array" ref="F13">IF(E13="Show hint",Key!$B$52,"")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60</v>
      </c>
      <c r="B14" s="8" t="s">
        <v>363</v>
      </c>
      <c r="C14" s="20"/>
      <c r="D14" s="21" cm="1" t="str">
        <f t="array" ref="D14">IFERROR(_xlfn.LET(_xlpm.a,'F5-3 Find the Gem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J$53),"✔ CLEAR","✘ TRY AGAIN"))),"✘ TRY AGAIN")</f>
        <v/>
      </c>
      <c r="E14" s="22"/>
      <c r="F14" s="23" cm="1" t="str">
        <f t="array" ref="F14">IF(E14="Show hint",Key!$B$53,"")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70</v>
      </c>
      <c r="B15" s="8" t="s">
        <v>365</v>
      </c>
      <c r="C15" s="20"/>
      <c r="D15" s="21" cm="1" t="str">
        <f t="array" ref="D15">IFERROR(_xlfn.LET(_xlpm.a,'F5-3 Find the Gem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$54:$J$54),"✔ CLEAR","✘ TRY AGAIN"))),"✘ TRY AGAIN")</f>
        <v/>
      </c>
      <c r="E15" s="22"/>
      <c r="F15" s="23" cm="1" t="str">
        <f t="array" ref="F15">IF(E15="Show hint",Key!$B$54,"")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80</v>
      </c>
      <c r="B16" s="8" t="s">
        <v>367</v>
      </c>
      <c r="C16" s="20"/>
      <c r="D16" s="21" cm="1" t="str">
        <f t="array" ref="D16">IFERROR(_xlfn.LET(_xlpm.a,'F5-3 Find the Gem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$55:$J$55),"✔ CLEAR","✘ TRY AGAIN"))),"✘ TRY AGAIN")</f>
        <v/>
      </c>
      <c r="E16" s="22"/>
      <c r="F16" s="23" cm="1" t="str">
        <f t="array" ref="F16">IF(E16="Show hint",Key!$B$55,"")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90</v>
      </c>
      <c r="B17" s="8" t="s">
        <v>369</v>
      </c>
      <c r="C17" s="20"/>
      <c r="D17" s="21" cm="1" t="str">
        <f t="array" ref="D17">IFERROR(_xlfn.LET(_xlpm.a,'F5-3 Find the Gem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$56:$J$56),"✔ CLEAR","✘ TRY AGAIN"))),"✘ TRY AGAIN")</f>
        <v/>
      </c>
      <c r="E17" s="22"/>
      <c r="F17" s="23" cm="1" t="str">
        <f t="array" ref="F17">IF(E17="Show hint",Key!$B$56,"")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100</v>
      </c>
      <c r="B18" s="8" t="s">
        <v>373</v>
      </c>
      <c r="C18" s="20"/>
      <c r="D18" s="21" cm="1" t="str">
        <f t="array" ref="D18">IFERROR(_xlfn.LET(_xlpm.a,'F5-3 Find the Gem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$57:$E$57),"✔ CLEAR","✘ TRY AGAIN"))),"✘ TRY AGAIN")</f>
        <v/>
      </c>
      <c r="E18" s="22"/>
      <c r="F18" s="23" cm="1" t="str">
        <f t="array" ref="F18">IF(E18="Show hint",Key!$B$57,"")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105</v>
      </c>
      <c r="B19" s="8" t="s">
        <v>380</v>
      </c>
      <c r="C19" s="20"/>
      <c r="D19" s="21" cm="1" t="str">
        <f t="array" ref="D19">IFERROR(_xlfn.LET(_xlpm.a,'F5-3 Find the Gem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$58:$H$58),"✔ CLEAR","✘ TRY AGAIN"))),"✘ TRY AGAIN")</f>
        <v/>
      </c>
      <c r="E19" s="22"/>
      <c r="F19" s="23" cm="1" t="str">
        <f t="array" ref="F19">IF(E19="Show hint",Key!$B$58,"")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110</v>
      </c>
      <c r="B20" s="8" t="s">
        <v>384</v>
      </c>
      <c r="C20" s="20"/>
      <c r="D20" s="21" cm="1" t="str">
        <f t="array" ref="D20">IFERROR(_xlfn.LET(_xlpm.a,'F5-3 Find the Gem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$59:$E$59),"✔ CLEAR","✘ TRY AGAIN"))),"✘ TRY AGAIN")</f>
        <v/>
      </c>
      <c r="E20" s="22"/>
      <c r="F20" s="23" cm="1" t="str">
        <f t="array" ref="F20">IF(E20="Show hint",Key!$B$59,"")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119</v>
      </c>
      <c r="B21" s="8" t="s">
        <v>390</v>
      </c>
      <c r="C21" s="20"/>
      <c r="D21" s="21" cm="1" t="str">
        <f t="array" ref="D21">IFERROR(_xlfn.LET(_xlpm.a,'F5-3 Find the Gem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$60:$G$60),"✔ CLEAR","✘ TRY AGAIN"))),"✘ TRY AGAIN")</f>
        <v/>
      </c>
      <c r="E21" s="22"/>
      <c r="F21" s="23" cm="1" t="str">
        <f t="array" ref="F21">IF(E21="Show hint",Key!$B$60,"")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124</v>
      </c>
      <c r="B22" s="8" t="s">
        <v>409</v>
      </c>
      <c r="C22" s="20"/>
      <c r="D22" s="21" cm="1" t="str">
        <f t="array" ref="D22">IFERROR(_xlfn.LET(_xlpm.a,'F5-3 Find the Gem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$61:$T$61),"✔ CLEAR","✘ TRY AGAIN"))),"✘ TRY AGAIN")</f>
        <v/>
      </c>
      <c r="E22" s="22"/>
      <c r="F22" s="23" cm="1" t="str">
        <f t="array" ref="F22">IF(E22="Show hint",Key!$B$61,"")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126</v>
      </c>
      <c r="B24" s="4"/>
      <c r="C24" s="4"/>
      <c r="D24" s="4"/>
      <c r="E24" s="4"/>
      <c r="F24" s="4"/>
      <c r="G24" s="4"/>
    </row>
    <row r="25" spans="1:7">
      <c r="A25" s="6" t="s">
        <v>22</v>
      </c>
      <c r="B25" s="6" t="s">
        <v>41</v>
      </c>
      <c r="C25" s="6" t="s">
        <v>42</v>
      </c>
      <c r="D25" s="6" t="s">
        <v>43</v>
      </c>
      <c r="E25" s="6" t="s">
        <v>44</v>
      </c>
      <c r="F25" s="6" t="s">
        <v>1</v>
      </c>
      <c r="G25" s="6" t="s">
        <v>45</v>
      </c>
    </row>
    <row r="26" spans="1:7" ht="35.5" customHeight="1">
      <c r="A26" s="18" t="s">
        <v>131</v>
      </c>
      <c r="B26" s="8" t="s">
        <v>412</v>
      </c>
      <c r="C26" s="20"/>
      <c r="D26" s="21" cm="1" t="str">
        <f t="array" ref="D26">IFERROR(IF('F5-3 Find the Gem'!$C$26&amp;""="","",IF('F5-3 Find the Gem'!$C$26&amp;""=Key!$C$62&amp;"","✔ CLEAR","✘ TRY AGAIN")),"✘ TRY AGAIN")</f>
        <v/>
      </c>
      <c r="E26" s="22"/>
      <c r="F26" s="23" cm="1" t="str">
        <f t="array" ref="F26">IF(E26="Show hint",Key!$B$62,"")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137</v>
      </c>
      <c r="B27" s="8" t="s">
        <v>415</v>
      </c>
      <c r="C27" s="20"/>
      <c r="D27" s="21" cm="1" t="str">
        <f t="array" ref="D27">IFERROR(IF('F5-3 Find the Gem'!$C$27&amp;""="","",IF('F5-3 Find the Gem'!$C$27&amp;""=Key!$C$63&amp;"","✔ CLEAR","✘ TRY AGAIN")),"✘ TRY AGAIN")</f>
        <v/>
      </c>
      <c r="E27" s="22"/>
      <c r="F27" s="23" cm="1" t="str">
        <f t="array" ref="F27">IF(E27="Show hint",Key!$B$63,"")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144</v>
      </c>
      <c r="B28" s="8" t="s">
        <v>419</v>
      </c>
      <c r="C28" s="20"/>
      <c r="D28" s="21" cm="1" t="str">
        <f t="array" ref="D28">IFERROR(IF('F5-3 Find the Gem'!$C$28&amp;""="","",IF('F5-3 Find the Gem'!$C$28&amp;""=Key!$C$64&amp;"","✔ CLEAR","✘ TRY AGAIN")),"✘ TRY AGAIN")</f>
        <v/>
      </c>
      <c r="E28" s="22"/>
      <c r="F28" s="23" cm="1" t="str">
        <f t="array" ref="F28">IF(E28="Show hint",Key!$B$64,"")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157</v>
      </c>
      <c r="B30" s="4"/>
      <c r="C30" s="4"/>
      <c r="D30" s="4"/>
      <c r="E30" s="4"/>
      <c r="F30" s="4"/>
      <c r="G30" s="4"/>
    </row>
    <row r="31" spans="1:7">
      <c r="B31" s="11" t="s">
        <v>420</v>
      </c>
    </row>
    <row r="32" spans="1:7">
      <c r="A32" s="6" t="s">
        <v>22</v>
      </c>
      <c r="B32" s="6" t="s">
        <v>41</v>
      </c>
      <c r="C32" s="6" t="s">
        <v>42</v>
      </c>
      <c r="D32" s="6" t="s">
        <v>43</v>
      </c>
      <c r="E32" s="6" t="s">
        <v>44</v>
      </c>
      <c r="F32" s="6" t="s">
        <v>1</v>
      </c>
      <c r="G32" s="6" t="s">
        <v>45</v>
      </c>
    </row>
    <row r="33" spans="1:7" ht="35.5" customHeight="1">
      <c r="A33" s="18" t="s">
        <v>165</v>
      </c>
      <c r="B33" s="8" t="s">
        <v>412</v>
      </c>
      <c r="C33" s="20"/>
      <c r="D33" s="21" cm="1" t="str">
        <f t="array" ref="D33">IFERROR(_xlfn.LET(_xlpm.a,'F5-3 Find the Gem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$65:$J$65),"✔ CLEAR","✘ TRY AGAIN"))),"✘ TRY AGAIN")</f>
        <v/>
      </c>
      <c r="E33" s="22"/>
      <c r="F33" s="23" cm="1" t="str">
        <f t="array" ref="F33">IF(E33="Show hint",Key!$B$65,"")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172</v>
      </c>
      <c r="B34" s="8" t="s">
        <v>415</v>
      </c>
      <c r="C34" s="20"/>
      <c r="D34" s="21" cm="1" t="str">
        <f t="array" ref="D34">IFERROR(_xlfn.LET(_xlpm.a,'F5-3 Find the Gem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$66:$J$66),"✔ CLEAR","✘ TRY AGAIN"))),"✘ TRY AGAIN")</f>
        <v/>
      </c>
      <c r="E34" s="22"/>
      <c r="F34" s="23" cm="1" t="str">
        <f t="array" ref="F34">IF(E34="Show hint",Key!$B$66,"")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179</v>
      </c>
      <c r="B35" s="8" t="s">
        <v>434</v>
      </c>
      <c r="C35" s="20"/>
      <c r="D35" s="21" cm="1" t="str">
        <f t="array" ref="D35">IFERROR(_xlfn.LET(_xlpm.a,'F5-3 Find the Gem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E$67),"✔ CLEAR","✘ TRY AGAIN"))),"✘ TRY AGAIN")</f>
        <v/>
      </c>
      <c r="E35" s="22"/>
      <c r="F35" s="23" cm="1" t="str">
        <f t="array" ref="F35">IF(E35="Show hint",Key!$B$67,"")</f>
        <v/>
      </c>
      <c r="G35" s="24" cm="1">
        <f t="array" ref="G35">IF(LEFT(D35,1)="✔",IF(E35="Show hint",5,10),0)</f>
        <v>0</v>
      </c>
    </row>
    <row r="36" spans="1:7" ht="19.75" customHeight="1">
      <c r="A36" s="18" t="s">
        <v>186</v>
      </c>
      <c r="B36" s="8" t="s">
        <v>437</v>
      </c>
      <c r="C36" s="11" t="s">
        <v>438</v>
      </c>
      <c r="D36" s="21" cm="1" t="str">
        <f t="array" ref="D36">IF(ISBLANK('F5-3 Arena'!$D$6),"",IF(NOT(_xlfn.ISFORMULA('F5-3 Arena'!$D$6)),"✘ That's a typed value · enter a formula",IF(ISERROR('F5-3 Arena'!$D$6),"✘ Your formula returns "&amp;IFERROR(CHOOSE(ERROR.TYPE('F5-3 Arena'!$D$6),"#NULL!","#DIV/0!","#VALUE!","#REF!","#NAME?","#NUM!","#N/A","#GETTING_DATA","#SPILL!","#CONNECT!","#BLOCKED!","#UNKNOWN!","#FIELD!","#CALC!"),"an error"),IF(NOT(AND(IFERROR(AND(ISNUMBER('F5-3 Arena'!$D$6),ABS('F5-3 Arena'!$D$6-Key!$C$68)&lt;=1E-9*MAX(1,ABS(Key!$C$68))),FALSE))),"✘ TRY AGAIN",IF(AND(OR(ISNUMBER(FIND({"=","(",",","+","-","*","/","&amp;"," ","&lt;","&gt;",":","@","^"}&amp;"FIND"&amp;"(",UPPER(_xlfn.FORMULATEXT('F5-3 Arena'!$D$6)))))),"✔ CLEAR","✘ CLOSE · right value, but use FIND")))))</f>
        <v/>
      </c>
      <c r="E36" s="22"/>
      <c r="F36" s="23" cm="1" t="str">
        <f t="array" ref="F36">IF(E36="Show hint",Key!$B$68,"")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188</v>
      </c>
      <c r="B37" s="8" t="s">
        <v>441</v>
      </c>
      <c r="C37" s="11" t="s">
        <v>442</v>
      </c>
      <c r="D37" s="21" cm="1" t="str">
        <f t="array" ref="D37">IF(ISBLANK('F5-3 Arena'!$D$7),"",IF(NOT(_xlfn.ISFORMULA('F5-3 Arena'!$D$7)),"✘ That's a typed value · enter a formula",IF(ISERROR('F5-3 Arena'!$D$7),"✘ Your formula returns "&amp;IFERROR(CHOOSE(ERROR.TYPE('F5-3 Arena'!$D$7),"#NULL!","#DIV/0!","#VALUE!","#REF!","#NAME?","#NUM!","#N/A","#GETTING_DATA","#SPILL!","#CONNECT!","#BLOCKED!","#UNKNOWN!","#FIELD!","#CALC!"),"an error"),IF(NOT(AND(IFERROR(AND(ISNUMBER('F5-3 Arena'!$D$7),ABS('F5-3 Arena'!$D$7-Key!$C$69)&lt;=1E-9*MAX(1,ABS(Key!$C$69))),FALSE))),"✘ TRY AGAIN",IF(AND(OR(ISNUMBER(FIND({"=","(",",","+","-","*","/","&amp;"," ","&lt;","&gt;",":","@","^"}&amp;"SEARCH"&amp;"(",UPPER(_xlfn.FORMULATEXT('F5-3 Arena'!$D$7)))))),"✔ CLEAR","✘ CLOSE · right value, but use SEARCH")))))</f>
        <v/>
      </c>
      <c r="E37" s="22"/>
      <c r="F37" s="23" cm="1" t="str">
        <f t="array" ref="F37">IF(E37="Show hint",Key!$B$69,"")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191</v>
      </c>
      <c r="B38" s="8" t="s">
        <v>445</v>
      </c>
      <c r="C38" s="11" t="s">
        <v>446</v>
      </c>
      <c r="D38" s="21" cm="1" t="str">
        <f t="array" ref="D38">IF(ISBLANK('F5-3 Arena'!$D$8),"",IF(NOT(_xlfn.ISFORMULA('F5-3 Arena'!$D$8)),"✘ That's a typed value · enter a formula",IF(ISERROR('F5-3 Arena'!$D$8),"✘ Your formula returns "&amp;IFERROR(CHOOSE(ERROR.TYPE('F5-3 Arena'!$D$8),"#NULL!","#DIV/0!","#VALUE!","#REF!","#NAME?","#NUM!","#N/A","#GETTING_DATA","#SPILL!","#CONNECT!","#BLOCKED!","#UNKNOWN!","#FIELD!","#CALC!"),"an error"),IF(NOT(AND(IFERROR(AND(ISTEXT('F5-3 Arena'!$D$8),EXACT('F5-3 Arena'!$D$8,Key!$C$70)),FALSE))),"✘ TRY AGAIN",IF(AND(OR(ISNUMBER(FIND({"=","(",",","+","-","*","/","&amp;"," ","&lt;","&gt;",":","@","^"}&amp;"LEFT"&amp;"(",UPPER(_xlfn.FORMULATEXT('F5-3 Arena'!$D$8))))),OR(ISNUMBER(FIND({"=","(",",","+","-","*","/","&amp;"," ","&lt;","&gt;",":","@","^"}&amp;"FIND"&amp;"(",UPPER(_xlfn.FORMULATEXT('F5-3 Arena'!$D$8)))))),"✔ CLEAR","✘ CLOSE · right value, but use LEFT and FIND")))))</f>
        <v/>
      </c>
      <c r="E38" s="22"/>
      <c r="F38" s="23" cm="1" t="str">
        <f t="array" ref="F38">IF(E38="Show hint",Key!$B$70,"")</f>
        <v/>
      </c>
      <c r="G38" s="24" cm="1">
        <f t="array" ref="G38">IF(LEFT(D38,1)="✔",IF(E38="Show hint",5,10),0)</f>
        <v>0</v>
      </c>
    </row>
    <row r="39" spans="1:7" ht="35.5" customHeight="1">
      <c r="A39" s="18" t="s">
        <v>196</v>
      </c>
      <c r="B39" s="8" t="s">
        <v>449</v>
      </c>
      <c r="C39" s="11" t="s">
        <v>450</v>
      </c>
      <c r="D39" s="21" cm="1" t="str">
        <f t="array" ref="D39">IF(ISBLANK('F5-3 Arena'!$D$9),"",IF(NOT(_xlfn.ISFORMULA('F5-3 Arena'!$D$9)),"✘ That's a typed value · enter a formula",IF(ISERROR('F5-3 Arena'!$D$9),"✘ Your formula returns "&amp;IFERROR(CHOOSE(ERROR.TYPE('F5-3 Arena'!$D$9),"#NULL!","#DIV/0!","#VALUE!","#REF!","#NAME?","#NUM!","#N/A","#GETTING_DATA","#SPILL!","#CONNECT!","#BLOCKED!","#UNKNOWN!","#FIELD!","#CALC!"),"an error"),IF(NOT(AND(IFERROR(AND(ISTEXT('F5-3 Arena'!$D$9),EXACT('F5-3 Arena'!$D$9,Key!$C$71)),FALSE))),"✘ TRY AGAIN",IF(AND(OR(ISNUMBER(FIND({"=","(",",","+","-","*","/","&amp;"," ","&lt;","&gt;",":","@","^"}&amp;"MID"&amp;"(",UPPER(_xlfn.FORMULATEXT('F5-3 Arena'!$D$9))))),OR(ISNUMBER(FIND({"=","(",",","+","-","*","/","&amp;"," ","&lt;","&gt;",":","@","^"}&amp;"FIND"&amp;"(",UPPER(_xlfn.FORMULATEXT('F5-3 Arena'!$D$9)))))),"✔ CLEAR","✘ CLOSE · right value, but use MID and FIND")))))</f>
        <v/>
      </c>
      <c r="E39" s="22"/>
      <c r="F39" s="23" cm="1" t="str">
        <f t="array" ref="F39">IF(E39="Show hint",Key!$B$71,"")</f>
        <v/>
      </c>
      <c r="G39" s="24" cm="1">
        <f t="array" ref="G39">IF(LEFT(D39,1)="✔",IF(E39="Show hint",5,10),0)</f>
        <v>0</v>
      </c>
    </row>
  </sheetData>
  <sheetProtection sheet="1" objects="1" scenarios="1" formatColumns="0" formatRows="0"/>
  <conditionalFormatting sqref="D13:D39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6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Key!$E$62:$H$62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Key!$E$63:$H$63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Key!$E$64:$H$64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</dataValidations>
  <hyperlinks>
    <hyperlink ref="B31" location="'F5-3 Arena'!A1" display="▶ Open F5-3 Arena (or press Ctrl+PgDn)"/>
    <hyperlink ref="C36" location="'F5-3 Arena'!D6" tooltip="Go to F5-3 Arena, cell D6" display="▶ ARENA C4 (cell D6)"/>
    <hyperlink ref="C37" location="'F5-3 Arena'!D7" tooltip="Go to F5-3 Arena, cell D7" display="▶ ARENA C5 (cell D7)"/>
    <hyperlink ref="C38" location="'F5-3 Arena'!D8" tooltip="Go to F5-3 Arena, cell D8" display="▶ ARENA C6 (cell D8)"/>
    <hyperlink ref="C39" location="'F5-3 Arena'!D9" tooltip="Go to F5-3 Arena, cell D9" display="▶ ARENA C7 (cell D9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14.7109375" customWidth="1"/>
    <col min="2" max="2" width="18.7109375" customWidth="1"/>
    <col min="3" max="3" width="20.7109375" customWidth="1"/>
    <col min="4" max="4" width="16.7109375" customWidth="1"/>
    <col min="5" max="26" width="13.7109375" customWidth="1"/>
  </cols>
  <sheetData>
    <row r="1" spans="1:4">
      <c r="A1" s="1" t="s">
        <v>347</v>
      </c>
    </row>
    <row r="2" spans="1:4">
      <c r="A2" s="3" t="s">
        <v>5</v>
      </c>
    </row>
    <row r="3" spans="1:4">
      <c r="A3" s="25" t="s">
        <v>6</v>
      </c>
      <c r="B3" s="26" t="s">
        <v>348</v>
      </c>
      <c r="D3" s="11" t="s">
        <v>349</v>
      </c>
    </row>
    <row r="5" spans="1:4">
      <c r="B5" s="27" t="s">
        <v>350</v>
      </c>
      <c r="C5" s="27" t="s">
        <v>11</v>
      </c>
    </row>
    <row r="6" spans="1:4">
      <c r="B6" s="5" t="s">
        <v>351</v>
      </c>
      <c r="C6" s="5" t="s">
        <v>353</v>
      </c>
      <c r="D6" s="28"/>
    </row>
    <row r="7" spans="1:4">
      <c r="B7" s="5" t="s">
        <v>352</v>
      </c>
      <c r="C7" s="5" t="s">
        <v>354</v>
      </c>
      <c r="D7" s="28"/>
    </row>
    <row r="8" spans="1:4">
      <c r="C8" s="5" t="s">
        <v>355</v>
      </c>
      <c r="D8" s="28"/>
    </row>
    <row r="9" spans="1:4">
      <c r="C9" s="5" t="s">
        <v>356</v>
      </c>
      <c r="D9" s="28"/>
    </row>
  </sheetData>
  <hyperlinks>
    <hyperlink ref="D3" location="'F5-3 Find the Gem'!A1" display="◀ Back to F5-3 Find the Gem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550</v>
      </c>
      <c r="B1" s="2"/>
      <c r="C1" s="2"/>
      <c r="D1" s="2"/>
      <c r="E1" s="2"/>
      <c r="F1" s="2"/>
      <c r="G1" s="2"/>
    </row>
    <row r="2" spans="1:7">
      <c r="A2" s="3" t="s">
        <v>551</v>
      </c>
    </row>
    <row r="3" spans="1:7" ht="26" customHeight="1">
      <c r="A3" s="14" cm="1" t="str">
        <f t="array" ref="A3">"SCORE "&amp;TEXT(SUM($G$13:$G$39),"0000")&amp;" / 0200"</f>
        <v>SCORE 0000 / 0200</v>
      </c>
      <c r="C3" s="15" cm="1" t="str">
        <f t="array" ref="C3">IF(SUM($G$13:$G$39)&gt;=200,"★★★",IF(SUM($G$13:$G$39)&gt;=200*0.8,"★★☆",IF(SUM($G$13:$G$39)&gt;=200*0.5,"★☆☆","☆☆☆")))</f>
        <v>☆☆☆</v>
      </c>
      <c r="D3" s="16" cm="1" t="str">
        <f t="array" ref="D3">REPT("█",ROUND(10*SUM($G$13:$G$39)/200,0))&amp;REPT("░",10-ROUND(10*SUM($G$13:$G$39)/200,0))&amp;"  "&amp;TEXT(SUM($G$13:$G$39)/200,"0%")</f>
        <v>░░░░░░░░░░  0%</v>
      </c>
      <c r="F3" s="17" cm="1" t="str">
        <f t="array" ref="F3">IF(SUM($G$13:$G$39)&gt;=200*0.5,"STAGE CLEAR! ▶ Next: Boss","")</f>
        <v/>
      </c>
    </row>
    <row r="5" spans="1:7" ht="22" customHeight="1">
      <c r="A5" s="4" t="s">
        <v>21</v>
      </c>
      <c r="B5" s="4"/>
      <c r="C5" s="4"/>
      <c r="D5" s="4"/>
      <c r="E5" s="4"/>
      <c r="F5" s="4"/>
      <c r="G5" s="4"/>
    </row>
    <row r="6" spans="1:7">
      <c r="A6" s="6" t="s">
        <v>22</v>
      </c>
      <c r="B6" s="6" t="s">
        <v>23</v>
      </c>
      <c r="C6" s="6" t="s">
        <v>24</v>
      </c>
      <c r="D6" s="6"/>
      <c r="E6" s="6"/>
      <c r="F6" s="6"/>
      <c r="G6" s="6"/>
    </row>
    <row r="7" spans="1:7" ht="51.25" customHeight="1">
      <c r="A7" s="18" t="s">
        <v>25</v>
      </c>
      <c r="B7" s="8" t="s">
        <v>469</v>
      </c>
      <c r="C7" s="19" t="s">
        <v>130</v>
      </c>
    </row>
    <row r="8" spans="1:7" ht="51.25" customHeight="1">
      <c r="A8" s="18" t="s">
        <v>28</v>
      </c>
      <c r="B8" s="8" t="s">
        <v>470</v>
      </c>
      <c r="C8" s="19" t="s">
        <v>148</v>
      </c>
    </row>
    <row r="9" spans="1:7" ht="67" customHeight="1">
      <c r="A9" s="18" t="s">
        <v>31</v>
      </c>
      <c r="B9" s="8" t="s">
        <v>471</v>
      </c>
      <c r="C9" s="19" t="s">
        <v>472</v>
      </c>
    </row>
    <row r="11" spans="1:7" ht="22" customHeight="1">
      <c r="A11" s="4" t="s">
        <v>40</v>
      </c>
      <c r="B11" s="4"/>
      <c r="C11" s="4"/>
      <c r="D11" s="4"/>
      <c r="E11" s="4"/>
      <c r="F11" s="4"/>
      <c r="G11" s="4"/>
    </row>
    <row r="12" spans="1:7">
      <c r="A12" s="6" t="s">
        <v>22</v>
      </c>
      <c r="B12" s="6" t="s">
        <v>41</v>
      </c>
      <c r="C12" s="6" t="s">
        <v>42</v>
      </c>
      <c r="D12" s="6" t="s">
        <v>43</v>
      </c>
      <c r="E12" s="6" t="s">
        <v>44</v>
      </c>
      <c r="F12" s="6" t="s">
        <v>1</v>
      </c>
      <c r="G12" s="6" t="s">
        <v>45</v>
      </c>
    </row>
    <row r="13" spans="1:7" ht="35.5" customHeight="1">
      <c r="A13" s="18" t="s">
        <v>54</v>
      </c>
      <c r="B13" s="8" t="s">
        <v>474</v>
      </c>
      <c r="C13" s="20"/>
      <c r="D13" s="21" cm="1" t="str">
        <f t="array" ref="D13">IFERROR(_xlfn.LET(_xlpm.a,'F5-4 Assemble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$72:$J$72),"✔ CLEAR","✘ TRY AGAIN"))),"✘ TRY AGAIN")</f>
        <v/>
      </c>
      <c r="E13" s="22"/>
      <c r="F13" s="23" cm="1" t="str">
        <f t="array" ref="F13">IF(E13="Show hint",Key!$B$72,"")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60</v>
      </c>
      <c r="B14" s="8" t="s">
        <v>476</v>
      </c>
      <c r="C14" s="20"/>
      <c r="D14" s="21" cm="1" t="str">
        <f t="array" ref="D14">IFERROR(_xlfn.LET(_xlpm.a,'F5-4 Assemble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$73:$J$73),"✔ CLEAR","✘ TRY AGAIN"))),"✘ TRY AGAIN")</f>
        <v/>
      </c>
      <c r="E14" s="22"/>
      <c r="F14" s="23" cm="1" t="str">
        <f t="array" ref="F14">IF(E14="Show hint",Key!$B$73,"")</f>
        <v/>
      </c>
      <c r="G14" s="24" cm="1">
        <f t="array" ref="G14">IF(LEFT(D14,1)="✔",IF(E14="Show hint",5,10),0)</f>
        <v>0</v>
      </c>
    </row>
    <row r="15" spans="1:7" ht="51.25" customHeight="1">
      <c r="A15" s="18" t="s">
        <v>70</v>
      </c>
      <c r="B15" s="8" t="s">
        <v>478</v>
      </c>
      <c r="C15" s="20"/>
      <c r="D15" s="21" cm="1" t="str">
        <f t="array" ref="D15">IFERROR(_xlfn.LET(_xlpm.a,'F5-4 Assemble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$74:$E$74),"✔ CLEAR","✘ TRY AGAIN"))),"✘ TRY AGAIN")</f>
        <v/>
      </c>
      <c r="E15" s="22"/>
      <c r="F15" s="23" cm="1" t="str">
        <f t="array" ref="F15">IF(E15="Show hint",Key!$B$74,"")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80</v>
      </c>
      <c r="B16" s="8" t="s">
        <v>482</v>
      </c>
      <c r="C16" s="20"/>
      <c r="D16" s="21" cm="1" t="str">
        <f t="array" ref="D16">IFERROR(_xlfn.LET(_xlpm.a,'F5-4 Assemble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$75:$E$75),"✔ CLEAR","✘ TRY AGAIN"))),"✘ TRY AGAIN")</f>
        <v/>
      </c>
      <c r="E16" s="22"/>
      <c r="F16" s="23" cm="1" t="str">
        <f t="array" ref="F16">IF(E16="Show hint",Key!$B$75,"")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90</v>
      </c>
      <c r="B17" s="8" t="s">
        <v>486</v>
      </c>
      <c r="C17" s="20"/>
      <c r="D17" s="21" cm="1" t="str">
        <f t="array" ref="D17">IFERROR(_xlfn.LET(_xlpm.a,'F5-4 Assemble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$76:$E$76),"✔ CLEAR","✘ TRY AGAIN"))),"✘ TRY AGAIN")</f>
        <v/>
      </c>
      <c r="E17" s="22"/>
      <c r="F17" s="23" cm="1" t="str">
        <f t="array" ref="F17">IF(E17="Show hint",Key!$B$76,"")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100</v>
      </c>
      <c r="B18" s="8" t="s">
        <v>490</v>
      </c>
      <c r="C18" s="20"/>
      <c r="D18" s="21" cm="1" t="str">
        <f t="array" ref="D18">IFERROR(_xlfn.LET(_xlpm.a,'F5-4 Assemble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$77:$E$77),"✔ CLEAR","✘ TRY AGAIN"))),"✘ TRY AGAIN")</f>
        <v/>
      </c>
      <c r="E18" s="22"/>
      <c r="F18" s="23" cm="1" t="str">
        <f t="array" ref="F18">IF(E18="Show hint",Key!$B$77,"")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105</v>
      </c>
      <c r="B19" s="8" t="s">
        <v>494</v>
      </c>
      <c r="C19" s="20"/>
      <c r="D19" s="21" cm="1" t="str">
        <f t="array" ref="D19">IFERROR(_xlfn.LET(_xlpm.a,'F5-4 Assemble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$78:$E$78),"✔ CLEAR","✘ TRY AGAIN"))),"✘ TRY AGAIN")</f>
        <v/>
      </c>
      <c r="E19" s="22"/>
      <c r="F19" s="23" cm="1" t="str">
        <f t="array" ref="F19">IF(E19="Show hint",Key!$B$78,"")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110</v>
      </c>
      <c r="B20" s="8" t="s">
        <v>498</v>
      </c>
      <c r="C20" s="20"/>
      <c r="D20" s="21" cm="1" t="str">
        <f t="array" ref="D20">IFERROR(_xlfn.LET(_xlpm.a,'F5-4 Assemble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$79:$E$79),"✔ CLEAR","✘ TRY AGAIN"))),"✘ TRY AGAIN")</f>
        <v/>
      </c>
      <c r="E20" s="22"/>
      <c r="F20" s="23" cm="1" t="str">
        <f t="array" ref="F20">IF(E20="Show hint",Key!$B$79,"")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119</v>
      </c>
      <c r="B21" s="8" t="s">
        <v>502</v>
      </c>
      <c r="C21" s="20"/>
      <c r="D21" s="21" cm="1" t="str">
        <f t="array" ref="D21">IFERROR(_xlfn.LET(_xlpm.a,'F5-4 Assemble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$80:$E$80),"✔ CLEAR","✘ TRY AGAIN"))),"✘ TRY AGAIN")</f>
        <v/>
      </c>
      <c r="E21" s="22"/>
      <c r="F21" s="23" cm="1" t="str">
        <f t="array" ref="F21">IF(E21="Show hint",Key!$B$80,"")</f>
        <v/>
      </c>
      <c r="G21" s="24" cm="1">
        <f t="array" ref="G21">IF(LEFT(D21,1)="✔",IF(E21="Show hint",5,10),0)</f>
        <v>0</v>
      </c>
    </row>
    <row r="22" spans="1:7" ht="19.75" customHeight="1">
      <c r="A22" s="18" t="s">
        <v>124</v>
      </c>
      <c r="B22" s="8" t="s">
        <v>506</v>
      </c>
      <c r="C22" s="20"/>
      <c r="D22" s="21" cm="1" t="str">
        <f t="array" ref="D22">IFERROR(_xlfn.LET(_xlpm.a,'F5-4 Assemble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$81:$E$81),"✔ CLEAR","✘ TRY AGAIN"))),"✘ TRY AGAIN")</f>
        <v/>
      </c>
      <c r="E22" s="22"/>
      <c r="F22" s="23" cm="1" t="str">
        <f t="array" ref="F22">IF(E22="Show hint",Key!$B$81,"")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126</v>
      </c>
      <c r="B24" s="4"/>
      <c r="C24" s="4"/>
      <c r="D24" s="4"/>
      <c r="E24" s="4"/>
      <c r="F24" s="4"/>
      <c r="G24" s="4"/>
    </row>
    <row r="25" spans="1:7">
      <c r="A25" s="6" t="s">
        <v>22</v>
      </c>
      <c r="B25" s="6" t="s">
        <v>41</v>
      </c>
      <c r="C25" s="6" t="s">
        <v>42</v>
      </c>
      <c r="D25" s="6" t="s">
        <v>43</v>
      </c>
      <c r="E25" s="6" t="s">
        <v>44</v>
      </c>
      <c r="F25" s="6" t="s">
        <v>1</v>
      </c>
      <c r="G25" s="6" t="s">
        <v>45</v>
      </c>
    </row>
    <row r="26" spans="1:7" ht="35.5" customHeight="1">
      <c r="A26" s="18" t="s">
        <v>131</v>
      </c>
      <c r="B26" s="8" t="s">
        <v>509</v>
      </c>
      <c r="C26" s="20"/>
      <c r="D26" s="21" cm="1" t="str">
        <f t="array" ref="D26">IFERROR(IF('F5-4 Assemble'!$C$26&amp;""="","",IF('F5-4 Assemble'!$C$26&amp;""=Key!$C$82&amp;"","✔ CLEAR","✘ TRY AGAIN")),"✘ TRY AGAIN")</f>
        <v/>
      </c>
      <c r="E26" s="22"/>
      <c r="F26" s="23" cm="1" t="str">
        <f t="array" ref="F26">IF(E26="Show hint",Key!$B$82,"")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137</v>
      </c>
      <c r="B27" s="8" t="s">
        <v>512</v>
      </c>
      <c r="C27" s="20"/>
      <c r="D27" s="21" cm="1" t="str">
        <f t="array" ref="D27">IFERROR(IF('F5-4 Assemble'!$C$27&amp;""="","",IF('F5-4 Assemble'!$C$27&amp;""=Key!$C$83&amp;"","✔ CLEAR","✘ TRY AGAIN")),"✘ TRY AGAIN")</f>
        <v/>
      </c>
      <c r="E27" s="22"/>
      <c r="F27" s="23" cm="1" t="str">
        <f t="array" ref="F27">IF(E27="Show hint",Key!$B$83,"")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144</v>
      </c>
      <c r="B28" s="8" t="s">
        <v>515</v>
      </c>
      <c r="C28" s="20"/>
      <c r="D28" s="21" cm="1" t="str">
        <f t="array" ref="D28">IFERROR(IF('F5-4 Assemble'!$C$28&amp;""="","",IF('F5-4 Assemble'!$C$28&amp;""=Key!$C$84&amp;"","✔ CLEAR","✘ TRY AGAIN")),"✘ TRY AGAIN")</f>
        <v/>
      </c>
      <c r="E28" s="22"/>
      <c r="F28" s="23" cm="1" t="str">
        <f t="array" ref="F28">IF(E28="Show hint",Key!$B$84,"")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157</v>
      </c>
      <c r="B30" s="4"/>
      <c r="C30" s="4"/>
      <c r="D30" s="4"/>
      <c r="E30" s="4"/>
      <c r="F30" s="4"/>
      <c r="G30" s="4"/>
    </row>
    <row r="31" spans="1:7">
      <c r="B31" s="11" t="s">
        <v>516</v>
      </c>
    </row>
    <row r="32" spans="1:7">
      <c r="A32" s="6" t="s">
        <v>22</v>
      </c>
      <c r="B32" s="6" t="s">
        <v>41</v>
      </c>
      <c r="C32" s="6" t="s">
        <v>42</v>
      </c>
      <c r="D32" s="6" t="s">
        <v>43</v>
      </c>
      <c r="E32" s="6" t="s">
        <v>44</v>
      </c>
      <c r="F32" s="6" t="s">
        <v>1</v>
      </c>
      <c r="G32" s="6" t="s">
        <v>45</v>
      </c>
    </row>
    <row r="33" spans="1:7" ht="35.5" customHeight="1">
      <c r="A33" s="18" t="s">
        <v>165</v>
      </c>
      <c r="B33" s="8" t="s">
        <v>509</v>
      </c>
      <c r="C33" s="20"/>
      <c r="D33" s="21" cm="1" t="str">
        <f t="array" ref="D33">IFERROR(_xlfn.LET(_xlpm.a,'F5-4 Assemble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$85:$J$85),"✔ CLEAR","✘ TRY AGAIN"))),"✘ TRY AGAIN")</f>
        <v/>
      </c>
      <c r="E33" s="22"/>
      <c r="F33" s="23" cm="1" t="str">
        <f t="array" ref="F33">IF(E33="Show hint",Key!$B$85,"")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172</v>
      </c>
      <c r="B34" s="8" t="s">
        <v>512</v>
      </c>
      <c r="C34" s="20"/>
      <c r="D34" s="21" cm="1" t="str">
        <f t="array" ref="D34">IFERROR(_xlfn.LET(_xlpm.a,'F5-4 Assemble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$86:$J$86),"✔ CLEAR","✘ TRY AGAIN"))),"✘ TRY AGAIN")</f>
        <v/>
      </c>
      <c r="E34" s="22"/>
      <c r="F34" s="23" cm="1" t="str">
        <f t="array" ref="F34">IF(E34="Show hint",Key!$B$86,"")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179</v>
      </c>
      <c r="B35" s="8" t="s">
        <v>515</v>
      </c>
      <c r="C35" s="20"/>
      <c r="D35" s="21" cm="1" t="str">
        <f t="array" ref="D35">IFERROR(_xlfn.LET(_xlpm.a,'F5-4 Assemble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$87:$J$87),"✔ CLEAR","✘ TRY AGAIN"))),"✘ TRY AGAIN")</f>
        <v/>
      </c>
      <c r="E35" s="22"/>
      <c r="F35" s="23" cm="1" t="str">
        <f t="array" ref="F35">IF(E35="Show hint",Key!$B$87,"")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186</v>
      </c>
      <c r="B36" s="8" t="s">
        <v>537</v>
      </c>
      <c r="C36" s="11" t="s">
        <v>438</v>
      </c>
      <c r="D36" s="21" cm="1" t="str">
        <f t="array" ref="D36">IF(ISBLANK('F5-4 Arena'!$D$6),"",IF(NOT(_xlfn.ISFORMULA('F5-4 Arena'!$D$6)),"✘ That's a typed value · enter a formula",IF(ISERROR('F5-4 Arena'!$D$6),"✘ Your formula returns "&amp;IFERROR(CHOOSE(ERROR.TYPE('F5-4 Arena'!$D$6),"#NULL!","#DIV/0!","#VALUE!","#REF!","#NAME?","#NUM!","#N/A","#GETTING_DATA","#SPILL!","#CONNECT!","#BLOCKED!","#UNKNOWN!","#FIELD!","#CALC!"),"an error"),IF(NOT(AND(IFERROR(AND(ISTEXT('F5-4 Arena'!$D$6),EXACT('F5-4 Arena'!$D$6,Key!$C$88)),FALSE))),"✘ TRY AGAIN",IF(AND(OR(ISNUMBER(FIND({"=","(",",","+","-","*","/","&amp;"," ","&lt;","&gt;",":","@","^"}&amp;"TEXTJOIN"&amp;"(",UPPER(_xlfn.FORMULATEXT('F5-4 Arena'!$D$6)))))),"✔ CLEAR","✘ CLOSE · right value, but use TEXTJOIN")))))</f>
        <v/>
      </c>
      <c r="E36" s="22"/>
      <c r="F36" s="23" cm="1" t="str">
        <f t="array" ref="F36">IF(E36="Show hint",Key!$B$88,"")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188</v>
      </c>
      <c r="B37" s="8" t="s">
        <v>540</v>
      </c>
      <c r="C37" s="11" t="s">
        <v>541</v>
      </c>
      <c r="D37" s="21" cm="1" t="str">
        <f t="array" ref="D37">IF(ISBLANK('F5-4 Arena'!$D$12),"",IF(NOT(_xlfn.ISFORMULA('F5-4 Arena'!$D$12)),"✘ That's a typed value · enter a formula",IF(ISERROR('F5-4 Arena'!$D$12),"✘ Your formula returns "&amp;IFERROR(CHOOSE(ERROR.TYPE('F5-4 Arena'!$D$12),"#NULL!","#DIV/0!","#VALUE!","#REF!","#NAME?","#NUM!","#N/A","#GETTING_DATA","#SPILL!","#CONNECT!","#BLOCKED!","#UNKNOWN!","#FIELD!","#CALC!"),"an error"),IF(NOT(AND(IFERROR(AND(ISTEXT('F5-4 Arena'!$D$12),'F5-4 Arena'!$D$12=Key!$C$89),FALSE))),"✘ TRY AGAIN",IF(AND(OR(ISNUMBER(FIND({"=","(",",","+","-","*","/","&amp;"," ","&lt;","&gt;",":","@","^"}&amp;"TEXT"&amp;"(",UPPER(_xlfn.FORMULATEXT('F5-4 Arena'!$D$12)))))),"✔ CLEAR","✘ CLOSE · right value, but use TEXT")))))</f>
        <v/>
      </c>
      <c r="E37" s="22"/>
      <c r="F37" s="23" cm="1" t="str">
        <f t="array" ref="F37">IF(E37="Show hint",Key!$B$89,"")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191</v>
      </c>
      <c r="B38" s="8" t="s">
        <v>544</v>
      </c>
      <c r="C38" s="11" t="s">
        <v>545</v>
      </c>
      <c r="D38" s="21" cm="1" t="str">
        <f t="array" ref="D38">IF(ISBLANK('F5-4 Arena'!$D$14),"",IF(NOT(_xlfn.ISFORMULA('F5-4 Arena'!$D$14)),"✘ That's a typed value · enter a formula",IF(ISERROR('F5-4 Arena'!$D$14),"✘ Your formula returns "&amp;IFERROR(CHOOSE(ERROR.TYPE('F5-4 Arena'!$D$14),"#NULL!","#DIV/0!","#VALUE!","#REF!","#NAME?","#NUM!","#N/A","#GETTING_DATA","#SPILL!","#CONNECT!","#BLOCKED!","#UNKNOWN!","#FIELD!","#CALC!"),"an error"),IF(NOT(AND(IFERROR(AND(ISNUMBER('F5-4 Arena'!$D$14),ABS('F5-4 Arena'!$D$14-Key!$C$90)&lt;=1E-9*MAX(1,ABS(Key!$C$90))),FALSE))),"✘ TRY AGAIN",IF(AND(OR(ISNUMBER(FIND({"=","(",",","+","-","*","/","&amp;"," ","&lt;","&gt;",":","@","^"}&amp;"VALUE"&amp;"(",UPPER(_xlfn.FORMULATEXT('F5-4 Arena'!$D$14)))))),"✔ CLEAR","✘ CLOSE · right value, but use VALUE")))))</f>
        <v/>
      </c>
      <c r="E38" s="22"/>
      <c r="F38" s="23" cm="1" t="str">
        <f t="array" ref="F38">IF(E38="Show hint",Key!$B$90,"")</f>
        <v/>
      </c>
      <c r="G38" s="24" cm="1">
        <f t="array" ref="G38">IF(LEFT(D38,1)="✔",IF(E38="Show hint",5,10),0)</f>
        <v>0</v>
      </c>
    </row>
    <row r="39" spans="1:7" ht="35.5" customHeight="1">
      <c r="A39" s="18" t="s">
        <v>196</v>
      </c>
      <c r="B39" s="8" t="s">
        <v>548</v>
      </c>
      <c r="C39" s="11" t="s">
        <v>549</v>
      </c>
      <c r="D39" s="21" cm="1" t="str">
        <f t="array" ref="D39">IF(ISBLANK('F5-4 Arena'!$D$16),"",IF(NOT(_xlfn.ISFORMULA('F5-4 Arena'!$D$16)),"✘ That's a typed value · enter a formula",IF(ISERROR('F5-4 Arena'!$D$16),"✘ Your formula returns "&amp;IFERROR(CHOOSE(ERROR.TYPE('F5-4 Arena'!$D$16),"#NULL!","#DIV/0!","#VALUE!","#REF!","#NAME?","#NUM!","#N/A","#GETTING_DATA","#SPILL!","#CONNECT!","#BLOCKED!","#UNKNOWN!","#FIELD!","#CALC!"),"an error"),IF(NOT(AND(IFERROR(AND(ISTEXT('F5-4 Arena'!$D$16),EXACT('F5-4 Arena'!$D$16,Key!$C$91)),FALSE))),"✘ TRY AGAIN",IF(AND(OR(ISNUMBER(FIND({"=","(",",","+","-","*","/","&amp;"," ","&lt;","&gt;",":","@","^"}&amp;"TEXT"&amp;"(",UPPER(_xlfn.FORMULATEXT('F5-4 Arena'!$D$16)))))),"✔ CLEAR","✘ CLOSE · right value, but use TEXT")))))</f>
        <v/>
      </c>
      <c r="E39" s="22"/>
      <c r="F39" s="23" cm="1" t="str">
        <f t="array" ref="F39">IF(E39="Show hint",Key!$B$91,"")</f>
        <v/>
      </c>
      <c r="G39" s="24" cm="1">
        <f t="array" ref="G39">IF(LEFT(D39,1)="✔",IF(E39="Show hint",5,10),0)</f>
        <v>0</v>
      </c>
    </row>
  </sheetData>
  <sheetProtection sheet="1" objects="1" scenarios="1" formatColumns="0" formatRows="0"/>
  <conditionalFormatting sqref="D13:D39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6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Key!$E$82:$H$82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Key!$E$83:$H$83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Key!$E$84:$H$84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</dataValidations>
  <hyperlinks>
    <hyperlink ref="B31" location="'F5-4 Arena'!A1" display="▶ Open F5-4 Arena (or press Ctrl+PgDn)"/>
    <hyperlink ref="C36" location="'F5-4 Arena'!D6" tooltip="Go to F5-4 Arena, cell D6" display="▶ ARENA C4 (cell D6)"/>
    <hyperlink ref="C37" location="'F5-4 Arena'!D12" tooltip="Go to F5-4 Arena, cell D12" display="▶ ARENA C5 (cell D12)"/>
    <hyperlink ref="C38" location="'F5-4 Arena'!D14" tooltip="Go to F5-4 Arena, cell D14" display="▶ ARENA C6 (cell D14)"/>
    <hyperlink ref="C39" location="'F5-4 Arena'!D16" tooltip="Go to F5-4 Arena, cell D16" display="▶ ARENA C7 (cell D16)"/>
  </hyperlink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2" width="14.7109375" customWidth="1"/>
    <col min="3" max="3" width="20.7109375" customWidth="1"/>
    <col min="4" max="4" width="26.7109375" customWidth="1"/>
    <col min="5" max="26" width="13.7109375" customWidth="1"/>
  </cols>
  <sheetData>
    <row r="1" spans="1:4">
      <c r="A1" s="1" t="s">
        <v>453</v>
      </c>
    </row>
    <row r="2" spans="1:4">
      <c r="A2" s="3" t="s">
        <v>5</v>
      </c>
    </row>
    <row r="3" spans="1:4">
      <c r="A3" s="25" t="s">
        <v>6</v>
      </c>
      <c r="B3" s="26" t="s">
        <v>454</v>
      </c>
      <c r="D3" s="11" t="s">
        <v>455</v>
      </c>
    </row>
    <row r="5" spans="1:4">
      <c r="B5" s="27" t="s">
        <v>456</v>
      </c>
      <c r="C5" s="27" t="s">
        <v>11</v>
      </c>
    </row>
    <row r="6" spans="1:4">
      <c r="B6" s="5" t="s">
        <v>457</v>
      </c>
      <c r="C6" s="5" t="s">
        <v>465</v>
      </c>
      <c r="D6" s="28"/>
    </row>
    <row r="7" spans="1:4">
      <c r="B7" s="5" t="s">
        <v>458</v>
      </c>
    </row>
    <row r="9" spans="1:4">
      <c r="B9" s="5" t="s">
        <v>459</v>
      </c>
    </row>
    <row r="10" spans="1:4">
      <c r="B10" s="5" t="s">
        <v>460</v>
      </c>
    </row>
    <row r="11" spans="1:4">
      <c r="B11" s="7" t="s">
        <v>461</v>
      </c>
    </row>
    <row r="12" spans="1:4">
      <c r="B12" s="29">
        <v>46096</v>
      </c>
      <c r="C12" s="5" t="s">
        <v>466</v>
      </c>
      <c r="D12" s="28"/>
    </row>
    <row r="13" spans="1:4">
      <c r="B13" s="7" t="s">
        <v>462</v>
      </c>
    </row>
    <row r="14" spans="1:4">
      <c r="B14" s="5" t="s">
        <v>463</v>
      </c>
      <c r="C14" s="5" t="s">
        <v>467</v>
      </c>
      <c r="D14" s="28"/>
    </row>
    <row r="15" spans="1:4">
      <c r="B15" s="7" t="s">
        <v>464</v>
      </c>
    </row>
    <row r="16" spans="1:4">
      <c r="B16" s="5">
        <v>1234.5</v>
      </c>
      <c r="C16" s="5" t="s">
        <v>468</v>
      </c>
      <c r="D16" s="28"/>
    </row>
  </sheetData>
  <hyperlinks>
    <hyperlink ref="D3" location="'F5-4 Assemble'!A1" display="◀ Back to F5-4 Assembl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629</v>
      </c>
      <c r="B1" s="2"/>
      <c r="C1" s="2"/>
      <c r="D1" s="2"/>
      <c r="E1" s="2"/>
      <c r="F1" s="2"/>
      <c r="G1" s="2"/>
    </row>
    <row r="2" spans="1:7">
      <c r="A2" s="3" t="s">
        <v>630</v>
      </c>
    </row>
    <row r="3" spans="1:7" ht="26" customHeight="1">
      <c r="A3" s="14" cm="1" t="str">
        <f t="array" ref="A3">"SCORE "&amp;TEXT(SUM($G$14:$G$33),"0000")&amp;" / 0160"</f>
        <v>SCORE 0000 / 0160</v>
      </c>
      <c r="C3" s="15" cm="1" t="str">
        <f t="array" ref="C3">IF(SUM($G$14:$G$33)&gt;=160,"★★★",IF(SUM($G$14:$G$33)&gt;=160*0.8,"★★☆",IF(SUM($G$14:$G$33)&gt;=160*0.5,"★☆☆","☆☆☆")))</f>
        <v>☆☆☆</v>
      </c>
      <c r="D3" s="16" cm="1" t="str">
        <f t="array" ref="D3">REPT("█",ROUND(10*SUM($G$14:$G$33)/160,0))&amp;REPT("░",10-ROUND(10*SUM($G$14:$G$33)/160,0))&amp;"  "&amp;TEXT(SUM($G$14:$G$33)/160,"0%")</f>
        <v>░░░░░░░░░░  0%</v>
      </c>
    </row>
    <row r="5" spans="1:7" ht="22" customHeight="1">
      <c r="A5" s="4" t="s">
        <v>572</v>
      </c>
      <c r="B5" s="4"/>
      <c r="C5" s="4"/>
      <c r="D5" s="4"/>
      <c r="E5" s="4"/>
      <c r="F5" s="4"/>
      <c r="G5" s="4"/>
    </row>
    <row r="6" spans="1:7">
      <c r="B6" s="7" t="s">
        <v>573</v>
      </c>
      <c r="C6" s="30"/>
    </row>
    <row r="7" spans="1:7">
      <c r="B7" s="7" t="s">
        <v>574</v>
      </c>
      <c r="C7" s="30"/>
    </row>
    <row r="8" spans="1:7">
      <c r="B8" s="7" t="s">
        <v>575</v>
      </c>
      <c r="C8" s="31" cm="1" t="str">
        <f t="array" ref="C8">IF(OR(C6="",C7=""),"",ROUND(MOD(C7-C6,1)*1440,0))</f>
        <v/>
      </c>
    </row>
    <row r="9" spans="1:7">
      <c r="B9" s="7" t="s">
        <v>576</v>
      </c>
      <c r="C9" s="31">
        <v>15</v>
      </c>
    </row>
    <row r="10" spans="1:7">
      <c r="B10" s="7" t="s">
        <v>577</v>
      </c>
      <c r="C10" s="12" cm="1" t="str">
        <f t="array" ref="C10">IF(AND(SUM('F5-1 Cut &amp; Splice'!$G$15:$G$46)&gt;=250*0.5,SUM('F5-2 Clean Up'!$G$15:$G$46)&gt;=250*0.5,SUM('F5-3 Find the Gem'!$G$13:$G$39)&gt;=200*0.5,SUM('F5-4 Assemble'!$G$13:$G$39)&gt;=200*0.5),"OPEN","LOCKED")</f>
        <v>LOCKED</v>
      </c>
      <c r="D10" s="32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578</v>
      </c>
      <c r="B12" s="4"/>
      <c r="C12" s="4"/>
      <c r="D12" s="4"/>
      <c r="E12" s="4"/>
      <c r="F12" s="4"/>
      <c r="G12" s="4"/>
    </row>
    <row r="13" spans="1:7">
      <c r="A13" s="6" t="s">
        <v>22</v>
      </c>
      <c r="B13" s="6" t="s">
        <v>41</v>
      </c>
      <c r="C13" s="6" t="s">
        <v>42</v>
      </c>
      <c r="D13" s="6" t="s">
        <v>43</v>
      </c>
      <c r="E13" s="6" t="s">
        <v>44</v>
      </c>
      <c r="F13" s="6" t="s">
        <v>1</v>
      </c>
      <c r="G13" s="6" t="s">
        <v>45</v>
      </c>
    </row>
    <row r="14" spans="1:7" ht="35.5" customHeight="1">
      <c r="A14" s="18" t="s">
        <v>580</v>
      </c>
      <c r="B14" s="32" cm="1" t="str">
        <f t="array" ref="B14">IF($C$10="OPEN","Which function joins a range of text with a delimiter?  (from F5-4 Assemble)","LOCKED · earn ★ on every stage to open the Boss gate")</f>
        <v>LOCKED · earn ★ on every stage to open the Boss gate</v>
      </c>
      <c r="C14" s="20"/>
      <c r="D14" s="21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$92:$J$92),"✔ CLEAR","✘ TRY AGAIN"))),"✘ TRY AGAIN"),"LOCKED")</f>
        <v>LOCKED</v>
      </c>
      <c r="E14" s="22"/>
      <c r="F14" s="23" cm="1" t="str">
        <f t="array" ref="F14">IF(E14="Show hint",Key!$B$92,"")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582</v>
      </c>
      <c r="B15" s="32" cm="1" t="str">
        <f t="array" ref="B15">IF($C$10="OPEN","Which function turns a number or date into formatted text?  (from F5-4 Assemble)","LOCKED · earn ★ on every stage to open the Boss gate")</f>
        <v>LOCKED · earn ★ on every stage to open the Boss gate</v>
      </c>
      <c r="C15" s="20"/>
      <c r="D15" s="21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$93:$J$93),"✔ CLEAR","✘ TRY AGAIN"))),"✘ TRY AGAIN"),"LOCKED")</f>
        <v>LOCKED</v>
      </c>
      <c r="E15" s="22"/>
      <c r="F15" s="23" cm="1" t="str">
        <f t="array" ref="F15">IF(E15="Show hint",Key!$B$93,"")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584</v>
      </c>
      <c r="B16" s="32" cm="1" t="str">
        <f t="array" ref="B16">IF($C$10="OPEN","Which function turns text that looks like a number into a number?  (from F5-4 Assemble)","LOCKED · earn ★ on every stage to open the Boss gate")</f>
        <v>LOCKED · earn ★ on every stage to open the Boss gate</v>
      </c>
      <c r="C16" s="20"/>
      <c r="D16" s="21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$94:$J$94),"✔ CLEAR","✘ TRY AGAIN"))),"✘ TRY AGAIN"),"LOCKED")</f>
        <v>LOCKED</v>
      </c>
      <c r="E16" s="22"/>
      <c r="F16" s="23" cm="1" t="str">
        <f t="array" ref="F16">IF(E16="Show hint",Key!$B$94,"")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586</v>
      </c>
      <c r="B17" s="32" cm="1" t="str">
        <f t="array" ref="B17">IF($C$10="OPEN","Which function returns characters from the start of a text?  (from F5-1 Cut &amp; Splice)","LOCKED · earn ★ on every stage to open the Boss gate")</f>
        <v>LOCKED · earn ★ on every stage to open the Boss gate</v>
      </c>
      <c r="C17" s="20"/>
      <c r="D17" s="21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$95:$J$95),"✔ CLEAR","✘ TRY AGAIN"))),"✘ TRY AGAIN"),"LOCKED")</f>
        <v>LOCKED</v>
      </c>
      <c r="E17" s="22"/>
      <c r="F17" s="23" cm="1" t="str">
        <f t="array" ref="F17">IF(E17="Show hint",Key!$B$95,"")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588</v>
      </c>
      <c r="B18" s="32" cm="1" t="str">
        <f t="array" ref="B18">IF($C$10="OPEN","Which function returns characters from the end of a text?  (from F5-1 Cut &amp; Splice)","LOCKED · earn ★ on every stage to open the Boss gate")</f>
        <v>LOCKED · earn ★ on every stage to open the Boss gate</v>
      </c>
      <c r="C18" s="20"/>
      <c r="D18" s="21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$96:$J$96),"✔ CLEAR","✘ TRY AGAIN"))),"✘ TRY AGAIN"),"LOCKED")</f>
        <v>LOCKED</v>
      </c>
      <c r="E18" s="22"/>
      <c r="F18" s="23" cm="1" t="str">
        <f t="array" ref="F18">IF(E18="Show hint",Key!$B$96,"")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590</v>
      </c>
      <c r="B19" s="32" cm="1" t="str">
        <f t="array" ref="B19">IF($C$10="OPEN","Which function returns characters from the middle of a text?  (from F5-1 Cut &amp; Splice)","LOCKED · earn ★ on every stage to open the Boss gate")</f>
        <v>LOCKED · earn ★ on every stage to open the Boss gate</v>
      </c>
      <c r="C19" s="20"/>
      <c r="D19" s="21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$97:$J$97),"✔ CLEAR","✘ TRY AGAIN"))),"✘ TRY AGAIN"),"LOCKED")</f>
        <v>LOCKED</v>
      </c>
      <c r="E19" s="22"/>
      <c r="F19" s="23" cm="1" t="str">
        <f t="array" ref="F19">IF(E19="Show hint",Key!$B$97,"")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592</v>
      </c>
      <c r="B20" s="32" cm="1" t="str">
        <f t="array" ref="B20">IF($C$10="OPEN","Which function counts the characters in a text?  (from F5-1 Cut &amp; Splice)","LOCKED · earn ★ on every stage to open the Boss gate")</f>
        <v>LOCKED · earn ★ on every stage to open the Boss gate</v>
      </c>
      <c r="C20" s="20"/>
      <c r="D20" s="21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$98:$J$98),"✔ CLEAR","✘ TRY AGAIN"))),"✘ TRY AGAIN"),"LOCKED")</f>
        <v>LOCKED</v>
      </c>
      <c r="E20" s="22"/>
      <c r="F20" s="23" cm="1" t="str">
        <f t="array" ref="F20">IF(E20="Show hint",Key!$B$98,"")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594</v>
      </c>
      <c r="B21" s="32" cm="1" t="str">
        <f t="array" ref="B21">IF($C$10="OPEN","Which character joins pieces of text in a formula?  (from F5-1 Cut &amp; Splice)","LOCKED · earn ★ on every stage to open the Boss gate")</f>
        <v>LOCKED · earn ★ on every stage to open the Boss gate</v>
      </c>
      <c r="C21" s="20"/>
      <c r="D21" s="21" cm="1" t="str">
        <f t="array" ref="D21">IF($C$10="OPEN",IFERROR(_xlfn.LET(_xlpm.a,Boss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$99:$F$99),"✔ CLEAR","✘ TRY AGAIN"))),"✘ TRY AGAIN"),"LOCKED")</f>
        <v>LOCKED</v>
      </c>
      <c r="E21" s="22"/>
      <c r="F21" s="23" cm="1" t="str">
        <f t="array" ref="F21">IF(E21="Show hint",Key!$B$99,"")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595</v>
      </c>
      <c r="B23" s="4"/>
      <c r="C23" s="4"/>
      <c r="D23" s="4"/>
      <c r="E23" s="4"/>
      <c r="F23" s="4"/>
      <c r="G23" s="4"/>
    </row>
    <row r="24" spans="1:7">
      <c r="B24" s="11" t="s">
        <v>596</v>
      </c>
    </row>
    <row r="25" spans="1:7">
      <c r="A25" s="6" t="s">
        <v>22</v>
      </c>
      <c r="B25" s="6" t="s">
        <v>41</v>
      </c>
      <c r="C25" s="6" t="s">
        <v>42</v>
      </c>
      <c r="D25" s="6" t="s">
        <v>43</v>
      </c>
      <c r="E25" s="6" t="s">
        <v>44</v>
      </c>
      <c r="F25" s="6" t="s">
        <v>1</v>
      </c>
      <c r="G25" s="6" t="s">
        <v>45</v>
      </c>
    </row>
    <row r="26" spans="1:7" ht="35.5" customHeight="1">
      <c r="A26" s="18" t="s">
        <v>599</v>
      </c>
      <c r="B26" s="32" cm="1" t="str">
        <f t="array" ref="B26">IF($C$10="OPEN","In D6 tidy B6: no extra spaces, each word capitalized.","LOCKED · earn ★ on every stage to open the Boss gate")</f>
        <v>LOCKED · earn ★ on every stage to open the Boss gate</v>
      </c>
      <c r="C26" s="11" t="s">
        <v>600</v>
      </c>
      <c r="D26" s="21" cm="1" t="str">
        <f t="array" ref="D26">IF($C$10="OPEN",IF(ISBLANK('Boss Arena'!$D$6),"",IF(NOT(_xlfn.ISFORMULA('Boss Arena'!$D$6)),"✘ That's a typed value · enter a formula",IF(ISERROR('Boss Arena'!$D$6),"✘ Your formula returns "&amp;IFERROR(CHOOSE(ERROR.TYPE('Boss Arena'!$D$6),"#NULL!","#DIV/0!","#VALUE!","#REF!","#NAME?","#NUM!","#N/A","#GETTING_DATA","#SPILL!","#CONNECT!","#BLOCKED!","#UNKNOWN!","#FIELD!","#CALC!"),"an error"),IF(NOT(AND(IFERROR(AND(ISTEXT('Boss Arena'!$D$6),EXACT('Boss Arena'!$D$6,Key!$C$100)),FALSE))),"✘ TRY AGAIN",IF(AND(OR(ISNUMBER(FIND({"=","(",",","+","-","*","/","&amp;"," ","&lt;","&gt;",":","@","^"}&amp;"PROPER"&amp;"(",UPPER(_xlfn.FORMULATEXT('Boss Arena'!$D$6))))),OR(ISNUMBER(FIND({"=","(",",","+","-","*","/","&amp;"," ","&lt;","&gt;",":","@","^"}&amp;"TRIM"&amp;"(",UPPER(_xlfn.FORMULATEXT('Boss Arena'!$D$6)))))),"✔ CLEAR","✘ CLOSE · right value, but use PROPER and TRIM"))))),"LOCKED")</f>
        <v>LOCKED</v>
      </c>
      <c r="E26" s="22"/>
      <c r="F26" s="23" cm="1" t="str">
        <f t="array" ref="F26">IF(E26="Show hint",Key!$B$100,"")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603</v>
      </c>
      <c r="B27" s="32" cm="1" t="str">
        <f t="array" ref="B27">IF($C$10="OPEN","In D7 return the 4 digits in the middle of B7 (they start at character 4).","LOCKED · earn ★ on every stage to open the Boss gate")</f>
        <v>LOCKED · earn ★ on every stage to open the Boss gate</v>
      </c>
      <c r="C27" s="11" t="s">
        <v>604</v>
      </c>
      <c r="D27" s="21" cm="1" t="str">
        <f t="array" ref="D27">IF($C$10="OPEN",IF(ISBLANK('Boss Arena'!$D$7),"",IF(NOT(_xlfn.ISFORMULA('Boss Arena'!$D$7)),"✘ That's a typed value · enter a formula",IF(ISERROR('Boss Arena'!$D$7),"✘ Your formula returns "&amp;IFERROR(CHOOSE(ERROR.TYPE('Boss Arena'!$D$7),"#NULL!","#DIV/0!","#VALUE!","#REF!","#NAME?","#NUM!","#N/A","#GETTING_DATA","#SPILL!","#CONNECT!","#BLOCKED!","#UNKNOWN!","#FIELD!","#CALC!"),"an error"),IF(NOT(AND(IFERROR(AND(ISTEXT('Boss Arena'!$D$7),'Boss Arena'!$D$7=Key!$C$101),FALSE))),"✘ TRY AGAIN",IF(AND(OR(ISNUMBER(FIND({"=","(",",","+","-","*","/","&amp;"," ","&lt;","&gt;",":","@","^"}&amp;"MID"&amp;"(",UPPER(_xlfn.FORMULATEXT('Boss Arena'!$D$7)))))),"✔ CLEAR","✘ CLOSE · right value, but use MID"))))),"LOCKED")</f>
        <v>LOCKED</v>
      </c>
      <c r="E27" s="22"/>
      <c r="F27" s="23" cm="1" t="str">
        <f t="array" ref="F27">IF(E27="Show hint",Key!$B$101,"")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607</v>
      </c>
      <c r="B28" s="32" cm="1" t="str">
        <f t="array" ref="B28">IF($C$10="OPEN","In D8 return the username in B8 (everything before ""@"").","LOCKED · earn ★ on every stage to open the Boss gate")</f>
        <v>LOCKED · earn ★ on every stage to open the Boss gate</v>
      </c>
      <c r="C28" s="11" t="s">
        <v>608</v>
      </c>
      <c r="D28" s="21" cm="1" t="str">
        <f t="array" ref="D28">IF($C$10="OPEN",IF(ISBLANK('Boss Arena'!$D$8),"",IF(NOT(_xlfn.ISFORMULA('Boss Arena'!$D$8)),"✘ That's a typed value · enter a formula",IF(ISERROR('Boss Arena'!$D$8),"✘ Your formula returns "&amp;IFERROR(CHOOSE(ERROR.TYPE('Boss Arena'!$D$8),"#NULL!","#DIV/0!","#VALUE!","#REF!","#NAME?","#NUM!","#N/A","#GETTING_DATA","#SPILL!","#CONNECT!","#BLOCKED!","#UNKNOWN!","#FIELD!","#CALC!"),"an error"),IF(NOT(AND(IFERROR(AND(ISTEXT('Boss Arena'!$D$8),EXACT('Boss Arena'!$D$8,Key!$C$102)),FALSE))),"✘ TRY AGAIN",IF(AND(OR(ISNUMBER(FIND({"=","(",",","+","-","*","/","&amp;"," ","&lt;","&gt;",":","@","^"}&amp;"LEFT"&amp;"(",UPPER(_xlfn.FORMULATEXT('Boss Arena'!$D$8))))),OR(ISNUMBER(FIND({"=","(",",","+","-","*","/","&amp;"," ","&lt;","&gt;",":","@","^"}&amp;"FIND"&amp;"(",UPPER(_xlfn.FORMULATEXT('Boss Arena'!$D$8)))))),"✔ CLEAR","✘ CLOSE · right value, but use LEFT and FIND"))))),"LOCKED")</f>
        <v>LOCKED</v>
      </c>
      <c r="E28" s="22"/>
      <c r="F28" s="23" cm="1" t="str">
        <f t="array" ref="F28">IF(E28="Show hint",Key!$B$102,"")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611</v>
      </c>
      <c r="B29" s="32" cm="1" t="str">
        <f t="array" ref="B29">IF($C$10="OPEN","In D9 return the last name from B9 (after the space).","LOCKED · earn ★ on every stage to open the Boss gate")</f>
        <v>LOCKED · earn ★ on every stage to open the Boss gate</v>
      </c>
      <c r="C29" s="11" t="s">
        <v>612</v>
      </c>
      <c r="D29" s="21" cm="1" t="str">
        <f t="array" ref="D29">IF($C$10="OPEN",IF(ISBLANK('Boss Arena'!$D$9),"",IF(NOT(_xlfn.ISFORMULA('Boss Arena'!$D$9)),"✘ That's a typed value · enter a formula",IF(ISERROR('Boss Arena'!$D$9),"✘ Your formula returns "&amp;IFERROR(CHOOSE(ERROR.TYPE('Boss Arena'!$D$9),"#NULL!","#DIV/0!","#VALUE!","#REF!","#NAME?","#NUM!","#N/A","#GETTING_DATA","#SPILL!","#CONNECT!","#BLOCKED!","#UNKNOWN!","#FIELD!","#CALC!"),"an error"),IF(NOT(AND(IFERROR(AND(ISTEXT('Boss Arena'!$D$9),EXACT('Boss Arena'!$D$9,Key!$C$103)),FALSE))),"✘ TRY AGAIN",IF(AND(OR(ISNUMBER(FIND({"=","(",",","+","-","*","/","&amp;"," ","&lt;","&gt;",":","@","^"}&amp;"MID"&amp;"(",UPPER(_xlfn.FORMULATEXT('Boss Arena'!$D$9))))),OR(ISNUMBER(FIND({"=","(",",","+","-","*","/","&amp;"," ","&lt;","&gt;",":","@","^"}&amp;"FIND"&amp;"(",UPPER(_xlfn.FORMULATEXT('Boss Arena'!$D$9)))))),"✔ CLEAR","✘ CLOSE · right value, but use MID and FIND"))))),"LOCKED")</f>
        <v>LOCKED</v>
      </c>
      <c r="E29" s="22"/>
      <c r="F29" s="23" cm="1" t="str">
        <f t="array" ref="F29">IF(E29="Show hint",Key!$B$103,"")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615</v>
      </c>
      <c r="B30" s="32" cm="1" t="str">
        <f t="array" ref="B30">IF($C$10="OPEN","In D10 replace every ""/"" in B10 with ""-"".","LOCKED · earn ★ on every stage to open the Boss gate")</f>
        <v>LOCKED · earn ★ on every stage to open the Boss gate</v>
      </c>
      <c r="C30" s="11" t="s">
        <v>616</v>
      </c>
      <c r="D30" s="21" cm="1" t="str">
        <f t="array" ref="D30">IF($C$10="OPEN",IF(ISBLANK('Boss Arena'!$D$10),"",IF(NOT(_xlfn.ISFORMULA('Boss Arena'!$D$10)),"✘ That's a typed value · enter a formula",IF(ISERROR('Boss Arena'!$D$10),"✘ Your formula returns "&amp;IFERROR(CHOOSE(ERROR.TYPE('Boss Arena'!$D$10),"#NULL!","#DIV/0!","#VALUE!","#REF!","#NAME?","#NUM!","#N/A","#GETTING_DATA","#SPILL!","#CONNECT!","#BLOCKED!","#UNKNOWN!","#FIELD!","#CALC!"),"an error"),IF(NOT(AND(IFERROR(AND(ISTEXT('Boss Arena'!$D$10),'Boss Arena'!$D$10=Key!$C$104),FALSE))),"✘ TRY AGAIN",IF(AND(OR(ISNUMBER(FIND({"=","(",",","+","-","*","/","&amp;"," ","&lt;","&gt;",":","@","^"}&amp;"SUBSTITUTE"&amp;"(",UPPER(_xlfn.FORMULATEXT('Boss Arena'!$D$10)))))),"✔ CLEAR","✘ CLOSE · right value, but use SUBSTITUTE"))))),"LOCKED")</f>
        <v>LOCKED</v>
      </c>
      <c r="E30" s="22"/>
      <c r="F30" s="23" cm="1" t="str">
        <f t="array" ref="F30">IF(E30="Show hint",Key!$B$104,"")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619</v>
      </c>
      <c r="B31" s="32" cm="1" t="str">
        <f t="array" ref="B31">IF($C$10="OPEN","In D11 turn the text in B11 into a number.","LOCKED · earn ★ on every stage to open the Boss gate")</f>
        <v>LOCKED · earn ★ on every stage to open the Boss gate</v>
      </c>
      <c r="C31" s="11" t="s">
        <v>620</v>
      </c>
      <c r="D31" s="21" cm="1" t="str">
        <f t="array" ref="D31">IF($C$10="OPEN",IF(ISBLANK('Boss Arena'!$D$11),"",IF(NOT(_xlfn.ISFORMULA('Boss Arena'!$D$11)),"✘ That's a typed value · enter a formula",IF(ISERROR('Boss Arena'!$D$11),"✘ Your formula returns "&amp;IFERROR(CHOOSE(ERROR.TYPE('Boss Arena'!$D$11),"#NULL!","#DIV/0!","#VALUE!","#REF!","#NAME?","#NUM!","#N/A","#GETTING_DATA","#SPILL!","#CONNECT!","#BLOCKED!","#UNKNOWN!","#FIELD!","#CALC!"),"an error"),IF(NOT(AND(IFERROR(AND(ISNUMBER('Boss Arena'!$D$11),ABS('Boss Arena'!$D$11-Key!$C$105)&lt;=1E-9*MAX(1,ABS(Key!$C$105))),FALSE))),"✘ TRY AGAIN",IF(AND(OR(ISNUMBER(FIND({"=","(",",","+","-","*","/","&amp;"," ","&lt;","&gt;",":","@","^"}&amp;"VALUE"&amp;"(",UPPER(_xlfn.FORMULATEXT('Boss Arena'!$D$11)))))),"✔ CLEAR","✘ CLOSE · right value, but use VALUE"))))),"LOCKED")</f>
        <v>LOCKED</v>
      </c>
      <c r="E31" s="22"/>
      <c r="F31" s="23" cm="1" t="str">
        <f t="array" ref="F31">IF(E31="Show hint",Key!$B$105,"")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623</v>
      </c>
      <c r="B32" s="32" cm="1" t="str">
        <f t="array" ref="B32">IF($C$10="OPEN","In D12 show the date in B12 as text like 04/07/2026 (format ""dd/mm/yyyy"").","LOCKED · earn ★ on every stage to open the Boss gate")</f>
        <v>LOCKED · earn ★ on every stage to open the Boss gate</v>
      </c>
      <c r="C32" s="11" t="s">
        <v>624</v>
      </c>
      <c r="D32" s="21" cm="1" t="str">
        <f t="array" ref="D32">IF($C$10="OPEN",IF(ISBLANK('Boss Arena'!$D$12),"",IF(NOT(_xlfn.ISFORMULA('Boss Arena'!$D$12)),"✘ That's a typed value · enter a formula",IF(ISERROR('Boss Arena'!$D$12),"✘ Your formula returns "&amp;IFERROR(CHOOSE(ERROR.TYPE('Boss Arena'!$D$12),"#NULL!","#DIV/0!","#VALUE!","#REF!","#NAME?","#NUM!","#N/A","#GETTING_DATA","#SPILL!","#CONNECT!","#BLOCKED!","#UNKNOWN!","#FIELD!","#CALC!"),"an error"),IF(NOT(AND(IFERROR(AND(ISTEXT('Boss Arena'!$D$12),'Boss Arena'!$D$12=Key!$C$106),FALSE))),"✘ TRY AGAIN",IF(AND(OR(ISNUMBER(FIND({"=","(",",","+","-","*","/","&amp;"," ","&lt;","&gt;",":","@","^"}&amp;"TEXT"&amp;"(",UPPER(_xlfn.FORMULATEXT('Boss Arena'!$D$12)))))),"✔ CLEAR","✘ CLOSE · right value, but use TEXT"))))),"LOCKED")</f>
        <v>LOCKED</v>
      </c>
      <c r="E32" s="22"/>
      <c r="F32" s="23" cm="1" t="str">
        <f t="array" ref="F32">IF(E32="Show hint",Key!$B$106,"")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627</v>
      </c>
      <c r="B33" s="32" cm="1" t="str">
        <f t="array" ref="B33">IF($C$10="OPEN","In D13 join the tags in B15:B18 with "" | "", skipping the blank.","LOCKED · earn ★ on every stage to open the Boss gate")</f>
        <v>LOCKED · earn ★ on every stage to open the Boss gate</v>
      </c>
      <c r="C33" s="11" t="s">
        <v>628</v>
      </c>
      <c r="D33" s="21" cm="1" t="str">
        <f t="array" ref="D33">IF($C$10="OPEN",IF(ISBLANK('Boss Arena'!$D$13),"",IF(NOT(_xlfn.ISFORMULA('Boss Arena'!$D$13)),"✘ That's a typed value · enter a formula",IF(ISERROR('Boss Arena'!$D$13),"✘ Your formula returns "&amp;IFERROR(CHOOSE(ERROR.TYPE('Boss Arena'!$D$13),"#NULL!","#DIV/0!","#VALUE!","#REF!","#NAME?","#NUM!","#N/A","#GETTING_DATA","#SPILL!","#CONNECT!","#BLOCKED!","#UNKNOWN!","#FIELD!","#CALC!"),"an error"),IF(NOT(AND(IFERROR(AND(ISTEXT('Boss Arena'!$D$13),EXACT('Boss Arena'!$D$13,Key!$C$107)),FALSE))),"✘ TRY AGAIN",IF(AND(OR(ISNUMBER(FIND({"=","(",",","+","-","*","/","&amp;"," ","&lt;","&gt;",":","@","^"}&amp;"TEXTJOIN"&amp;"(",UPPER(_xlfn.FORMULATEXT('Boss Arena'!$D$13)))))),"✔ CLEAR","✘ CLOSE · right value, but use TEXTJOIN"))))),"LOCKED")</f>
        <v>LOCKED</v>
      </c>
      <c r="E33" s="22"/>
      <c r="F33" s="23" cm="1" t="str">
        <f t="array" ref="F33">IF(E33="Show hint",Key!$B$107,"")</f>
        <v/>
      </c>
      <c r="G33" s="24" cm="1">
        <f t="array" ref="G33">IF(LEFT(D33,1)="✔",IF(E33="Show hint",5,10),0)</f>
        <v>0</v>
      </c>
    </row>
  </sheetData>
  <sheetProtection sheet="1" objects="1" scenarios="1" formatColumns="0" formatRows="0"/>
  <conditionalFormatting sqref="D14:D33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26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4" location="'Boss Arena'!A1" display="▶ Open Boss Arena (or press Ctrl+PgDn)"/>
    <hyperlink ref="C26" location="'Boss Arena'!D6" tooltip="Go to Boss Arena, cell D6" display="▶ ARENA B1 (cell D6)"/>
    <hyperlink ref="C27" location="'Boss Arena'!D7" tooltip="Go to Boss Arena, cell D7" display="▶ ARENA B2 (cell D7)"/>
    <hyperlink ref="C28" location="'Boss Arena'!D8" tooltip="Go to Boss Arena, cell D8" display="▶ ARENA B3 (cell D8)"/>
    <hyperlink ref="C29" location="'Boss Arena'!D9" tooltip="Go to Boss Arena, cell D9" display="▶ ARENA B4 (cell D9)"/>
    <hyperlink ref="C30" location="'Boss Arena'!D10" tooltip="Go to Boss Arena, cell D10" display="▶ ARENA B5 (cell D10)"/>
    <hyperlink ref="C31" location="'Boss Arena'!D11" tooltip="Go to Boss Arena, cell D11" display="▶ ARENA B6 (cell D11)"/>
    <hyperlink ref="C32" location="'Boss Arena'!D12" tooltip="Go to Boss Arena, cell D12" display="▶ ARENA B7 (cell D12)"/>
    <hyperlink ref="C33" location="'Boss Arena'!D13" tooltip="Go to Boss Arena, cell D13" display="▶ ARENA B8 (cell D13)"/>
  </hyperlink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cols>
    <col min="1" max="1" width="14.7109375" customWidth="1"/>
    <col min="2" max="2" width="18.7109375" customWidth="1"/>
    <col min="3" max="3" width="20.7109375" customWidth="1"/>
    <col min="4" max="4" width="24.7109375" customWidth="1"/>
    <col min="5" max="26" width="13.7109375" customWidth="1"/>
  </cols>
  <sheetData>
    <row r="1" spans="1:4">
      <c r="A1" s="1" t="s">
        <v>552</v>
      </c>
    </row>
    <row r="2" spans="1:4">
      <c r="A2" s="3" t="s">
        <v>5</v>
      </c>
    </row>
    <row r="3" spans="1:4">
      <c r="A3" s="25" t="s">
        <v>6</v>
      </c>
      <c r="B3" s="26" t="s">
        <v>553</v>
      </c>
      <c r="D3" s="11" t="s">
        <v>554</v>
      </c>
    </row>
    <row r="5" spans="1:4">
      <c r="B5" s="27" t="s">
        <v>555</v>
      </c>
      <c r="C5" s="27" t="s">
        <v>11</v>
      </c>
    </row>
    <row r="6" spans="1:4">
      <c r="B6" s="5" t="s">
        <v>556</v>
      </c>
      <c r="C6" s="5" t="s">
        <v>562</v>
      </c>
      <c r="D6" s="28"/>
    </row>
    <row r="7" spans="1:4">
      <c r="B7" s="5" t="s">
        <v>557</v>
      </c>
      <c r="C7" s="5" t="s">
        <v>563</v>
      </c>
      <c r="D7" s="28"/>
    </row>
    <row r="8" spans="1:4">
      <c r="B8" s="5" t="s">
        <v>558</v>
      </c>
      <c r="C8" s="5" t="s">
        <v>564</v>
      </c>
      <c r="D8" s="28"/>
    </row>
    <row r="9" spans="1:4">
      <c r="B9" s="5" t="s">
        <v>559</v>
      </c>
      <c r="C9" s="5" t="s">
        <v>356</v>
      </c>
      <c r="D9" s="28"/>
    </row>
    <row r="10" spans="1:4">
      <c r="B10" s="5" t="s">
        <v>560</v>
      </c>
      <c r="C10" s="5" t="s">
        <v>565</v>
      </c>
      <c r="D10" s="28"/>
    </row>
    <row r="11" spans="1:4">
      <c r="B11" s="5" t="s">
        <v>561</v>
      </c>
      <c r="C11" s="5" t="s">
        <v>566</v>
      </c>
      <c r="D11" s="28"/>
    </row>
    <row r="12" spans="1:4">
      <c r="B12" s="29">
        <v>46207</v>
      </c>
      <c r="C12" s="5" t="s">
        <v>567</v>
      </c>
      <c r="D12" s="28"/>
    </row>
    <row r="13" spans="1:4">
      <c r="C13" s="5" t="s">
        <v>568</v>
      </c>
      <c r="D13" s="28"/>
    </row>
    <row r="14" spans="1:4">
      <c r="B14" s="7" t="s">
        <v>456</v>
      </c>
    </row>
    <row r="15" spans="1:4">
      <c r="B15" s="5" t="s">
        <v>569</v>
      </c>
    </row>
    <row r="17" spans="2:2">
      <c r="B17" s="5" t="s">
        <v>570</v>
      </c>
    </row>
    <row r="18" spans="2:2">
      <c r="B18" s="5" t="s">
        <v>571</v>
      </c>
    </row>
  </sheetData>
  <hyperlinks>
    <hyperlink ref="D3" location="Boss!A1" display="◀ Back to Boss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2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667</v>
      </c>
      <c r="B1" s="2"/>
      <c r="C1" s="2"/>
      <c r="D1" s="2"/>
    </row>
    <row r="2" spans="1:4">
      <c r="A2" s="3" t="s">
        <v>668</v>
      </c>
    </row>
    <row r="4" spans="1:4">
      <c r="A4" s="6" t="s">
        <v>640</v>
      </c>
      <c r="B4" s="6" t="s">
        <v>24</v>
      </c>
      <c r="C4" s="6" t="s">
        <v>669</v>
      </c>
      <c r="D4" s="6" t="s">
        <v>670</v>
      </c>
    </row>
    <row r="5" spans="1:4" ht="19.75" customHeight="1">
      <c r="A5" s="18" t="s">
        <v>646</v>
      </c>
      <c r="B5" s="19" t="s">
        <v>27</v>
      </c>
      <c r="C5" s="8" t="s">
        <v>671</v>
      </c>
      <c r="D5" s="8" t="s">
        <v>672</v>
      </c>
    </row>
    <row r="6" spans="1:4" ht="19.75" customHeight="1">
      <c r="A6" s="18" t="s">
        <v>646</v>
      </c>
      <c r="B6" s="19" t="s">
        <v>30</v>
      </c>
      <c r="C6" s="8" t="s">
        <v>673</v>
      </c>
      <c r="D6" s="8" t="s">
        <v>674</v>
      </c>
    </row>
    <row r="7" spans="1:4" ht="35.5" customHeight="1">
      <c r="A7" s="18" t="s">
        <v>646</v>
      </c>
      <c r="B7" s="19" t="s">
        <v>33</v>
      </c>
      <c r="C7" s="8" t="s">
        <v>675</v>
      </c>
      <c r="D7" s="8" t="s">
        <v>676</v>
      </c>
    </row>
    <row r="8" spans="1:4" ht="35.5" customHeight="1">
      <c r="A8" s="18" t="s">
        <v>646</v>
      </c>
      <c r="B8" s="19" t="s">
        <v>36</v>
      </c>
      <c r="C8" s="8" t="s">
        <v>677</v>
      </c>
      <c r="D8" s="8" t="s">
        <v>678</v>
      </c>
    </row>
    <row r="9" spans="1:4" ht="19.75" customHeight="1">
      <c r="A9" s="18" t="s">
        <v>646</v>
      </c>
      <c r="B9" s="19" t="s">
        <v>39</v>
      </c>
      <c r="C9" s="8" t="s">
        <v>679</v>
      </c>
      <c r="D9" s="8" t="s">
        <v>680</v>
      </c>
    </row>
    <row r="10" spans="1:4" ht="35.5" customHeight="1">
      <c r="A10" s="18" t="s">
        <v>649</v>
      </c>
      <c r="B10" s="19" t="s">
        <v>142</v>
      </c>
      <c r="C10" s="8" t="s">
        <v>681</v>
      </c>
      <c r="D10" s="8" t="s">
        <v>682</v>
      </c>
    </row>
    <row r="11" spans="1:4" ht="19.75" customHeight="1">
      <c r="A11" s="18" t="s">
        <v>649</v>
      </c>
      <c r="B11" s="19" t="s">
        <v>135</v>
      </c>
      <c r="C11" s="8" t="s">
        <v>683</v>
      </c>
      <c r="D11" s="8" t="s">
        <v>684</v>
      </c>
    </row>
    <row r="12" spans="1:4" ht="19.75" customHeight="1">
      <c r="A12" s="18" t="s">
        <v>649</v>
      </c>
      <c r="B12" s="19" t="s">
        <v>143</v>
      </c>
      <c r="C12" s="8" t="s">
        <v>685</v>
      </c>
      <c r="D12" s="8" t="s">
        <v>686</v>
      </c>
    </row>
    <row r="13" spans="1:4" ht="19.75" customHeight="1">
      <c r="A13" s="18" t="s">
        <v>649</v>
      </c>
      <c r="B13" s="19" t="s">
        <v>233</v>
      </c>
      <c r="C13" s="8" t="s">
        <v>687</v>
      </c>
      <c r="D13" s="8" t="s">
        <v>688</v>
      </c>
    </row>
    <row r="14" spans="1:4" ht="35.5" customHeight="1">
      <c r="A14" s="18" t="s">
        <v>649</v>
      </c>
      <c r="B14" s="19" t="s">
        <v>136</v>
      </c>
      <c r="C14" s="8" t="s">
        <v>689</v>
      </c>
      <c r="D14" s="8" t="s">
        <v>690</v>
      </c>
    </row>
    <row r="15" spans="1:4" ht="35.5" customHeight="1">
      <c r="A15" s="18" t="s">
        <v>652</v>
      </c>
      <c r="B15" s="19" t="s">
        <v>129</v>
      </c>
      <c r="C15" s="8" t="s">
        <v>691</v>
      </c>
      <c r="D15" s="8" t="s">
        <v>692</v>
      </c>
    </row>
    <row r="16" spans="1:4" ht="35.5" customHeight="1">
      <c r="A16" s="18" t="s">
        <v>652</v>
      </c>
      <c r="B16" s="19" t="s">
        <v>141</v>
      </c>
      <c r="C16" s="8" t="s">
        <v>693</v>
      </c>
      <c r="D16" s="8" t="s">
        <v>694</v>
      </c>
    </row>
    <row r="17" spans="1:4" ht="35.5" customHeight="1">
      <c r="A17" s="18" t="s">
        <v>652</v>
      </c>
      <c r="B17" s="19" t="s">
        <v>152</v>
      </c>
      <c r="C17" s="8" t="s">
        <v>695</v>
      </c>
      <c r="D17" s="8" t="s">
        <v>696</v>
      </c>
    </row>
    <row r="18" spans="1:4" ht="35.5" customHeight="1">
      <c r="A18" s="18" t="s">
        <v>655</v>
      </c>
      <c r="B18" s="19" t="s">
        <v>130</v>
      </c>
      <c r="C18" s="8" t="s">
        <v>697</v>
      </c>
      <c r="D18" s="8" t="s">
        <v>698</v>
      </c>
    </row>
    <row r="19" spans="1:4" ht="35.5" customHeight="1">
      <c r="A19" s="18" t="s">
        <v>655</v>
      </c>
      <c r="B19" s="19" t="s">
        <v>148</v>
      </c>
      <c r="C19" s="8" t="s">
        <v>699</v>
      </c>
      <c r="D19" s="8" t="s">
        <v>700</v>
      </c>
    </row>
    <row r="20" spans="1:4" ht="35.5" customHeight="1">
      <c r="A20" s="18" t="s">
        <v>655</v>
      </c>
      <c r="B20" s="19" t="s">
        <v>472</v>
      </c>
      <c r="C20" s="8" t="s">
        <v>701</v>
      </c>
      <c r="D20" s="8" t="s">
        <v>702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10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E1" t="s">
        <v>3</v>
      </c>
    </row>
    <row r="2" spans="1:10">
      <c r="A2" t="s">
        <v>46</v>
      </c>
      <c r="B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>
      <c r="A3" t="s">
        <v>56</v>
      </c>
      <c r="B3" t="s">
        <v>57</v>
      </c>
      <c r="E3" t="s">
        <v>58</v>
      </c>
      <c r="F3" t="s">
        <v>59</v>
      </c>
    </row>
    <row r="4" spans="1:10">
      <c r="A4" t="s">
        <v>62</v>
      </c>
      <c r="B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</row>
    <row r="5" spans="1:10">
      <c r="A5" t="s">
        <v>72</v>
      </c>
      <c r="B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</row>
    <row r="6" spans="1:10">
      <c r="A6" t="s">
        <v>82</v>
      </c>
      <c r="B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</row>
    <row r="7" spans="1:10">
      <c r="A7" t="s">
        <v>92</v>
      </c>
      <c r="B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</row>
    <row r="8" spans="1:10">
      <c r="A8" t="s">
        <v>102</v>
      </c>
      <c r="B8" t="s">
        <v>103</v>
      </c>
      <c r="E8" t="s">
        <v>39</v>
      </c>
      <c r="F8" t="s">
        <v>104</v>
      </c>
    </row>
    <row r="9" spans="1:10">
      <c r="A9" t="s">
        <v>107</v>
      </c>
      <c r="B9" t="s">
        <v>108</v>
      </c>
      <c r="E9" t="s">
        <v>28</v>
      </c>
      <c r="F9" t="s">
        <v>109</v>
      </c>
    </row>
    <row r="10" spans="1:10">
      <c r="A10" t="s">
        <v>112</v>
      </c>
      <c r="B10" t="s">
        <v>113</v>
      </c>
      <c r="E10" t="s">
        <v>114</v>
      </c>
      <c r="F10" t="s">
        <v>115</v>
      </c>
      <c r="G10" t="s">
        <v>116</v>
      </c>
      <c r="H10" t="s">
        <v>117</v>
      </c>
      <c r="I10" t="s">
        <v>118</v>
      </c>
    </row>
    <row r="11" spans="1:10">
      <c r="A11" t="s">
        <v>121</v>
      </c>
      <c r="B11" t="s">
        <v>122</v>
      </c>
      <c r="E11" t="s">
        <v>123</v>
      </c>
    </row>
    <row r="12" spans="1:10">
      <c r="A12" t="s">
        <v>127</v>
      </c>
      <c r="B12" t="s">
        <v>128</v>
      </c>
      <c r="C12" t="s">
        <v>27</v>
      </c>
      <c r="E12" t="s">
        <v>27</v>
      </c>
      <c r="F12" t="s">
        <v>30</v>
      </c>
      <c r="G12" t="s">
        <v>129</v>
      </c>
      <c r="H12" t="s">
        <v>130</v>
      </c>
    </row>
    <row r="13" spans="1:10">
      <c r="A13" t="s">
        <v>133</v>
      </c>
      <c r="B13" t="s">
        <v>134</v>
      </c>
      <c r="C13" t="s">
        <v>30</v>
      </c>
      <c r="E13" t="s">
        <v>135</v>
      </c>
      <c r="F13" t="s">
        <v>30</v>
      </c>
      <c r="G13" t="s">
        <v>33</v>
      </c>
      <c r="H13" t="s">
        <v>136</v>
      </c>
    </row>
    <row r="14" spans="1:10">
      <c r="A14" t="s">
        <v>139</v>
      </c>
      <c r="B14" t="s">
        <v>140</v>
      </c>
      <c r="C14" t="s">
        <v>33</v>
      </c>
      <c r="E14" t="s">
        <v>33</v>
      </c>
      <c r="F14" t="s">
        <v>141</v>
      </c>
      <c r="G14" t="s">
        <v>142</v>
      </c>
      <c r="H14" t="s">
        <v>143</v>
      </c>
    </row>
    <row r="15" spans="1:10">
      <c r="A15" t="s">
        <v>146</v>
      </c>
      <c r="B15" t="s">
        <v>147</v>
      </c>
      <c r="C15" t="s">
        <v>36</v>
      </c>
      <c r="E15" t="s">
        <v>130</v>
      </c>
      <c r="F15" t="s">
        <v>36</v>
      </c>
      <c r="G15" t="s">
        <v>148</v>
      </c>
      <c r="H15" t="s">
        <v>143</v>
      </c>
    </row>
    <row r="16" spans="1:10">
      <c r="A16" t="s">
        <v>151</v>
      </c>
      <c r="B16" t="s">
        <v>103</v>
      </c>
      <c r="C16" t="s">
        <v>39</v>
      </c>
      <c r="E16" t="s">
        <v>39</v>
      </c>
      <c r="F16" t="s">
        <v>152</v>
      </c>
      <c r="G16" t="s">
        <v>153</v>
      </c>
      <c r="H16" t="s">
        <v>154</v>
      </c>
    </row>
    <row r="17" spans="1:10">
      <c r="A17" t="s">
        <v>159</v>
      </c>
      <c r="B17" t="s">
        <v>128</v>
      </c>
      <c r="E17" t="s">
        <v>160</v>
      </c>
      <c r="F17" t="s">
        <v>161</v>
      </c>
      <c r="G17" t="s">
        <v>162</v>
      </c>
      <c r="H17" t="s">
        <v>27</v>
      </c>
      <c r="I17" t="s">
        <v>163</v>
      </c>
      <c r="J17" t="s">
        <v>164</v>
      </c>
    </row>
    <row r="18" spans="1:10">
      <c r="A18" t="s">
        <v>166</v>
      </c>
      <c r="B18" t="s">
        <v>134</v>
      </c>
      <c r="E18" t="s">
        <v>167</v>
      </c>
      <c r="F18" t="s">
        <v>168</v>
      </c>
      <c r="G18" t="s">
        <v>169</v>
      </c>
      <c r="H18" t="s">
        <v>30</v>
      </c>
      <c r="I18" t="s">
        <v>170</v>
      </c>
      <c r="J18" t="s">
        <v>171</v>
      </c>
    </row>
    <row r="19" spans="1:10">
      <c r="A19" t="s">
        <v>173</v>
      </c>
      <c r="B19" t="s">
        <v>140</v>
      </c>
      <c r="E19" t="s">
        <v>174</v>
      </c>
      <c r="F19" t="s">
        <v>175</v>
      </c>
      <c r="G19" t="s">
        <v>176</v>
      </c>
      <c r="H19" t="s">
        <v>33</v>
      </c>
      <c r="I19" t="s">
        <v>177</v>
      </c>
      <c r="J19" t="s">
        <v>178</v>
      </c>
    </row>
    <row r="20" spans="1:10">
      <c r="A20" t="s">
        <v>180</v>
      </c>
      <c r="B20" t="s">
        <v>147</v>
      </c>
      <c r="E20" t="s">
        <v>181</v>
      </c>
      <c r="F20" t="s">
        <v>182</v>
      </c>
      <c r="G20" t="s">
        <v>183</v>
      </c>
      <c r="H20" t="s">
        <v>36</v>
      </c>
      <c r="I20" t="s">
        <v>184</v>
      </c>
      <c r="J20" t="s">
        <v>185</v>
      </c>
    </row>
    <row r="21" spans="1:10">
      <c r="A21" t="s">
        <v>187</v>
      </c>
      <c r="B21" t="s">
        <v>103</v>
      </c>
      <c r="E21" t="s">
        <v>39</v>
      </c>
      <c r="F21" t="s">
        <v>104</v>
      </c>
    </row>
    <row r="22" spans="1:10">
      <c r="A22" t="s">
        <v>189</v>
      </c>
      <c r="B22" t="s">
        <v>190</v>
      </c>
      <c r="C22" cm="1" t="str">
        <f t="array" ref="C22">LEFT('F5-1 Arena'!$B$6,2)</f>
        <v>AB</v>
      </c>
    </row>
    <row r="23" spans="1:10">
      <c r="A23" t="s">
        <v>194</v>
      </c>
      <c r="B23" t="s">
        <v>195</v>
      </c>
      <c r="C23" cm="1" t="str">
        <f t="array" ref="C23">RIGHT('F5-1 Arena'!$B$6,1)</f>
        <v>X</v>
      </c>
    </row>
    <row r="24" spans="1:10">
      <c r="A24" t="s">
        <v>199</v>
      </c>
      <c r="B24" t="s">
        <v>200</v>
      </c>
      <c r="C24" cm="1">
        <f t="array" ref="C24">MID('F5-1 Arena'!$B$6,4,4)</f>
        <v>1234</v>
      </c>
    </row>
    <row r="25" spans="1:10">
      <c r="A25" t="s">
        <v>204</v>
      </c>
      <c r="B25" t="s">
        <v>205</v>
      </c>
      <c r="C25" cm="1">
        <f t="array" ref="C25">LEN('F5-1 Arena'!$B$6)</f>
        <v>9</v>
      </c>
    </row>
    <row r="26" spans="1:10">
      <c r="A26" t="s">
        <v>209</v>
      </c>
      <c r="B26" t="s">
        <v>210</v>
      </c>
      <c r="C26" cm="1" t="str">
        <f t="array" ref="C26">'F5-1 Arena'!$B$13&amp;" "&amp;'F5-1 Arena'!$C$13</f>
        <v>Grace Hopper</v>
      </c>
    </row>
    <row r="27" spans="1:10">
      <c r="A27" t="s">
        <v>235</v>
      </c>
      <c r="B27" t="s">
        <v>128</v>
      </c>
      <c r="E27" t="s">
        <v>160</v>
      </c>
      <c r="F27" t="s">
        <v>161</v>
      </c>
      <c r="G27" t="s">
        <v>162</v>
      </c>
      <c r="H27" t="s">
        <v>27</v>
      </c>
      <c r="I27" t="s">
        <v>163</v>
      </c>
      <c r="J27" t="s">
        <v>164</v>
      </c>
    </row>
    <row r="28" spans="1:10">
      <c r="A28" t="s">
        <v>237</v>
      </c>
      <c r="B28" t="s">
        <v>134</v>
      </c>
      <c r="E28" t="s">
        <v>167</v>
      </c>
      <c r="F28" t="s">
        <v>168</v>
      </c>
      <c r="G28" t="s">
        <v>169</v>
      </c>
      <c r="H28" t="s">
        <v>30</v>
      </c>
      <c r="I28" t="s">
        <v>170</v>
      </c>
      <c r="J28" t="s">
        <v>171</v>
      </c>
    </row>
    <row r="29" spans="1:10">
      <c r="A29" t="s">
        <v>239</v>
      </c>
      <c r="B29" t="s">
        <v>140</v>
      </c>
      <c r="E29" t="s">
        <v>174</v>
      </c>
      <c r="F29" t="s">
        <v>175</v>
      </c>
      <c r="G29" t="s">
        <v>176</v>
      </c>
      <c r="H29" t="s">
        <v>33</v>
      </c>
      <c r="I29" t="s">
        <v>177</v>
      </c>
      <c r="J29" t="s">
        <v>178</v>
      </c>
    </row>
    <row r="30" spans="1:10">
      <c r="A30" t="s">
        <v>241</v>
      </c>
      <c r="B30" t="s">
        <v>147</v>
      </c>
      <c r="E30" t="s">
        <v>181</v>
      </c>
      <c r="F30" t="s">
        <v>182</v>
      </c>
      <c r="G30" t="s">
        <v>183</v>
      </c>
      <c r="H30" t="s">
        <v>36</v>
      </c>
      <c r="I30" t="s">
        <v>184</v>
      </c>
      <c r="J30" t="s">
        <v>185</v>
      </c>
    </row>
    <row r="31" spans="1:10">
      <c r="A31" t="s">
        <v>243</v>
      </c>
      <c r="B31" t="s">
        <v>103</v>
      </c>
      <c r="E31" t="s">
        <v>39</v>
      </c>
      <c r="F31" t="s">
        <v>104</v>
      </c>
    </row>
    <row r="32" spans="1:10">
      <c r="A32" t="s">
        <v>245</v>
      </c>
      <c r="B32" t="s">
        <v>246</v>
      </c>
      <c r="E32" t="s">
        <v>247</v>
      </c>
      <c r="F32" t="s">
        <v>248</v>
      </c>
      <c r="G32" t="s">
        <v>249</v>
      </c>
      <c r="H32" t="s">
        <v>250</v>
      </c>
      <c r="I32" t="s">
        <v>251</v>
      </c>
      <c r="J32" t="s">
        <v>252</v>
      </c>
    </row>
    <row r="33" spans="1:10">
      <c r="A33" t="s">
        <v>254</v>
      </c>
      <c r="B33" t="s">
        <v>255</v>
      </c>
      <c r="E33" t="s">
        <v>256</v>
      </c>
      <c r="F33" t="s">
        <v>257</v>
      </c>
      <c r="G33" t="s">
        <v>258</v>
      </c>
      <c r="H33" t="s">
        <v>259</v>
      </c>
      <c r="I33" t="s">
        <v>260</v>
      </c>
      <c r="J33" t="s">
        <v>261</v>
      </c>
    </row>
    <row r="34" spans="1:10">
      <c r="A34" t="s">
        <v>263</v>
      </c>
      <c r="B34" t="s">
        <v>264</v>
      </c>
      <c r="E34" t="s">
        <v>259</v>
      </c>
    </row>
    <row r="35" spans="1:10">
      <c r="A35" t="s">
        <v>266</v>
      </c>
      <c r="B35" t="s">
        <v>267</v>
      </c>
      <c r="E35" t="s">
        <v>268</v>
      </c>
      <c r="F35" t="s">
        <v>269</v>
      </c>
      <c r="G35" t="s">
        <v>270</v>
      </c>
      <c r="H35" t="s">
        <v>271</v>
      </c>
      <c r="I35" t="s">
        <v>272</v>
      </c>
      <c r="J35" t="s">
        <v>273</v>
      </c>
    </row>
    <row r="36" spans="1:10">
      <c r="A36" t="s">
        <v>275</v>
      </c>
      <c r="B36" t="s">
        <v>276</v>
      </c>
      <c r="E36" t="s">
        <v>277</v>
      </c>
    </row>
    <row r="37" spans="1:10">
      <c r="A37" t="s">
        <v>279</v>
      </c>
      <c r="B37" t="s">
        <v>280</v>
      </c>
      <c r="C37" t="s">
        <v>142</v>
      </c>
      <c r="E37" t="s">
        <v>129</v>
      </c>
      <c r="F37" t="s">
        <v>30</v>
      </c>
      <c r="G37" t="s">
        <v>141</v>
      </c>
      <c r="H37" t="s">
        <v>142</v>
      </c>
    </row>
    <row r="38" spans="1:10">
      <c r="A38" t="s">
        <v>282</v>
      </c>
      <c r="B38" t="s">
        <v>283</v>
      </c>
      <c r="C38" t="s">
        <v>135</v>
      </c>
      <c r="E38" t="s">
        <v>33</v>
      </c>
      <c r="F38" t="s">
        <v>142</v>
      </c>
      <c r="G38" t="s">
        <v>143</v>
      </c>
      <c r="H38" t="s">
        <v>135</v>
      </c>
    </row>
    <row r="39" spans="1:10">
      <c r="A39" t="s">
        <v>285</v>
      </c>
      <c r="B39" t="s">
        <v>286</v>
      </c>
      <c r="C39" t="s">
        <v>143</v>
      </c>
      <c r="E39" t="s">
        <v>233</v>
      </c>
      <c r="F39" t="s">
        <v>27</v>
      </c>
      <c r="G39" t="s">
        <v>136</v>
      </c>
      <c r="H39" t="s">
        <v>143</v>
      </c>
    </row>
    <row r="40" spans="1:10">
      <c r="A40" t="s">
        <v>288</v>
      </c>
      <c r="B40" t="s">
        <v>289</v>
      </c>
      <c r="C40" t="s">
        <v>233</v>
      </c>
      <c r="E40" t="s">
        <v>135</v>
      </c>
      <c r="F40" t="s">
        <v>233</v>
      </c>
      <c r="G40" t="s">
        <v>33</v>
      </c>
      <c r="H40" t="s">
        <v>130</v>
      </c>
    </row>
    <row r="41" spans="1:10">
      <c r="A41" t="s">
        <v>291</v>
      </c>
      <c r="B41" t="s">
        <v>292</v>
      </c>
      <c r="C41" t="s">
        <v>136</v>
      </c>
      <c r="E41" t="s">
        <v>30</v>
      </c>
      <c r="F41" t="s">
        <v>136</v>
      </c>
      <c r="G41" t="s">
        <v>33</v>
      </c>
      <c r="H41" t="s">
        <v>143</v>
      </c>
    </row>
    <row r="42" spans="1:10">
      <c r="A42" t="s">
        <v>295</v>
      </c>
      <c r="B42" t="s">
        <v>280</v>
      </c>
      <c r="E42" t="s">
        <v>296</v>
      </c>
      <c r="F42" t="s">
        <v>297</v>
      </c>
      <c r="G42" t="s">
        <v>298</v>
      </c>
      <c r="H42" t="s">
        <v>142</v>
      </c>
      <c r="I42" t="s">
        <v>299</v>
      </c>
      <c r="J42" t="s">
        <v>300</v>
      </c>
    </row>
    <row r="43" spans="1:10">
      <c r="A43" t="s">
        <v>301</v>
      </c>
      <c r="B43" t="s">
        <v>283</v>
      </c>
      <c r="E43" t="s">
        <v>302</v>
      </c>
      <c r="F43" t="s">
        <v>303</v>
      </c>
      <c r="G43" t="s">
        <v>304</v>
      </c>
      <c r="H43" t="s">
        <v>135</v>
      </c>
      <c r="I43" t="s">
        <v>305</v>
      </c>
      <c r="J43" t="s">
        <v>306</v>
      </c>
    </row>
    <row r="44" spans="1:10">
      <c r="A44" t="s">
        <v>307</v>
      </c>
      <c r="B44" t="s">
        <v>286</v>
      </c>
      <c r="E44" t="s">
        <v>308</v>
      </c>
      <c r="F44" t="s">
        <v>309</v>
      </c>
      <c r="G44" t="s">
        <v>310</v>
      </c>
      <c r="H44" t="s">
        <v>143</v>
      </c>
      <c r="I44" t="s">
        <v>311</v>
      </c>
      <c r="J44" t="s">
        <v>312</v>
      </c>
    </row>
    <row r="45" spans="1:10">
      <c r="A45" t="s">
        <v>313</v>
      </c>
      <c r="B45" t="s">
        <v>289</v>
      </c>
      <c r="E45" t="s">
        <v>314</v>
      </c>
      <c r="F45" t="s">
        <v>315</v>
      </c>
      <c r="G45" t="s">
        <v>316</v>
      </c>
      <c r="H45" t="s">
        <v>233</v>
      </c>
      <c r="I45" t="s">
        <v>317</v>
      </c>
      <c r="J45" t="s">
        <v>318</v>
      </c>
    </row>
    <row r="46" spans="1:10">
      <c r="A46" t="s">
        <v>319</v>
      </c>
      <c r="B46" t="s">
        <v>292</v>
      </c>
      <c r="E46" t="s">
        <v>320</v>
      </c>
      <c r="F46" t="s">
        <v>321</v>
      </c>
      <c r="G46" t="s">
        <v>322</v>
      </c>
      <c r="H46" t="s">
        <v>136</v>
      </c>
      <c r="I46" t="s">
        <v>323</v>
      </c>
      <c r="J46" t="s">
        <v>324</v>
      </c>
    </row>
    <row r="47" spans="1:10">
      <c r="A47" t="s">
        <v>325</v>
      </c>
      <c r="B47" t="s">
        <v>326</v>
      </c>
      <c r="C47" cm="1" t="str">
        <f t="array" ref="C47">TRIM('F5-2 Arena'!$B$6)</f>
        <v>ada LOVELACE</v>
      </c>
    </row>
    <row r="48" spans="1:10">
      <c r="A48" t="s">
        <v>329</v>
      </c>
      <c r="B48" t="s">
        <v>330</v>
      </c>
      <c r="C48" cm="1" t="str">
        <f t="array" ref="C48">UPPER('F5-2 Arena'!$B$7)</f>
        <v>GRACE HOPPER</v>
      </c>
    </row>
    <row r="49" spans="1:20">
      <c r="A49" t="s">
        <v>333</v>
      </c>
      <c r="B49" t="s">
        <v>334</v>
      </c>
      <c r="C49" cm="1" t="str">
        <f t="array" ref="C49">LOWER('F5-2 Arena'!$B$8)</f>
        <v>alan turing</v>
      </c>
    </row>
    <row r="50" spans="1:20">
      <c r="A50" t="s">
        <v>337</v>
      </c>
      <c r="B50" t="s">
        <v>338</v>
      </c>
      <c r="C50" cm="1" t="str">
        <f t="array" ref="C50">SUBSTITUTE('F5-2 Arena'!$B$9,"-","/")</f>
        <v>2026/03/15</v>
      </c>
    </row>
    <row r="51" spans="1:20">
      <c r="A51" t="s">
        <v>341</v>
      </c>
      <c r="B51" t="s">
        <v>342</v>
      </c>
      <c r="C51" cm="1" t="str">
        <f t="array" ref="C51">PROPER(TRIM('F5-2 Arena'!$B$6))</f>
        <v>Ada Lovelace</v>
      </c>
    </row>
    <row r="52" spans="1:20">
      <c r="A52" t="s">
        <v>360</v>
      </c>
      <c r="B52" t="s">
        <v>280</v>
      </c>
      <c r="E52" t="s">
        <v>296</v>
      </c>
      <c r="F52" t="s">
        <v>297</v>
      </c>
      <c r="G52" t="s">
        <v>298</v>
      </c>
      <c r="H52" t="s">
        <v>142</v>
      </c>
      <c r="I52" t="s">
        <v>299</v>
      </c>
      <c r="J52" t="s">
        <v>300</v>
      </c>
    </row>
    <row r="53" spans="1:20">
      <c r="A53" t="s">
        <v>362</v>
      </c>
      <c r="B53" t="s">
        <v>283</v>
      </c>
      <c r="E53" t="s">
        <v>302</v>
      </c>
      <c r="F53" t="s">
        <v>303</v>
      </c>
      <c r="G53" t="s">
        <v>304</v>
      </c>
      <c r="H53" t="s">
        <v>135</v>
      </c>
      <c r="I53" t="s">
        <v>305</v>
      </c>
      <c r="J53" t="s">
        <v>306</v>
      </c>
    </row>
    <row r="54" spans="1:20">
      <c r="A54" t="s">
        <v>364</v>
      </c>
      <c r="B54" t="s">
        <v>286</v>
      </c>
      <c r="E54" t="s">
        <v>308</v>
      </c>
      <c r="F54" t="s">
        <v>309</v>
      </c>
      <c r="G54" t="s">
        <v>310</v>
      </c>
      <c r="H54" t="s">
        <v>143</v>
      </c>
      <c r="I54" t="s">
        <v>311</v>
      </c>
      <c r="J54" t="s">
        <v>312</v>
      </c>
    </row>
    <row r="55" spans="1:20">
      <c r="A55" t="s">
        <v>366</v>
      </c>
      <c r="B55" t="s">
        <v>289</v>
      </c>
      <c r="E55" t="s">
        <v>314</v>
      </c>
      <c r="F55" t="s">
        <v>315</v>
      </c>
      <c r="G55" t="s">
        <v>316</v>
      </c>
      <c r="H55" t="s">
        <v>233</v>
      </c>
      <c r="I55" t="s">
        <v>317</v>
      </c>
      <c r="J55" t="s">
        <v>318</v>
      </c>
    </row>
    <row r="56" spans="1:20">
      <c r="A56" t="s">
        <v>368</v>
      </c>
      <c r="B56" t="s">
        <v>292</v>
      </c>
      <c r="E56" t="s">
        <v>320</v>
      </c>
      <c r="F56" t="s">
        <v>321</v>
      </c>
      <c r="G56" t="s">
        <v>322</v>
      </c>
      <c r="H56" t="s">
        <v>136</v>
      </c>
      <c r="I56" t="s">
        <v>323</v>
      </c>
      <c r="J56" t="s">
        <v>324</v>
      </c>
    </row>
    <row r="57" spans="1:20">
      <c r="A57" t="s">
        <v>370</v>
      </c>
      <c r="B57" t="s">
        <v>371</v>
      </c>
      <c r="E57" t="s">
        <v>372</v>
      </c>
    </row>
    <row r="58" spans="1:20">
      <c r="A58" t="s">
        <v>374</v>
      </c>
      <c r="B58" t="s">
        <v>375</v>
      </c>
      <c r="E58" t="s">
        <v>376</v>
      </c>
      <c r="F58" t="s">
        <v>377</v>
      </c>
      <c r="G58" t="s">
        <v>378</v>
      </c>
      <c r="H58" t="s">
        <v>379</v>
      </c>
    </row>
    <row r="59" spans="1:20">
      <c r="A59" t="s">
        <v>381</v>
      </c>
      <c r="B59" t="s">
        <v>382</v>
      </c>
      <c r="E59" t="s">
        <v>383</v>
      </c>
    </row>
    <row r="60" spans="1:20">
      <c r="A60" t="s">
        <v>385</v>
      </c>
      <c r="B60" t="s">
        <v>386</v>
      </c>
      <c r="E60" t="s">
        <v>387</v>
      </c>
      <c r="F60" t="s">
        <v>388</v>
      </c>
      <c r="G60" t="s">
        <v>389</v>
      </c>
    </row>
    <row r="61" spans="1:20">
      <c r="A61" t="s">
        <v>391</v>
      </c>
      <c r="B61" t="s">
        <v>392</v>
      </c>
      <c r="E61" t="s">
        <v>393</v>
      </c>
      <c r="F61" t="s">
        <v>394</v>
      </c>
      <c r="G61" t="s">
        <v>395</v>
      </c>
      <c r="H61" t="s">
        <v>396</v>
      </c>
      <c r="I61" t="s">
        <v>397</v>
      </c>
      <c r="J61" t="s">
        <v>398</v>
      </c>
      <c r="K61" t="s">
        <v>399</v>
      </c>
      <c r="L61" t="s">
        <v>400</v>
      </c>
      <c r="M61" t="s">
        <v>401</v>
      </c>
      <c r="N61" t="s">
        <v>402</v>
      </c>
      <c r="O61" t="s">
        <v>403</v>
      </c>
      <c r="P61" t="s">
        <v>404</v>
      </c>
      <c r="Q61" t="s">
        <v>405</v>
      </c>
      <c r="R61" t="s">
        <v>406</v>
      </c>
      <c r="S61" t="s">
        <v>407</v>
      </c>
      <c r="T61" t="s">
        <v>408</v>
      </c>
    </row>
    <row r="62" spans="1:20">
      <c r="A62" t="s">
        <v>410</v>
      </c>
      <c r="B62" t="s">
        <v>411</v>
      </c>
      <c r="C62" t="s">
        <v>129</v>
      </c>
      <c r="E62" t="s">
        <v>129</v>
      </c>
      <c r="F62" t="s">
        <v>27</v>
      </c>
      <c r="G62" t="s">
        <v>136</v>
      </c>
      <c r="H62" t="s">
        <v>135</v>
      </c>
    </row>
    <row r="63" spans="1:20">
      <c r="A63" t="s">
        <v>413</v>
      </c>
      <c r="B63" t="s">
        <v>414</v>
      </c>
      <c r="C63" t="s">
        <v>141</v>
      </c>
      <c r="E63" t="s">
        <v>129</v>
      </c>
      <c r="F63" t="s">
        <v>27</v>
      </c>
      <c r="G63" t="s">
        <v>141</v>
      </c>
      <c r="H63" t="s">
        <v>142</v>
      </c>
    </row>
    <row r="64" spans="1:20">
      <c r="A64" t="s">
        <v>416</v>
      </c>
      <c r="B64" t="s">
        <v>264</v>
      </c>
      <c r="C64" t="s">
        <v>152</v>
      </c>
      <c r="E64" t="s">
        <v>39</v>
      </c>
      <c r="F64" t="s">
        <v>417</v>
      </c>
      <c r="G64" t="s">
        <v>152</v>
      </c>
      <c r="H64" t="s">
        <v>418</v>
      </c>
    </row>
    <row r="65" spans="1:10">
      <c r="A65" t="s">
        <v>421</v>
      </c>
      <c r="B65" t="s">
        <v>411</v>
      </c>
      <c r="E65" t="s">
        <v>422</v>
      </c>
      <c r="F65" t="s">
        <v>423</v>
      </c>
      <c r="G65" t="s">
        <v>424</v>
      </c>
      <c r="H65" t="s">
        <v>129</v>
      </c>
      <c r="I65" t="s">
        <v>425</v>
      </c>
      <c r="J65" t="s">
        <v>426</v>
      </c>
    </row>
    <row r="66" spans="1:10">
      <c r="A66" t="s">
        <v>427</v>
      </c>
      <c r="B66" t="s">
        <v>414</v>
      </c>
      <c r="E66" t="s">
        <v>428</v>
      </c>
      <c r="F66" t="s">
        <v>429</v>
      </c>
      <c r="G66" t="s">
        <v>430</v>
      </c>
      <c r="H66" t="s">
        <v>141</v>
      </c>
      <c r="I66" t="s">
        <v>431</v>
      </c>
      <c r="J66" t="s">
        <v>432</v>
      </c>
    </row>
    <row r="67" spans="1:10">
      <c r="A67" t="s">
        <v>433</v>
      </c>
      <c r="B67" t="s">
        <v>264</v>
      </c>
      <c r="E67" t="s">
        <v>129</v>
      </c>
    </row>
    <row r="68" spans="1:10">
      <c r="A68" t="s">
        <v>435</v>
      </c>
      <c r="B68" t="s">
        <v>436</v>
      </c>
      <c r="C68" cm="1">
        <f t="array" ref="C68">FIND("@",'F5-3 Arena'!$B$6)</f>
        <v>4</v>
      </c>
    </row>
    <row r="69" spans="1:10">
      <c r="A69" t="s">
        <v>439</v>
      </c>
      <c r="B69" t="s">
        <v>440</v>
      </c>
      <c r="C69" cm="1">
        <f t="array" ref="C69">SEARCH("ARCADE",'F5-3 Arena'!$B$6)</f>
        <v>5</v>
      </c>
    </row>
    <row r="70" spans="1:10">
      <c r="A70" t="s">
        <v>443</v>
      </c>
      <c r="B70" t="s">
        <v>444</v>
      </c>
      <c r="C70" cm="1" t="str">
        <f t="array" ref="C70">LEFT('F5-3 Arena'!$B$6,FIND("@",'F5-3 Arena'!$B$6)-1)</f>
        <v>kim</v>
      </c>
    </row>
    <row r="71" spans="1:10">
      <c r="A71" t="s">
        <v>447</v>
      </c>
      <c r="B71" t="s">
        <v>448</v>
      </c>
      <c r="C71" cm="1" t="str">
        <f t="array" ref="C71">MID('F5-3 Arena'!$B$7,FIND(" ",'F5-3 Arena'!$B$7)+1,100)</f>
        <v>Hopper</v>
      </c>
    </row>
    <row r="72" spans="1:10">
      <c r="A72" t="s">
        <v>473</v>
      </c>
      <c r="B72" t="s">
        <v>411</v>
      </c>
      <c r="E72" t="s">
        <v>422</v>
      </c>
      <c r="F72" t="s">
        <v>423</v>
      </c>
      <c r="G72" t="s">
        <v>424</v>
      </c>
      <c r="H72" t="s">
        <v>129</v>
      </c>
      <c r="I72" t="s">
        <v>425</v>
      </c>
      <c r="J72" t="s">
        <v>426</v>
      </c>
    </row>
    <row r="73" spans="1:10">
      <c r="A73" t="s">
        <v>475</v>
      </c>
      <c r="B73" t="s">
        <v>414</v>
      </c>
      <c r="E73" t="s">
        <v>428</v>
      </c>
      <c r="F73" t="s">
        <v>429</v>
      </c>
      <c r="G73" t="s">
        <v>430</v>
      </c>
      <c r="H73" t="s">
        <v>141</v>
      </c>
      <c r="I73" t="s">
        <v>431</v>
      </c>
      <c r="J73" t="s">
        <v>432</v>
      </c>
    </row>
    <row r="74" spans="1:10">
      <c r="A74" t="s">
        <v>477</v>
      </c>
      <c r="B74" t="s">
        <v>264</v>
      </c>
      <c r="E74" t="s">
        <v>129</v>
      </c>
    </row>
    <row r="75" spans="1:10">
      <c r="A75" t="s">
        <v>479</v>
      </c>
      <c r="B75" t="s">
        <v>480</v>
      </c>
      <c r="E75" t="s">
        <v>481</v>
      </c>
    </row>
    <row r="76" spans="1:10">
      <c r="A76" t="s">
        <v>483</v>
      </c>
      <c r="B76" t="s">
        <v>484</v>
      </c>
      <c r="E76" t="s">
        <v>485</v>
      </c>
    </row>
    <row r="77" spans="1:10">
      <c r="A77" t="s">
        <v>487</v>
      </c>
      <c r="B77" t="s">
        <v>488</v>
      </c>
      <c r="E77" t="s">
        <v>489</v>
      </c>
    </row>
    <row r="78" spans="1:10">
      <c r="A78" t="s">
        <v>491</v>
      </c>
      <c r="B78" t="s">
        <v>492</v>
      </c>
      <c r="E78" t="s">
        <v>493</v>
      </c>
    </row>
    <row r="79" spans="1:10">
      <c r="A79" t="s">
        <v>495</v>
      </c>
      <c r="B79" t="s">
        <v>496</v>
      </c>
      <c r="E79" t="s">
        <v>497</v>
      </c>
    </row>
    <row r="80" spans="1:10">
      <c r="A80" t="s">
        <v>499</v>
      </c>
      <c r="B80" t="s">
        <v>500</v>
      </c>
      <c r="E80" t="s">
        <v>501</v>
      </c>
    </row>
    <row r="81" spans="1:10">
      <c r="A81" t="s">
        <v>503</v>
      </c>
      <c r="B81" t="s">
        <v>504</v>
      </c>
      <c r="E81" t="s">
        <v>505</v>
      </c>
    </row>
    <row r="82" spans="1:10">
      <c r="A82" t="s">
        <v>507</v>
      </c>
      <c r="B82" t="s">
        <v>508</v>
      </c>
      <c r="C82" t="s">
        <v>130</v>
      </c>
      <c r="E82" t="s">
        <v>143</v>
      </c>
      <c r="F82" t="s">
        <v>472</v>
      </c>
      <c r="G82" t="s">
        <v>130</v>
      </c>
      <c r="H82" t="s">
        <v>36</v>
      </c>
    </row>
    <row r="83" spans="1:10">
      <c r="A83" t="s">
        <v>510</v>
      </c>
      <c r="B83" t="s">
        <v>511</v>
      </c>
      <c r="C83" t="s">
        <v>148</v>
      </c>
      <c r="E83" t="s">
        <v>148</v>
      </c>
      <c r="F83" t="s">
        <v>233</v>
      </c>
      <c r="G83" t="s">
        <v>135</v>
      </c>
      <c r="H83" t="s">
        <v>36</v>
      </c>
    </row>
    <row r="84" spans="1:10">
      <c r="A84" t="s">
        <v>513</v>
      </c>
      <c r="B84" t="s">
        <v>514</v>
      </c>
      <c r="C84" t="s">
        <v>472</v>
      </c>
      <c r="E84" t="s">
        <v>233</v>
      </c>
      <c r="F84" t="s">
        <v>143</v>
      </c>
      <c r="G84" t="s">
        <v>148</v>
      </c>
      <c r="H84" t="s">
        <v>472</v>
      </c>
    </row>
    <row r="85" spans="1:10">
      <c r="A85" t="s">
        <v>517</v>
      </c>
      <c r="B85" t="s">
        <v>508</v>
      </c>
      <c r="E85" t="s">
        <v>518</v>
      </c>
      <c r="F85" t="s">
        <v>519</v>
      </c>
      <c r="G85" t="s">
        <v>520</v>
      </c>
      <c r="H85" t="s">
        <v>130</v>
      </c>
      <c r="I85" t="s">
        <v>521</v>
      </c>
      <c r="J85" t="s">
        <v>522</v>
      </c>
    </row>
    <row r="86" spans="1:10">
      <c r="A86" t="s">
        <v>523</v>
      </c>
      <c r="B86" t="s">
        <v>511</v>
      </c>
      <c r="E86" t="s">
        <v>524</v>
      </c>
      <c r="F86" t="s">
        <v>525</v>
      </c>
      <c r="G86" t="s">
        <v>526</v>
      </c>
      <c r="H86" t="s">
        <v>148</v>
      </c>
      <c r="I86" t="s">
        <v>527</v>
      </c>
      <c r="J86" t="s">
        <v>528</v>
      </c>
    </row>
    <row r="87" spans="1:10">
      <c r="A87" t="s">
        <v>529</v>
      </c>
      <c r="B87" t="s">
        <v>514</v>
      </c>
      <c r="E87" t="s">
        <v>530</v>
      </c>
      <c r="F87" t="s">
        <v>531</v>
      </c>
      <c r="G87" t="s">
        <v>532</v>
      </c>
      <c r="H87" t="s">
        <v>472</v>
      </c>
      <c r="I87" t="s">
        <v>533</v>
      </c>
      <c r="J87" t="s">
        <v>534</v>
      </c>
    </row>
    <row r="88" spans="1:10">
      <c r="A88" t="s">
        <v>535</v>
      </c>
      <c r="B88" t="s">
        <v>536</v>
      </c>
      <c r="C88" cm="1" t="str">
        <f t="array" ref="C88">_xlfn.TEXTJOIN(", ",TRUE,'F5-4 Arena'!$B$6:$B$10)</f>
        <v>red, green, blue, gold</v>
      </c>
    </row>
    <row r="89" spans="1:10">
      <c r="A89" t="s">
        <v>538</v>
      </c>
      <c r="B89" t="s">
        <v>539</v>
      </c>
      <c r="C89" cm="1" t="str">
        <f t="array" ref="C89">TEXT('F5-4 Arena'!$B$12,"yyyy-mm-dd")</f>
        <v>2026-03-15</v>
      </c>
    </row>
    <row r="90" spans="1:10">
      <c r="A90" t="s">
        <v>542</v>
      </c>
      <c r="B90" t="s">
        <v>543</v>
      </c>
      <c r="C90" cm="1">
        <f t="array" ref="C90">VALUE('F5-4 Arena'!$B$14)</f>
        <v>42</v>
      </c>
    </row>
    <row r="91" spans="1:10">
      <c r="A91" t="s">
        <v>546</v>
      </c>
      <c r="B91" t="s">
        <v>547</v>
      </c>
      <c r="C91" cm="1" t="str">
        <f t="array" ref="C91">"Total: "&amp;TEXT('F5-4 Arena'!$B$16,"$#,##0.00")</f>
        <v>Total: $1,234.50</v>
      </c>
    </row>
    <row r="92" spans="1:10">
      <c r="A92" t="s">
        <v>579</v>
      </c>
      <c r="B92" t="s">
        <v>508</v>
      </c>
      <c r="E92" t="s">
        <v>518</v>
      </c>
      <c r="F92" t="s">
        <v>519</v>
      </c>
      <c r="G92" t="s">
        <v>520</v>
      </c>
      <c r="H92" t="s">
        <v>130</v>
      </c>
      <c r="I92" t="s">
        <v>521</v>
      </c>
      <c r="J92" t="s">
        <v>522</v>
      </c>
    </row>
    <row r="93" spans="1:10">
      <c r="A93" t="s">
        <v>581</v>
      </c>
      <c r="B93" t="s">
        <v>511</v>
      </c>
      <c r="E93" t="s">
        <v>524</v>
      </c>
      <c r="F93" t="s">
        <v>525</v>
      </c>
      <c r="G93" t="s">
        <v>526</v>
      </c>
      <c r="H93" t="s">
        <v>148</v>
      </c>
      <c r="I93" t="s">
        <v>527</v>
      </c>
      <c r="J93" t="s">
        <v>528</v>
      </c>
    </row>
    <row r="94" spans="1:10">
      <c r="A94" t="s">
        <v>583</v>
      </c>
      <c r="B94" t="s">
        <v>514</v>
      </c>
      <c r="E94" t="s">
        <v>530</v>
      </c>
      <c r="F94" t="s">
        <v>531</v>
      </c>
      <c r="G94" t="s">
        <v>532</v>
      </c>
      <c r="H94" t="s">
        <v>472</v>
      </c>
      <c r="I94" t="s">
        <v>533</v>
      </c>
      <c r="J94" t="s">
        <v>534</v>
      </c>
    </row>
    <row r="95" spans="1:10">
      <c r="A95" t="s">
        <v>585</v>
      </c>
      <c r="B95" t="s">
        <v>128</v>
      </c>
      <c r="E95" t="s">
        <v>160</v>
      </c>
      <c r="F95" t="s">
        <v>161</v>
      </c>
      <c r="G95" t="s">
        <v>162</v>
      </c>
      <c r="H95" t="s">
        <v>27</v>
      </c>
      <c r="I95" t="s">
        <v>163</v>
      </c>
      <c r="J95" t="s">
        <v>164</v>
      </c>
    </row>
    <row r="96" spans="1:10">
      <c r="A96" t="s">
        <v>587</v>
      </c>
      <c r="B96" t="s">
        <v>134</v>
      </c>
      <c r="E96" t="s">
        <v>167</v>
      </c>
      <c r="F96" t="s">
        <v>168</v>
      </c>
      <c r="G96" t="s">
        <v>169</v>
      </c>
      <c r="H96" t="s">
        <v>30</v>
      </c>
      <c r="I96" t="s">
        <v>170</v>
      </c>
      <c r="J96" t="s">
        <v>171</v>
      </c>
    </row>
    <row r="97" spans="1:10">
      <c r="A97" t="s">
        <v>589</v>
      </c>
      <c r="B97" t="s">
        <v>140</v>
      </c>
      <c r="E97" t="s">
        <v>174</v>
      </c>
      <c r="F97" t="s">
        <v>175</v>
      </c>
      <c r="G97" t="s">
        <v>176</v>
      </c>
      <c r="H97" t="s">
        <v>33</v>
      </c>
      <c r="I97" t="s">
        <v>177</v>
      </c>
      <c r="J97" t="s">
        <v>178</v>
      </c>
    </row>
    <row r="98" spans="1:10">
      <c r="A98" t="s">
        <v>591</v>
      </c>
      <c r="B98" t="s">
        <v>147</v>
      </c>
      <c r="E98" t="s">
        <v>181</v>
      </c>
      <c r="F98" t="s">
        <v>182</v>
      </c>
      <c r="G98" t="s">
        <v>183</v>
      </c>
      <c r="H98" t="s">
        <v>36</v>
      </c>
      <c r="I98" t="s">
        <v>184</v>
      </c>
      <c r="J98" t="s">
        <v>185</v>
      </c>
    </row>
    <row r="99" spans="1:10">
      <c r="A99" t="s">
        <v>593</v>
      </c>
      <c r="B99" t="s">
        <v>103</v>
      </c>
      <c r="E99" t="s">
        <v>39</v>
      </c>
      <c r="F99" t="s">
        <v>104</v>
      </c>
    </row>
    <row r="100" spans="1:10">
      <c r="A100" t="s">
        <v>597</v>
      </c>
      <c r="B100" t="s">
        <v>598</v>
      </c>
      <c r="C100" cm="1" t="str">
        <f t="array" ref="C100">PROPER(TRIM('Boss Arena'!$B$6))</f>
        <v>Jo Park</v>
      </c>
    </row>
    <row r="101" spans="1:10">
      <c r="A101" t="s">
        <v>601</v>
      </c>
      <c r="B101" t="s">
        <v>602</v>
      </c>
      <c r="C101" cm="1">
        <f t="array" ref="C101">MID('Boss Arena'!$B$7,4,4)</f>
        <v>5512</v>
      </c>
    </row>
    <row r="102" spans="1:10">
      <c r="A102" t="s">
        <v>605</v>
      </c>
      <c r="B102" t="s">
        <v>606</v>
      </c>
      <c r="C102" cm="1" t="str">
        <f t="array" ref="C102">LEFT('Boss Arena'!$B$8,FIND("@",'Boss Arena'!$B$8)-1)</f>
        <v>lee</v>
      </c>
    </row>
    <row r="103" spans="1:10">
      <c r="A103" t="s">
        <v>609</v>
      </c>
      <c r="B103" t="s">
        <v>610</v>
      </c>
      <c r="C103" cm="1" t="str">
        <f t="array" ref="C103">MID('Boss Arena'!$B$9,FIND(" ",'Boss Arena'!$B$9)+1,100)</f>
        <v>Lovelace</v>
      </c>
    </row>
    <row r="104" spans="1:10">
      <c r="A104" t="s">
        <v>613</v>
      </c>
      <c r="B104" t="s">
        <v>614</v>
      </c>
      <c r="C104" cm="1" t="str">
        <f t="array" ref="C104">SUBSTITUTE('Boss Arena'!$B$10,"/","-")</f>
        <v>2026-12-31</v>
      </c>
    </row>
    <row r="105" spans="1:10">
      <c r="A105" t="s">
        <v>617</v>
      </c>
      <c r="B105" t="s">
        <v>618</v>
      </c>
      <c r="C105" cm="1">
        <f t="array" ref="C105">VALUE('Boss Arena'!$B$11)</f>
        <v>77</v>
      </c>
    </row>
    <row r="106" spans="1:10">
      <c r="A106" t="s">
        <v>621</v>
      </c>
      <c r="B106" t="s">
        <v>622</v>
      </c>
      <c r="C106" cm="1" t="str">
        <f t="array" ref="C106">TEXT('Boss Arena'!$B$12,"dd/mm/yyyy")</f>
        <v>04/07/2026</v>
      </c>
    </row>
    <row r="107" spans="1:10">
      <c r="A107" t="s">
        <v>625</v>
      </c>
      <c r="B107" t="s">
        <v>626</v>
      </c>
      <c r="C107" cm="1" t="str">
        <f t="array" ref="C107">_xlfn.TEXTJOIN(" | ",TRUE,'Boss Arena'!$B$15:$B$18)</f>
        <v>alpha | beta | gamma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Start</vt:lpstr>
      <vt:lpstr>F5-1 Cut &amp; Splice</vt:lpstr>
      <vt:lpstr>F5-1 Arena</vt:lpstr>
      <vt:lpstr>F5-2 Clean Up</vt:lpstr>
      <vt:lpstr>F5-2 Arena</vt:lpstr>
      <vt:lpstr>F5-3 Find the Gem</vt:lpstr>
      <vt:lpstr>F5-3 Arena</vt:lpstr>
      <vt:lpstr>F5-4 Assemble</vt:lpstr>
      <vt:lpstr>F5-4 Arena</vt:lpstr>
      <vt:lpstr>Boss</vt:lpstr>
      <vt:lpstr>Boss Arena</vt:lpstr>
      <vt:lpstr>Cheat Codes</vt:lpstr>
      <vt:lpstr>Boss!Print_Titles</vt:lpstr>
      <vt:lpstr>'Cheat Codes'!Print_Titles</vt:lpstr>
      <vt:lpstr>'F5-1 Cut &amp; Splice'!Print_Titles</vt:lpstr>
      <vt:lpstr>'F5-2 Clean Up'!Print_Titles</vt:lpstr>
      <vt:lpstr>'F5-3 Find the Gem'!Print_Titles</vt:lpstr>
      <vt:lpstr>'F5-4 Assemble'!Print_Titles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Formulas 5 · Text</dc:title>
  <dc:subject>Excel practice: Cut, clean, search and assemble text with formulas.</dc:subject>
  <dc:creator>excel-drills</dc:creator>
  <cp:keywords>Excel, practice, formulas, Text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